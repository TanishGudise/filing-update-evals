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May 03, 2025</t>
        </is>
      </c>
      <c r="D4" t="inlineStr">
        <is>
          <t>Aug 02, 2025</t>
        </is>
      </c>
      <c r="E4" t="inlineStr">
        <is>
          <t>Nov 01, 2025</t>
        </is>
      </c>
      <c r="F4" t="inlineStr">
        <is>
          <t>Jan 31, 2026</t>
        </is>
      </c>
      <c r="G4" t="inlineStr">
        <is>
          <t>Jan 31, 2026</t>
        </is>
      </c>
      <c r="H4" t="inlineStr">
        <is>
          <t>May 02, 2026</t>
        </is>
      </c>
      <c r="I4" t="inlineStr">
        <is>
          <t>Aug 01,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210767.126</v>
      </c>
    </row>
    <row r="11">
      <c r="A11" t="inlineStr">
        <is>
          <t>Revenue growth, FY2027 quarters vs. same quarter of FY2026</t>
        </is>
      </c>
      <c r="C11" t="n">
        <v>0.004</v>
      </c>
    </row>
    <row r="12">
      <c r="A12" t="inlineStr">
        <is>
          <t>Revenue growth by forecast year</t>
        </is>
      </c>
      <c r="M12" t="n">
        <v>0.02</v>
      </c>
      <c r="N12" t="n">
        <v>0.02</v>
      </c>
      <c r="O12" t="n">
        <v>0.02</v>
      </c>
      <c r="P12" t="n">
        <v>0.02</v>
      </c>
    </row>
    <row r="13">
      <c r="A13" t="inlineStr">
        <is>
          <t>Gross margin</t>
        </is>
      </c>
      <c r="C13" t="n">
        <v>0.2324</v>
      </c>
    </row>
    <row r="14">
      <c r="A14" t="inlineStr">
        <is>
          <t>SG&amp;A, % of revenue</t>
        </is>
      </c>
      <c r="C14" t="n">
        <v>0.1943</v>
      </c>
    </row>
    <row r="15">
      <c r="A15" t="inlineStr">
        <is>
          <t>Other operating expenses, % of revenue</t>
        </is>
      </c>
      <c r="C15" t="n">
        <v>0.0123</v>
      </c>
    </row>
    <row r="16">
      <c r="A16" t="inlineStr">
        <is>
          <t>Depreciation and amortization, % of revenue</t>
        </is>
      </c>
      <c r="C16" t="n">
        <v>0.0199</v>
      </c>
    </row>
    <row r="17">
      <c r="A17" t="inlineStr">
        <is>
          <t>Capital expenditures, % of revenue</t>
        </is>
      </c>
      <c r="C17" t="n">
        <v>0.0169</v>
      </c>
    </row>
    <row r="18">
      <c r="A18" t="inlineStr">
        <is>
          <t>Tax rate</t>
        </is>
      </c>
      <c r="C18" t="n">
        <v>0.24</v>
      </c>
    </row>
    <row r="19">
      <c r="A19" t="inlineStr">
        <is>
          <t>Days sales outstanding (on revenue)</t>
        </is>
      </c>
      <c r="C19" t="n">
        <v>9.1</v>
      </c>
    </row>
    <row r="20">
      <c r="A20" t="inlineStr">
        <is>
          <t>Days inventory outstanding (on cost of revenue)</t>
        </is>
      </c>
      <c r="C20" t="n">
        <v>59.1</v>
      </c>
    </row>
    <row r="21">
      <c r="A21" t="inlineStr">
        <is>
          <t>Days payables outstanding (on cost of revenue)</t>
        </is>
      </c>
      <c r="C21" t="n">
        <v>53.6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47000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Revenue</t>
        </is>
      </c>
      <c r="C33" t="n">
        <v>8767000</v>
      </c>
      <c r="D33" t="n">
        <v>9438000</v>
      </c>
      <c r="E33" t="n">
        <v>9672000</v>
      </c>
      <c r="F33">
        <f>G33-C33-D33-E33</f>
        <v/>
      </c>
      <c r="G33" t="n">
        <v>41691000</v>
      </c>
      <c r="H33" t="n">
        <v>8936000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6718000</v>
      </c>
      <c r="D34" t="n">
        <v>7244000</v>
      </c>
      <c r="E34" t="n">
        <v>7424000</v>
      </c>
      <c r="F34">
        <f>G34-C34-D34-E34</f>
        <v/>
      </c>
      <c r="G34" t="n">
        <v>32318000</v>
      </c>
      <c r="H34" t="n">
        <v>6834000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 expenses</t>
        </is>
      </c>
      <c r="C36" t="n">
        <v>1721000</v>
      </c>
      <c r="D36" t="n">
        <v>1829000</v>
      </c>
      <c r="E36" t="n">
        <v>1884000</v>
      </c>
      <c r="F36">
        <f>G36-C36-D36-E36</f>
        <v/>
      </c>
      <c r="G36" t="n">
        <v>7623000</v>
      </c>
      <c r="H36" t="n">
        <v>1741000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219000</v>
      </c>
      <c r="D38" t="n">
        <v>251000</v>
      </c>
      <c r="E38" t="n">
        <v>198000</v>
      </c>
      <c r="F38">
        <f>G38-C38-D38-E38</f>
        <v/>
      </c>
      <c r="G38" t="n">
        <v>1389000</v>
      </c>
      <c r="H38" t="n">
        <v>370000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</t>
        </is>
      </c>
      <c r="C39" t="n">
        <v>12000</v>
      </c>
      <c r="D39" t="n">
        <v>12000</v>
      </c>
      <c r="E39" t="n">
        <v>12000</v>
      </c>
      <c r="F39">
        <f>G39-C39-D39-E39</f>
        <v/>
      </c>
      <c r="G39" t="n">
        <v>47000</v>
      </c>
      <c r="H39" t="n">
        <v>11000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 expense and equity in income of affiliates</t>
        </is>
      </c>
      <c r="C41" t="n">
        <v>222000</v>
      </c>
      <c r="D41" t="n">
        <v>253000</v>
      </c>
      <c r="E41" t="n">
        <v>205000</v>
      </c>
      <c r="F41">
        <f>G41-C41-D41-E41</f>
        <v/>
      </c>
      <c r="G41" t="n">
        <v>1404000</v>
      </c>
      <c r="H41" t="n">
        <v>378000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</t>
        </is>
      </c>
      <c r="C42" t="n">
        <v>19000</v>
      </c>
      <c r="D42" t="n">
        <v>68000</v>
      </c>
      <c r="E42" t="n">
        <v>64000</v>
      </c>
      <c r="F42">
        <f>G42-C42-D42-E42</f>
        <v/>
      </c>
      <c r="G42" t="n">
        <v>337000</v>
      </c>
      <c r="H42" t="n">
        <v>102000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202000</v>
      </c>
      <c r="D44" t="n">
        <v>186000</v>
      </c>
      <c r="E44" t="n">
        <v>140000</v>
      </c>
      <c r="F44">
        <f>G44-C44-D44-E44</f>
        <v/>
      </c>
      <c r="G44" t="n">
        <v>1069000</v>
      </c>
      <c r="H44" t="n">
        <v>276000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1738000</v>
      </c>
      <c r="H49" t="n">
        <v>1749000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Receivables, net</t>
        </is>
      </c>
      <c r="G50" t="n">
        <v>1043000</v>
      </c>
      <c r="H50" t="n">
        <v>906000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inventories</t>
        </is>
      </c>
      <c r="G51" t="n">
        <v>5230000</v>
      </c>
      <c r="H51" t="n">
        <v>5598000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8504000</v>
      </c>
      <c r="H53" t="n">
        <v>8740000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1986000</v>
      </c>
      <c r="H54" t="n">
        <v>1987000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790000</v>
      </c>
      <c r="H55" t="n">
        <v>790000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14670000</v>
      </c>
      <c r="H58" t="n">
        <v>14890000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4745000</v>
      </c>
      <c r="H59" t="n">
        <v>5118000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11000</v>
      </c>
      <c r="H61" t="n">
        <v>11000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7679000</v>
      </c>
      <c r="H63" t="n">
        <v>7797000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1165000</v>
      </c>
      <c r="H64" t="n">
        <v>1158000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equity</t>
        </is>
      </c>
      <c r="G68" t="n">
        <v>2964000</v>
      </c>
      <c r="H68" t="n">
        <v>3083000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equity</t>
        </is>
      </c>
      <c r="G71" t="n">
        <v>14670000</v>
      </c>
      <c r="H71" t="n">
        <v>14890000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Total cash provided by operating activities, year to date (as reported)</t>
        </is>
      </c>
      <c r="G90" t="n">
        <v>1962000</v>
      </c>
      <c r="H90" t="n">
        <v>375000</v>
      </c>
    </row>
    <row r="91">
      <c r="A91" t="inlineStr">
        <is>
          <t>Additions to property and equipment, year to date (as reported)</t>
        </is>
      </c>
      <c r="G91" t="n">
        <v>-704000</v>
      </c>
      <c r="H91" t="n">
        <v>-160000</v>
      </c>
    </row>
    <row r="92">
      <c r="A92" t="inlineStr">
        <is>
          <t>Total cash used in investing activities, year to date (as reported)</t>
        </is>
      </c>
      <c r="G92" t="n">
        <v>-730000</v>
      </c>
      <c r="H92" t="n">
        <v>-160000</v>
      </c>
    </row>
    <row r="93">
      <c r="A93" t="inlineStr">
        <is>
          <t>Total cash used in financing activities, year to date (as reported)</t>
        </is>
      </c>
      <c r="G93" t="n">
        <v>-1083000</v>
      </c>
      <c r="H93" t="n">
        <v>-202000</v>
      </c>
    </row>
    <row r="94">
      <c r="A94" t="inlineStr">
        <is>
          <t>Depreciation and amortization, year to date (as reported)</t>
        </is>
      </c>
      <c r="C94" t="n">
        <v>211000</v>
      </c>
      <c r="D94" t="n">
        <v>422000</v>
      </c>
      <c r="E94" t="n">
        <v>628000</v>
      </c>
      <c r="G94" t="n">
        <v>831000</v>
      </c>
      <c r="H94" t="n">
        <v>194000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2026-10-12T02:09:11Z</dcterms:modified>
</cp:coreProperties>
</file>