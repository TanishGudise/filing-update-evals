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ROLLINS INC: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A4" t="inlineStr">
        <is>
          <t>Last reported quarter of FY2026</t>
        </is>
      </c>
      <c r="C4" t="n">
        <v>1</v>
      </c>
    </row>
    <row r="5">
      <c r="A5" t="inlineStr">
        <is>
          <t>Shares outstanding, latest 10-Q/10-K cover (millions)</t>
        </is>
      </c>
      <c r="C5" t="n">
        <v>481.463663</v>
      </c>
    </row>
    <row r="7">
      <c r="A7" t="inlineStr">
        <is>
          <t>Revenue growth, FY2026 quarters vs. same quarter of FY2025</t>
        </is>
      </c>
      <c r="C7" t="n">
        <v>0.11</v>
      </c>
    </row>
    <row r="8">
      <c r="A8" t="inlineStr">
        <is>
          <t>Revenue growth by forecast year</t>
        </is>
      </c>
      <c r="M8" t="n">
        <v>0.11</v>
      </c>
      <c r="N8" t="n">
        <v>0.093</v>
      </c>
      <c r="O8" t="n">
        <v>0.077</v>
      </c>
      <c r="P8" t="n">
        <v>0.061</v>
      </c>
    </row>
    <row r="9">
      <c r="A9" t="inlineStr">
        <is>
          <t>Gross margin</t>
        </is>
      </c>
      <c r="C9" t="n">
        <v>0.5256999999999999</v>
      </c>
    </row>
    <row r="10">
      <c r="A10" t="inlineStr">
        <is>
          <t>SG&amp;A, % of revenue</t>
        </is>
      </c>
      <c r="C10" t="n">
        <v>0.3022</v>
      </c>
    </row>
    <row r="11">
      <c r="A11" t="inlineStr">
        <is>
          <t>Other operating expenses, % of revenue</t>
        </is>
      </c>
      <c r="C11" t="n">
        <v>0.0332</v>
      </c>
    </row>
    <row r="12">
      <c r="A12" t="inlineStr">
        <is>
          <t>Depreciation and amortization, % of revenue</t>
        </is>
      </c>
      <c r="C12" t="n">
        <v>0.0332</v>
      </c>
    </row>
    <row r="13">
      <c r="A13" t="inlineStr">
        <is>
          <t>Capital expenditures, % of revenue</t>
        </is>
      </c>
      <c r="C13" t="n">
        <v>0.0075</v>
      </c>
    </row>
    <row r="14">
      <c r="A14" t="inlineStr">
        <is>
          <t>Tax rate</t>
        </is>
      </c>
      <c r="C14" t="n">
        <v>0.249</v>
      </c>
    </row>
    <row r="15">
      <c r="A15" t="inlineStr">
        <is>
          <t>Days sales outstanding (on revenue)</t>
        </is>
      </c>
      <c r="C15" t="n">
        <v>19.7</v>
      </c>
    </row>
    <row r="16">
      <c r="A16" t="inlineStr">
        <is>
          <t>Days inventory outstanding (on cost of revenue)</t>
        </is>
      </c>
      <c r="C16" t="n">
        <v>8.800000000000001</v>
      </c>
    </row>
    <row r="17">
      <c r="A17" t="inlineStr">
        <is>
          <t>Days payables outstanding (on cost of revenue)</t>
        </is>
      </c>
      <c r="C17" t="n">
        <v>9.1</v>
      </c>
    </row>
    <row r="18">
      <c r="A18" t="inlineStr">
        <is>
          <t>Shareholder payouts and other financing, % of net income</t>
        </is>
      </c>
      <c r="C18" t="n">
        <v>0.65</v>
      </c>
    </row>
    <row r="19">
      <c r="A19" t="inlineStr">
        <is>
          <t>Interest expense, net, per year ($ in millions)</t>
        </is>
      </c>
      <c r="C19" t="n">
        <v>28.558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ROLLINS INC: income statement</t>
        </is>
      </c>
    </row>
    <row r="2">
      <c r="A2" t="inlineStr">
        <is>
          <t>$ in millions</t>
        </is>
      </c>
    </row>
    <row r="3">
      <c r="C3" t="inlineStr">
        <is>
          <t>Q1 FY2025</t>
        </is>
      </c>
      <c r="D3" t="inlineStr">
        <is>
          <t>Q2 FY2025</t>
        </is>
      </c>
      <c r="E3" t="inlineStr">
        <is>
          <t>Q3 FY2025</t>
        </is>
      </c>
      <c r="F3" t="inlineStr">
        <is>
          <t>Q4 FY2025</t>
        </is>
      </c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822.504</v>
      </c>
      <c r="D6" t="n">
        <v>999.527</v>
      </c>
      <c r="E6" t="n">
        <v>1026.106</v>
      </c>
      <c r="F6">
        <f>G6-C6-D6-E6</f>
        <v/>
      </c>
      <c r="G6" t="n">
        <v>3761.05</v>
      </c>
      <c r="H6" t="n">
        <v>906.424</v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400.134</v>
      </c>
      <c r="D7" t="n">
        <v>461.861</v>
      </c>
      <c r="E7" t="n">
        <v>467.45</v>
      </c>
      <c r="F7">
        <f>G7-C7-D7-E7</f>
        <v/>
      </c>
      <c r="G7" t="n">
        <v>1777.006</v>
      </c>
      <c r="H7" t="n">
        <v>445.522</v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250.513</v>
      </c>
      <c r="D9" t="n">
        <v>307.596</v>
      </c>
      <c r="E9" t="n">
        <v>301.404</v>
      </c>
      <c r="F9">
        <f>G9-C9-D9-E9</f>
        <v/>
      </c>
      <c r="G9" t="n">
        <v>1133.232</v>
      </c>
      <c r="H9" t="n">
        <v>282.918</v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142.648</v>
      </c>
      <c r="D11" t="n">
        <v>198.333</v>
      </c>
      <c r="E11" t="n">
        <v>225.021</v>
      </c>
      <c r="F11">
        <f>G11-C11-D11-E11</f>
        <v/>
      </c>
      <c r="G11" t="n">
        <v>726.068</v>
      </c>
      <c r="H11" t="n">
        <v>145.486</v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5.796</v>
      </c>
      <c r="D12" t="n">
        <v>7.38</v>
      </c>
      <c r="E12" t="n">
        <v>7.942</v>
      </c>
      <c r="F12">
        <f>G12-C12-D12-E12</f>
        <v/>
      </c>
      <c r="G12" t="n">
        <v>28.558</v>
      </c>
      <c r="H12" t="n">
        <v>8.851000000000001</v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137.544</v>
      </c>
      <c r="D14" t="n">
        <v>191.245</v>
      </c>
      <c r="E14" t="n">
        <v>217.429</v>
      </c>
      <c r="F14">
        <f>G14-C14-D14-E14</f>
        <v/>
      </c>
      <c r="G14" t="n">
        <v>700.926</v>
      </c>
      <c r="H14" t="n">
        <v>137.098</v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32.296</v>
      </c>
      <c r="D15" t="n">
        <v>49.756</v>
      </c>
      <c r="E15" t="n">
        <v>53.902</v>
      </c>
      <c r="F15">
        <f>G15-C15-D15-E15</f>
        <v/>
      </c>
      <c r="G15" t="n">
        <v>174.221</v>
      </c>
      <c r="H15" t="n">
        <v>29.26</v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105.248</v>
      </c>
      <c r="D17" t="n">
        <v>141.489</v>
      </c>
      <c r="E17" t="n">
        <v>163.527</v>
      </c>
      <c r="F17">
        <f>G17-C17-D17-E17</f>
        <v/>
      </c>
      <c r="G17" t="n">
        <v>526.705</v>
      </c>
      <c r="H17" t="n">
        <v>107.838</v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ROLLINS INC: balance sheet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100.004</v>
      </c>
      <c r="H6" t="n">
        <v>116.543</v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202.518</v>
      </c>
      <c r="H7" t="n">
        <v>210.721</v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42.982</v>
      </c>
      <c r="H8" t="n">
        <v>44.128</v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472.682</v>
      </c>
      <c r="H10" t="n">
        <v>513.678</v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126.187</v>
      </c>
      <c r="H11" t="n">
        <v>124.91</v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1374.664</v>
      </c>
      <c r="H12" t="n">
        <v>1384.591</v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582.384</v>
      </c>
      <c r="H13" t="n">
        <v>565.723</v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3140.523</v>
      </c>
      <c r="H15" t="n">
        <v>3160.234</v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44.361</v>
      </c>
      <c r="H16" t="n">
        <v>61.188</v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123.683</v>
      </c>
      <c r="H17" t="n">
        <v>163.926</v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0</v>
      </c>
      <c r="H18" t="n">
        <v>0</v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785.525</v>
      </c>
      <c r="H20" t="n">
        <v>794.663</v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486.147</v>
      </c>
      <c r="H21" t="n">
        <v>486.627</v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G27-G20-G21-G24-G25</f>
        <v/>
      </c>
      <c r="H22">
        <f>H27-H20-H21-H24-H25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G27-G24-G25</f>
        <v/>
      </c>
      <c r="H23">
        <f>H27-H24-H25</f>
        <v/>
      </c>
      <c r="I23">
        <f>I27-I24-I25</f>
        <v/>
      </c>
      <c r="J23">
        <f>J27-J24-J25</f>
        <v/>
      </c>
      <c r="K23">
        <f>K27-K24-K25</f>
        <v/>
      </c>
      <c r="M23">
        <f>M27-M24-M25</f>
        <v/>
      </c>
      <c r="N23">
        <f>N27-N24-N25</f>
        <v/>
      </c>
      <c r="O23">
        <f>O27-O24-O25</f>
        <v/>
      </c>
      <c r="P23">
        <f>P27-P24-P25</f>
        <v/>
      </c>
    </row>
    <row r="24">
      <c r="A24" t="inlineStr">
        <is>
          <t>Shareholders' equity (company)</t>
        </is>
      </c>
      <c r="G24" t="n">
        <v>1374.321</v>
      </c>
      <c r="H24" t="n">
        <v>1381.688</v>
      </c>
      <c r="I24">
        <f>H24+IS!I17+CF!I13</f>
        <v/>
      </c>
      <c r="J24">
        <f>I24+IS!J17+CF!J13</f>
        <v/>
      </c>
      <c r="K24">
        <f>J24+IS!K17+CF!K13</f>
        <v/>
      </c>
      <c r="M24">
        <f>K24+IS!M17+CF!M13</f>
        <v/>
      </c>
      <c r="N24">
        <f>M24+IS!N17+CF!N13</f>
        <v/>
      </c>
      <c r="O24">
        <f>N24+IS!O17+CF!O13</f>
        <v/>
      </c>
      <c r="P24">
        <f>O24+IS!P17+CF!P13</f>
        <v/>
      </c>
    </row>
    <row r="25">
      <c r="A25" t="inlineStr">
        <is>
          <t>Non-controlling interests</t>
        </is>
      </c>
      <c r="G25" t="n">
        <v>0</v>
      </c>
      <c r="H25" t="n">
        <v>0</v>
      </c>
      <c r="I25">
        <f>H25</f>
        <v/>
      </c>
      <c r="J25">
        <f>I25</f>
        <v/>
      </c>
      <c r="K25">
        <f>J25</f>
        <v/>
      </c>
      <c r="M25">
        <f>K25</f>
        <v/>
      </c>
      <c r="N25">
        <f>M25</f>
        <v/>
      </c>
      <c r="O25">
        <f>N25</f>
        <v/>
      </c>
      <c r="P25">
        <f>O25</f>
        <v/>
      </c>
    </row>
    <row r="26">
      <c r="A26" t="inlineStr">
        <is>
          <t>Total equity</t>
        </is>
      </c>
      <c r="G26">
        <f>G24+G25</f>
        <v/>
      </c>
      <c r="H26">
        <f>H24+H25</f>
        <v/>
      </c>
      <c r="I26">
        <f>I24+I25</f>
        <v/>
      </c>
      <c r="J26">
        <f>J24+J25</f>
        <v/>
      </c>
      <c r="K26">
        <f>K24+K25</f>
        <v/>
      </c>
      <c r="M26">
        <f>M24+M25</f>
        <v/>
      </c>
      <c r="N26">
        <f>N24+N25</f>
        <v/>
      </c>
      <c r="O26">
        <f>O24+O25</f>
        <v/>
      </c>
      <c r="P26">
        <f>P24+P25</f>
        <v/>
      </c>
    </row>
    <row r="27">
      <c r="A27" t="inlineStr">
        <is>
          <t>Total liabilities and equity</t>
        </is>
      </c>
      <c r="G27" t="n">
        <v>3140.523</v>
      </c>
      <c r="H27" t="n">
        <v>3160.234</v>
      </c>
      <c r="I27">
        <f>I20+I21+I22+I24+I25</f>
        <v/>
      </c>
      <c r="J27">
        <f>J20+J21+J22+J24+J25</f>
        <v/>
      </c>
      <c r="K27">
        <f>K20+K21+K22+K24+K25</f>
        <v/>
      </c>
      <c r="M27">
        <f>M20+M21+M22+M24+M25</f>
        <v/>
      </c>
      <c r="N27">
        <f>N20+N21+N22+N24+N25</f>
        <v/>
      </c>
      <c r="O27">
        <f>O20+O21+O22+O24+O25</f>
        <v/>
      </c>
      <c r="P27">
        <f>P20+P21+P22+P24+P25</f>
        <v/>
      </c>
    </row>
    <row r="28">
      <c r="A28" t="inlineStr">
        <is>
          <t>Check: total assets - total liabilities and equity (should be 0)</t>
        </is>
      </c>
      <c r="G28">
        <f>G15-G27</f>
        <v/>
      </c>
      <c r="H28">
        <f>H15-H27</f>
        <v/>
      </c>
      <c r="I28">
        <f>I15-I27</f>
        <v/>
      </c>
      <c r="J28">
        <f>J15-J27</f>
        <v/>
      </c>
      <c r="K28">
        <f>K15-K27</f>
        <v/>
      </c>
      <c r="M28">
        <f>M15-M27</f>
        <v/>
      </c>
      <c r="N28">
        <f>N15-N27</f>
        <v/>
      </c>
      <c r="O28">
        <f>O15-O27</f>
        <v/>
      </c>
      <c r="P28">
        <f>P15-P27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ROLLINS INC: cash flow statement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678.107</v>
      </c>
      <c r="H21" t="n">
        <v>118.367</v>
      </c>
    </row>
    <row r="22">
      <c r="A22" t="inlineStr">
        <is>
          <t>Capital expenditures, year to date (as reported)</t>
        </is>
      </c>
      <c r="G22" t="n">
        <v>-28.086</v>
      </c>
      <c r="H22" t="n">
        <v>-7.139</v>
      </c>
    </row>
    <row r="23">
      <c r="A23" t="inlineStr">
        <is>
          <t>Cash from investing activities, year to date (as reported)</t>
        </is>
      </c>
      <c r="G23" t="n">
        <v>-326.699</v>
      </c>
      <c r="H23" t="n">
        <v>-24.567</v>
      </c>
    </row>
    <row r="24">
      <c r="A24" t="inlineStr">
        <is>
          <t>Cash from financing activities, year to date (as reported)</t>
        </is>
      </c>
      <c r="G24" t="n">
        <v>-343.579</v>
      </c>
      <c r="H24" t="n">
        <v>-76.19199999999999</v>
      </c>
    </row>
    <row r="25">
      <c r="A25" t="inlineStr">
        <is>
          <t>Depreciation and amortization, year to date (as reported)</t>
        </is>
      </c>
      <c r="C25" t="n">
        <v>29.209</v>
      </c>
      <c r="D25" t="n">
        <v>60.946</v>
      </c>
      <c r="E25" t="n">
        <v>93.17700000000001</v>
      </c>
      <c r="G25" t="n">
        <v>124.744</v>
      </c>
      <c r="H25" t="n">
        <v>32.498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ROLLINS INC: unlevered DCF and valuation</t>
        </is>
      </c>
    </row>
    <row r="2">
      <c r="A2" t="inlineStr">
        <is>
          <t>$ in millions</t>
        </is>
      </c>
    </row>
    <row r="3"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SUM(IS!D6:F6)+SUM(IS!H6:H6)</f>
        <v/>
      </c>
    </row>
    <row r="19">
      <c r="A19" t="inlineStr">
        <is>
          <t>EBITDA, last four reported quarters</t>
        </is>
      </c>
      <c r="C19">
        <f>SUM(IS!D19:F19)+SUM(IS!H19:H19)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BS!H6</f>
        <v/>
      </c>
    </row>
    <row r="28">
      <c r="A28" t="inlineStr">
        <is>
          <t>Short-term borrowings (latest reported balance sheet)</t>
        </is>
      </c>
      <c r="C28">
        <f>BS!H17</f>
        <v/>
      </c>
    </row>
    <row r="29">
      <c r="A29" t="inlineStr">
        <is>
          <t>Current portion of long-term debt (latest reported balance sheet)</t>
        </is>
      </c>
      <c r="C29">
        <f>BS!H18</f>
        <v/>
      </c>
    </row>
    <row r="30">
      <c r="A30" t="inlineStr">
        <is>
          <t>Long-term debt (latest reported balance sheet)</t>
        </is>
      </c>
      <c r="C30">
        <f>BS!H21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 (latest reported balance sheet)</t>
        </is>
      </c>
      <c r="C32">
        <f>BS!H25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2026-10-12T00:50:30Z</dcterms:modified>
</cp:coreProperties>
</file>