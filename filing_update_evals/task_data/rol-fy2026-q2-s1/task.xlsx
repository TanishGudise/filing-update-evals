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481.463663</v>
      </c>
    </row>
    <row r="7">
      <c r="A7" t="inlineStr">
        <is>
          <t>Revenue growth, FY2026 quarters vs. same quarter of FY2025</t>
        </is>
      </c>
      <c r="C7" t="n">
        <v>0.11</v>
      </c>
    </row>
    <row r="8">
      <c r="A8" t="inlineStr">
        <is>
          <t>Revenue growth by forecast year</t>
        </is>
      </c>
      <c r="M8" t="n">
        <v>0.11</v>
      </c>
      <c r="N8" t="n">
        <v>0.093</v>
      </c>
      <c r="O8" t="n">
        <v>0.077</v>
      </c>
      <c r="P8" t="n">
        <v>0.061</v>
      </c>
    </row>
    <row r="9">
      <c r="A9" t="inlineStr">
        <is>
          <t>Gross margin</t>
        </is>
      </c>
      <c r="C9" t="n">
        <v>0.5256999999999999</v>
      </c>
    </row>
    <row r="10">
      <c r="A10" t="inlineStr">
        <is>
          <t>SG&amp;A, % of revenue</t>
        </is>
      </c>
      <c r="C10" t="n">
        <v>0.3022</v>
      </c>
    </row>
    <row r="11">
      <c r="A11" t="inlineStr">
        <is>
          <t>Other operating expenses, % of revenue</t>
        </is>
      </c>
      <c r="C11" t="n">
        <v>0.0332</v>
      </c>
    </row>
    <row r="12">
      <c r="A12" t="inlineStr">
        <is>
          <t>Depreciation and amortization, % of revenue</t>
        </is>
      </c>
      <c r="C12" t="n">
        <v>0.0332</v>
      </c>
    </row>
    <row r="13">
      <c r="A13" t="inlineStr">
        <is>
          <t>Capital expenditures, % of revenue</t>
        </is>
      </c>
      <c r="C13" t="n">
        <v>0.0075</v>
      </c>
    </row>
    <row r="14">
      <c r="A14" t="inlineStr">
        <is>
          <t>Tax rate</t>
        </is>
      </c>
      <c r="C14" t="n">
        <v>0.249</v>
      </c>
    </row>
    <row r="15">
      <c r="A15" t="inlineStr">
        <is>
          <t>Days sales outstanding (on revenue)</t>
        </is>
      </c>
      <c r="C15" t="n">
        <v>19.7</v>
      </c>
    </row>
    <row r="16">
      <c r="A16" t="inlineStr">
        <is>
          <t>Days inventory outstanding (on cost of revenue)</t>
        </is>
      </c>
      <c r="C16" t="n">
        <v>8.800000000000001</v>
      </c>
    </row>
    <row r="17">
      <c r="A17" t="inlineStr">
        <is>
          <t>Days payables outstanding (on cost of revenue)</t>
        </is>
      </c>
      <c r="C17" t="n">
        <v>9.1</v>
      </c>
    </row>
    <row r="18">
      <c r="A18" t="inlineStr">
        <is>
          <t>Shareholder payouts and other financing, % of net income</t>
        </is>
      </c>
      <c r="C18" t="n">
        <v>0.65</v>
      </c>
    </row>
    <row r="19">
      <c r="A19" t="inlineStr">
        <is>
          <t>Interest expense, net, per year ($ in millions)</t>
        </is>
      </c>
      <c r="C19" t="n">
        <v>28.558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822.504</v>
      </c>
      <c r="D6" t="n">
        <v>999.527</v>
      </c>
      <c r="E6" t="n">
        <v>1026.106</v>
      </c>
      <c r="F6">
        <f>G6-C6-D6-E6</f>
        <v/>
      </c>
      <c r="G6" t="n">
        <v>3761.05</v>
      </c>
      <c r="H6" t="n">
        <v>906.424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400.134</v>
      </c>
      <c r="D7" t="n">
        <v>461.861</v>
      </c>
      <c r="E7" t="n">
        <v>467.45</v>
      </c>
      <c r="F7">
        <f>G7-C7-D7-E7</f>
        <v/>
      </c>
      <c r="G7" t="n">
        <v>1777.006</v>
      </c>
      <c r="H7" t="n">
        <v>445.522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250.513</v>
      </c>
      <c r="D9" t="n">
        <v>307.596</v>
      </c>
      <c r="E9" t="n">
        <v>301.404</v>
      </c>
      <c r="F9">
        <f>G9-C9-D9-E9</f>
        <v/>
      </c>
      <c r="G9" t="n">
        <v>1133.232</v>
      </c>
      <c r="H9" t="n">
        <v>282.918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142.648</v>
      </c>
      <c r="D11" t="n">
        <v>198.333</v>
      </c>
      <c r="E11" t="n">
        <v>225.021</v>
      </c>
      <c r="F11">
        <f>G11-C11-D11-E11</f>
        <v/>
      </c>
      <c r="G11" t="n">
        <v>726.068</v>
      </c>
      <c r="H11" t="n">
        <v>145.486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5.796</v>
      </c>
      <c r="D12" t="n">
        <v>7.38</v>
      </c>
      <c r="E12" t="n">
        <v>7.942</v>
      </c>
      <c r="F12">
        <f>G12-C12-D12-E12</f>
        <v/>
      </c>
      <c r="G12" t="n">
        <v>28.558</v>
      </c>
      <c r="H12" t="n">
        <v>8.851000000000001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137.544</v>
      </c>
      <c r="D14" t="n">
        <v>191.245</v>
      </c>
      <c r="E14" t="n">
        <v>217.429</v>
      </c>
      <c r="F14">
        <f>G14-C14-D14-E14</f>
        <v/>
      </c>
      <c r="G14" t="n">
        <v>700.926</v>
      </c>
      <c r="H14" t="n">
        <v>137.098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32.296</v>
      </c>
      <c r="D15" t="n">
        <v>49.756</v>
      </c>
      <c r="E15" t="n">
        <v>53.902</v>
      </c>
      <c r="F15">
        <f>G15-C15-D15-E15</f>
        <v/>
      </c>
      <c r="G15" t="n">
        <v>174.221</v>
      </c>
      <c r="H15" t="n">
        <v>29.26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105.248</v>
      </c>
      <c r="D17" t="n">
        <v>141.489</v>
      </c>
      <c r="E17" t="n">
        <v>163.527</v>
      </c>
      <c r="F17">
        <f>G17-C17-D17-E17</f>
        <v/>
      </c>
      <c r="G17" t="n">
        <v>526.705</v>
      </c>
      <c r="H17" t="n">
        <v>107.838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100.004</v>
      </c>
      <c r="H6" t="n">
        <v>116.543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202.518</v>
      </c>
      <c r="H7" t="n">
        <v>210.721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42.982</v>
      </c>
      <c r="H8" t="n">
        <v>44.128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472.682</v>
      </c>
      <c r="H10" t="n">
        <v>513.678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126.187</v>
      </c>
      <c r="H11" t="n">
        <v>124.91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1374.664</v>
      </c>
      <c r="H12" t="n">
        <v>1384.591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582.384</v>
      </c>
      <c r="H13" t="n">
        <v>565.723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3140.523</v>
      </c>
      <c r="H15" t="n">
        <v>3160.234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44.361</v>
      </c>
      <c r="H16" t="n">
        <v>61.188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123.683</v>
      </c>
      <c r="H17" t="n">
        <v>163.926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785.525</v>
      </c>
      <c r="H20" t="n">
        <v>794.663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486.147</v>
      </c>
      <c r="H21" t="n">
        <v>486.627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1374.321</v>
      </c>
      <c r="H25" t="n">
        <v>1381.688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3140.523</v>
      </c>
      <c r="H28" t="n">
        <v>3160.234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678.107</v>
      </c>
      <c r="H21" t="n">
        <v>118.367</v>
      </c>
    </row>
    <row r="22">
      <c r="A22" t="inlineStr">
        <is>
          <t>Capital expenditures, year to date (as reported)</t>
        </is>
      </c>
      <c r="G22" t="n">
        <v>-28.086</v>
      </c>
      <c r="H22" t="n">
        <v>-7.139</v>
      </c>
    </row>
    <row r="23">
      <c r="A23" t="inlineStr">
        <is>
          <t>Cash from investing activities, year to date (as reported)</t>
        </is>
      </c>
      <c r="G23" t="n">
        <v>-326.699</v>
      </c>
      <c r="H23" t="n">
        <v>-24.567</v>
      </c>
    </row>
    <row r="24">
      <c r="A24" t="inlineStr">
        <is>
          <t>Cash from financing activities, year to date (as reported)</t>
        </is>
      </c>
      <c r="G24" t="n">
        <v>-343.579</v>
      </c>
      <c r="H24" t="n">
        <v>-76.19199999999999</v>
      </c>
    </row>
    <row r="25">
      <c r="A25" t="inlineStr">
        <is>
          <t>Depreciation and amortization, year to date (as reported)</t>
        </is>
      </c>
      <c r="C25" t="n">
        <v>29.209</v>
      </c>
      <c r="D25" t="n">
        <v>60.946</v>
      </c>
      <c r="E25" t="n">
        <v>93.17700000000001</v>
      </c>
      <c r="G25" t="n">
        <v>124.744</v>
      </c>
      <c r="H25" t="n">
        <v>32.498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ROLLINS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2026-10-12T02:09:01Z</dcterms:modified>
</cp:coreProperties>
</file>