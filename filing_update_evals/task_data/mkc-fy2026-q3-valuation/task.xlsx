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3</v>
      </c>
    </row>
    <row r="5">
      <c r="A5" t="inlineStr">
        <is>
          <t>Shares outstanding, latest 10-Q/10-K cover (millions)</t>
        </is>
      </c>
      <c r="C5" t="n">
        <v>268.851552</v>
      </c>
    </row>
    <row r="7">
      <c r="A7" t="inlineStr">
        <is>
          <t>Revenue growth, FY2026 quarters vs. same quarter of FY2025</t>
        </is>
      </c>
      <c r="C7" t="n">
        <v>0.017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0.3758</v>
      </c>
    </row>
    <row r="10">
      <c r="A10" t="inlineStr">
        <is>
          <t>SG&amp;A, % of revenue</t>
        </is>
      </c>
      <c r="C10" t="n">
        <v>0.2191</v>
      </c>
    </row>
    <row r="11">
      <c r="A11" t="inlineStr">
        <is>
          <t>Other operating expenses, % of revenue</t>
        </is>
      </c>
      <c r="C11" t="n">
        <v>0.0023</v>
      </c>
    </row>
    <row r="12">
      <c r="A12" t="inlineStr">
        <is>
          <t>Depreciation and amortization, % of revenue</t>
        </is>
      </c>
      <c r="C12" t="n">
        <v>0.0338</v>
      </c>
    </row>
    <row r="13">
      <c r="A13" t="inlineStr">
        <is>
          <t>Capital expenditures, % of revenue</t>
        </is>
      </c>
      <c r="C13" t="n">
        <v>0.0324</v>
      </c>
    </row>
    <row r="14">
      <c r="A14" t="inlineStr">
        <is>
          <t>Tax rate</t>
        </is>
      </c>
      <c r="C14" t="n">
        <v>0.214</v>
      </c>
    </row>
    <row r="15">
      <c r="A15" t="inlineStr">
        <is>
          <t>Days sales outstanding (on revenue)</t>
        </is>
      </c>
      <c r="C15" t="n">
        <v>33.6</v>
      </c>
    </row>
    <row r="16">
      <c r="A16" t="inlineStr">
        <is>
          <t>Days inventory outstanding (on cost of revenue)</t>
        </is>
      </c>
      <c r="C16" t="n">
        <v>109.3</v>
      </c>
    </row>
    <row r="17">
      <c r="A17" t="inlineStr">
        <is>
          <t>Days payables outstanding (on cost of revenue)</t>
        </is>
      </c>
      <c r="C17" t="n">
        <v>108.2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196.2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1605.5</v>
      </c>
      <c r="D6" t="n">
        <v>1659.5</v>
      </c>
      <c r="E6" t="n">
        <v>1724.9</v>
      </c>
      <c r="F6">
        <f>G6-C6-D6-E6</f>
        <v/>
      </c>
      <c r="G6" t="n">
        <v>6840.3</v>
      </c>
      <c r="H6" t="n">
        <v>1873.9</v>
      </c>
      <c r="I6" t="n">
        <v>1936.6</v>
      </c>
      <c r="J6" t="n">
        <v>2024.8</v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1001.5</v>
      </c>
      <c r="D7" t="n">
        <v>1036.7</v>
      </c>
      <c r="E7" t="n">
        <v>1079.8</v>
      </c>
      <c r="F7">
        <f>G7-C7-D7-E7</f>
        <v/>
      </c>
      <c r="G7" t="n">
        <v>4248.1</v>
      </c>
      <c r="H7" t="n">
        <v>1165</v>
      </c>
      <c r="I7" t="n">
        <v>1158.4</v>
      </c>
      <c r="J7" t="n">
        <v>1229.9</v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378.8</v>
      </c>
      <c r="D9" t="n">
        <v>364.2</v>
      </c>
      <c r="E9" t="n">
        <v>352.5</v>
      </c>
      <c r="F9">
        <f>G9-C9-D9-E9</f>
        <v/>
      </c>
      <c r="G9" t="n">
        <v>1500.3</v>
      </c>
      <c r="H9" t="n">
        <v>456.3</v>
      </c>
      <c r="I9" t="n">
        <v>441.8</v>
      </c>
      <c r="J9" t="n">
        <v>436.4</v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I8-I9-I11</f>
        <v/>
      </c>
      <c r="J10">
        <f>J8-J9-J11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225.2</v>
      </c>
      <c r="D11" t="n">
        <v>245.8</v>
      </c>
      <c r="E11" t="n">
        <v>288.7</v>
      </c>
      <c r="F11">
        <f>G11-C11-D11-E11</f>
        <v/>
      </c>
      <c r="G11" t="n">
        <v>1070.8</v>
      </c>
      <c r="H11" t="n">
        <v>227.5</v>
      </c>
      <c r="I11" t="n">
        <v>276.4</v>
      </c>
      <c r="J11" t="n">
        <v>217</v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48.5</v>
      </c>
      <c r="D12" t="n">
        <v>51</v>
      </c>
      <c r="E12" t="n">
        <v>50.2</v>
      </c>
      <c r="F12">
        <f>G12-C12-D12-E12</f>
        <v/>
      </c>
      <c r="G12" t="n">
        <v>196.2</v>
      </c>
      <c r="H12" t="n">
        <v>47.3</v>
      </c>
      <c r="I12" t="n">
        <v>62.7</v>
      </c>
      <c r="J12" t="n">
        <v>68.40000000000001</v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I14-I11+I12</f>
        <v/>
      </c>
      <c r="J13">
        <f>J14-J11+J12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186.5</v>
      </c>
      <c r="D14" t="n">
        <v>204.6</v>
      </c>
      <c r="E14" t="n">
        <v>247.9</v>
      </c>
      <c r="F14">
        <f>G14-C14-D14-E14</f>
        <v/>
      </c>
      <c r="G14" t="n">
        <v>913</v>
      </c>
      <c r="H14" t="n">
        <v>185</v>
      </c>
      <c r="I14" t="n">
        <v>220.2</v>
      </c>
      <c r="J14" t="n">
        <v>154.5</v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41.6</v>
      </c>
      <c r="D15" t="n">
        <v>49.3</v>
      </c>
      <c r="E15" t="n">
        <v>39.3</v>
      </c>
      <c r="F15">
        <f>G15-C15-D15-E15</f>
        <v/>
      </c>
      <c r="G15" t="n">
        <v>195.8</v>
      </c>
      <c r="H15" t="n">
        <v>48.7</v>
      </c>
      <c r="I15" t="n">
        <v>63.5</v>
      </c>
      <c r="J15" t="n">
        <v>49.9</v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I17-(I14-I15)</f>
        <v/>
      </c>
      <c r="J16">
        <f>J17-(J14-J15)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162.3</v>
      </c>
      <c r="D17" t="n">
        <v>175</v>
      </c>
      <c r="E17" t="n">
        <v>225.5</v>
      </c>
      <c r="F17">
        <f>G17-C17-D17-E17</f>
        <v/>
      </c>
      <c r="G17" t="n">
        <v>789.4</v>
      </c>
      <c r="H17" t="n">
        <v>1016.2</v>
      </c>
      <c r="I17" t="n">
        <v>150.1</v>
      </c>
      <c r="J17" t="n">
        <v>97.59999999999999</v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CF!I25-CF!H25</f>
        <v/>
      </c>
      <c r="J18">
        <f>CF!J25-CF!I25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95.90000000000001</v>
      </c>
      <c r="H6" t="n">
        <v>177.7</v>
      </c>
      <c r="I6" t="n">
        <v>331.2</v>
      </c>
      <c r="J6" t="n">
        <v>331.1</v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628.9</v>
      </c>
      <c r="H7" t="n">
        <v>829.2</v>
      </c>
      <c r="I7" t="n">
        <v>709.4</v>
      </c>
      <c r="J7" t="n">
        <v>831.5</v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1272</v>
      </c>
      <c r="H8" t="n">
        <v>1366.5</v>
      </c>
      <c r="I8" t="n">
        <v>1408.6</v>
      </c>
      <c r="J8" t="n">
        <v>1446.1</v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I10-I6-I7-I8</f>
        <v/>
      </c>
      <c r="J9">
        <f>J10-J6-J7-J8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2138.1</v>
      </c>
      <c r="H10" t="n">
        <v>2609.3</v>
      </c>
      <c r="I10" t="n">
        <v>2788.8</v>
      </c>
      <c r="J10" t="n">
        <v>2904.8</v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1448.8</v>
      </c>
      <c r="H11" t="n">
        <v>1510.3</v>
      </c>
      <c r="I11" t="n">
        <v>1504.2</v>
      </c>
      <c r="J11" t="n">
        <v>1537.7</v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5301.3</v>
      </c>
      <c r="H12" t="n">
        <v>6316.5</v>
      </c>
      <c r="I12" t="n">
        <v>6291.9</v>
      </c>
      <c r="J12" t="n">
        <v>6303.9</v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3293.1</v>
      </c>
      <c r="H13" t="n">
        <v>4961.6</v>
      </c>
      <c r="I13" t="n">
        <v>4937.5</v>
      </c>
      <c r="J13" t="n">
        <v>4958.9</v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I15-I10-I11-I12-I13</f>
        <v/>
      </c>
      <c r="J14">
        <f>J15-J10-J11-J12-J13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13200.4</v>
      </c>
      <c r="H15" t="n">
        <v>16346.3</v>
      </c>
      <c r="I15" t="n">
        <v>16477.1</v>
      </c>
      <c r="J15" t="n">
        <v>16650.6</v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1259.4</v>
      </c>
      <c r="H16" t="n">
        <v>1391.6</v>
      </c>
      <c r="I16" t="n">
        <v>1515.1</v>
      </c>
      <c r="J16" t="n">
        <v>1481.3</v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381.4</v>
      </c>
      <c r="H17" t="n">
        <v>1309.9</v>
      </c>
      <c r="I17" t="n">
        <v>1326.6</v>
      </c>
      <c r="J17" t="n">
        <v>1340.2</v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509.1</v>
      </c>
      <c r="H18" t="n">
        <v>9.4</v>
      </c>
      <c r="I18" t="n">
        <v>9.5</v>
      </c>
      <c r="J18" t="n">
        <v>771.9</v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I20-I16-I17-I18</f>
        <v/>
      </c>
      <c r="J19">
        <f>J20-J16-J17-J18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3062.2</v>
      </c>
      <c r="H20" t="n">
        <v>3442.1</v>
      </c>
      <c r="I20" t="n">
        <v>3571.8</v>
      </c>
      <c r="J20" t="n">
        <v>4420</v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3105.8</v>
      </c>
      <c r="H21" t="n">
        <v>3604.1</v>
      </c>
      <c r="I21" t="n">
        <v>3597.4</v>
      </c>
      <c r="J21" t="n">
        <v>2906.1</v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I28-I20-I21-I24-I25-I26</f>
        <v/>
      </c>
      <c r="J22">
        <f>J28-J20-J21-J24-J25-J26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 t="n">
        <v>0</v>
      </c>
      <c r="J24" t="n">
        <v>0</v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5736.5</v>
      </c>
      <c r="H25" t="n">
        <v>6980.3</v>
      </c>
      <c r="I25" t="n">
        <v>6995.6</v>
      </c>
      <c r="J25" t="n">
        <v>7003.3</v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31.6</v>
      </c>
      <c r="H26" t="n">
        <v>575.8</v>
      </c>
      <c r="I26" t="n">
        <v>577.7</v>
      </c>
      <c r="J26" t="n">
        <v>583.8</v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13200.4</v>
      </c>
      <c r="H28" t="n">
        <v>16346.3</v>
      </c>
      <c r="I28" t="n">
        <v>16477.1</v>
      </c>
      <c r="J28" t="n">
        <v>16650.6</v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I9-I6-I7</f>
        <v/>
      </c>
      <c r="J8">
        <f>J9-J6-J7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I21-H21</f>
        <v/>
      </c>
      <c r="J9">
        <f>J21-I21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I22-H22</f>
        <v/>
      </c>
      <c r="J10">
        <f>J22-I22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I12-I10</f>
        <v/>
      </c>
      <c r="J11">
        <f>J12-J10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I23-H23</f>
        <v/>
      </c>
      <c r="J12">
        <f>J23-I23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I24-H24</f>
        <v/>
      </c>
      <c r="J13">
        <f>J24-I24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BS!I6-BS!H6-I9-I12-I13</f>
        <v/>
      </c>
      <c r="J14">
        <f>BS!J6-BS!I6-J9-J12-J13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962.2</v>
      </c>
      <c r="H21" t="n">
        <v>50.9</v>
      </c>
      <c r="I21" t="n">
        <v>430.7</v>
      </c>
      <c r="J21" t="n">
        <v>598.8</v>
      </c>
    </row>
    <row r="22">
      <c r="A22" t="inlineStr">
        <is>
          <t>Capital expenditures, year to date (as reported)</t>
        </is>
      </c>
      <c r="G22" t="n">
        <v>-221.8</v>
      </c>
      <c r="H22" t="n">
        <v>-32.5</v>
      </c>
      <c r="I22" t="n">
        <v>-75.2</v>
      </c>
      <c r="J22" t="n">
        <v>-131.2</v>
      </c>
    </row>
    <row r="23">
      <c r="A23" t="inlineStr">
        <is>
          <t>Cash from investing activities, year to date (as reported)</t>
        </is>
      </c>
      <c r="G23" t="n">
        <v>-255.2</v>
      </c>
      <c r="H23" t="n">
        <v>-762.4</v>
      </c>
      <c r="I23" t="n">
        <v>-805.1</v>
      </c>
      <c r="J23" t="n">
        <v>-861.1</v>
      </c>
    </row>
    <row r="24">
      <c r="A24" t="inlineStr">
        <is>
          <t>Cash from financing activities, year to date (as reported)</t>
        </is>
      </c>
      <c r="G24" t="n">
        <v>-840.9</v>
      </c>
      <c r="H24" t="n">
        <v>781.7</v>
      </c>
      <c r="I24" t="n">
        <v>602.7</v>
      </c>
      <c r="J24" t="n">
        <v>490.3</v>
      </c>
    </row>
    <row r="25">
      <c r="A25" t="inlineStr">
        <is>
          <t>Depreciation and amortization, year to date (as reported)</t>
        </is>
      </c>
      <c r="C25" t="n">
        <v>53.8</v>
      </c>
      <c r="D25" t="n">
        <v>110.9</v>
      </c>
      <c r="E25" t="n">
        <v>172.1</v>
      </c>
      <c r="G25" t="n">
        <v>231.3</v>
      </c>
      <c r="H25" t="n">
        <v>63</v>
      </c>
      <c r="I25" t="n">
        <v>136.5</v>
      </c>
      <c r="J25" t="n">
        <v>213.1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MCCORMICK &amp; CO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SUM(IS!E6:F6)+SUM(IS!H6:I6)</f>
        <v/>
      </c>
    </row>
    <row r="19">
      <c r="A19" t="inlineStr">
        <is>
          <t>EBITDA, last four reported quarters</t>
        </is>
      </c>
      <c r="C19">
        <f>SUM(IS!E19:F19)+SUM(IS!H19:I19)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BS!I6</f>
        <v/>
      </c>
    </row>
    <row r="28">
      <c r="A28" t="inlineStr">
        <is>
          <t>Short-term borrowings (latest reported balance sheet)</t>
        </is>
      </c>
      <c r="C28">
        <f>BS!I17</f>
        <v/>
      </c>
    </row>
    <row r="29">
      <c r="A29" t="inlineStr">
        <is>
          <t>Current portion of long-term debt (latest reported balance sheet)</t>
        </is>
      </c>
      <c r="C29">
        <f>BS!I18</f>
        <v/>
      </c>
    </row>
    <row r="30">
      <c r="A30" t="inlineStr">
        <is>
          <t>Long-term debt (latest reported balance sheet)</t>
        </is>
      </c>
      <c r="C30">
        <f>BS!I21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BS!I26+BS!I24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2026-10-12T17:12:15Z</dcterms:modified>
</cp:coreProperties>
</file>