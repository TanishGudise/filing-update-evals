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2</v>
      </c>
    </row>
    <row r="5">
      <c r="A5" t="inlineStr">
        <is>
          <t>Shares outstanding, latest 10-Q/10-K cover (millions)</t>
        </is>
      </c>
      <c r="C5" t="n">
        <v>209.727698</v>
      </c>
    </row>
    <row r="7">
      <c r="A7" t="inlineStr">
        <is>
          <t>Revenue growth, FY2027 quarters vs. same quarter of FY2026</t>
        </is>
      </c>
      <c r="C7" t="n">
        <v>0.004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0.2324</v>
      </c>
    </row>
    <row r="10">
      <c r="A10" t="inlineStr">
        <is>
          <t>SG&amp;A, % of revenue</t>
        </is>
      </c>
      <c r="C10" t="n">
        <v>0.1943</v>
      </c>
    </row>
    <row r="11">
      <c r="A11" t="inlineStr">
        <is>
          <t>Other operating expenses, % of revenue</t>
        </is>
      </c>
      <c r="C11" t="n">
        <v>0.0123</v>
      </c>
    </row>
    <row r="12">
      <c r="A12" t="inlineStr">
        <is>
          <t>Depreciation and amortization, % of revenue</t>
        </is>
      </c>
      <c r="C12" t="n">
        <v>0.0199</v>
      </c>
    </row>
    <row r="13">
      <c r="A13" t="inlineStr">
        <is>
          <t>Capital expenditures, % of revenue</t>
        </is>
      </c>
      <c r="C13" t="n">
        <v>0.0169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9.1</v>
      </c>
    </row>
    <row r="16">
      <c r="A16" t="inlineStr">
        <is>
          <t>Days inventory outstanding (on cost of revenue)</t>
        </is>
      </c>
      <c r="C16" t="n">
        <v>59.1</v>
      </c>
    </row>
    <row r="17">
      <c r="A17" t="inlineStr">
        <is>
          <t>Days payables outstanding (on cost of revenue)</t>
        </is>
      </c>
      <c r="C17" t="n">
        <v>53.6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47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8">
      <c r="A28" t="inlineStr">
        <is>
          <t>Guidance (from the latest earnings release)</t>
        </is>
      </c>
    </row>
    <row r="29">
      <c r="A29" t="inlineStr">
        <is>
          <t>FY2027 revenue guidance, bottom of range ($ in millions)</t>
        </is>
      </c>
    </row>
    <row r="30">
      <c r="A30" t="inlineStr">
        <is>
          <t>FY2027 revenue guidance, top of range ($ in millions)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8767</v>
      </c>
      <c r="D6" t="n">
        <v>9438</v>
      </c>
      <c r="E6" t="n">
        <v>9672</v>
      </c>
      <c r="F6">
        <f>G6-C6-D6-E6</f>
        <v/>
      </c>
      <c r="G6" t="n">
        <v>41691</v>
      </c>
      <c r="H6" t="n">
        <v>8936</v>
      </c>
      <c r="I6" t="n">
        <v>9779</v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6718</v>
      </c>
      <c r="D7" t="n">
        <v>7244</v>
      </c>
      <c r="E7" t="n">
        <v>7424</v>
      </c>
      <c r="F7">
        <f>G7-C7-D7-E7</f>
        <v/>
      </c>
      <c r="G7" t="n">
        <v>32318</v>
      </c>
      <c r="H7" t="n">
        <v>6834</v>
      </c>
      <c r="I7" t="n">
        <v>7441</v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1721</v>
      </c>
      <c r="D9" t="n">
        <v>1829</v>
      </c>
      <c r="E9" t="n">
        <v>1884</v>
      </c>
      <c r="F9">
        <f>G9-C9-D9-E9</f>
        <v/>
      </c>
      <c r="G9" t="n">
        <v>7623</v>
      </c>
      <c r="H9" t="n">
        <v>1741</v>
      </c>
      <c r="I9" t="n">
        <v>1923</v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I8-I9-I11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219</v>
      </c>
      <c r="D11" t="n">
        <v>251</v>
      </c>
      <c r="E11" t="n">
        <v>198</v>
      </c>
      <c r="F11">
        <f>G11-C11-D11-E11</f>
        <v/>
      </c>
      <c r="G11" t="n">
        <v>1389</v>
      </c>
      <c r="H11" t="n">
        <v>370</v>
      </c>
      <c r="I11" t="n">
        <v>421</v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12</v>
      </c>
      <c r="D12" t="n">
        <v>12</v>
      </c>
      <c r="E12" t="n">
        <v>12</v>
      </c>
      <c r="F12">
        <f>G12-C12-D12-E12</f>
        <v/>
      </c>
      <c r="G12" t="n">
        <v>47</v>
      </c>
      <c r="H12" t="n">
        <v>11</v>
      </c>
      <c r="I12" t="n">
        <v>11</v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I14-I11+I12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222</v>
      </c>
      <c r="D14" t="n">
        <v>253</v>
      </c>
      <c r="E14" t="n">
        <v>205</v>
      </c>
      <c r="F14">
        <f>G14-C14-D14-E14</f>
        <v/>
      </c>
      <c r="G14" t="n">
        <v>1404</v>
      </c>
      <c r="H14" t="n">
        <v>378</v>
      </c>
      <c r="I14" t="n">
        <v>430</v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19</v>
      </c>
      <c r="D15" t="n">
        <v>68</v>
      </c>
      <c r="E15" t="n">
        <v>64</v>
      </c>
      <c r="F15">
        <f>G15-C15-D15-E15</f>
        <v/>
      </c>
      <c r="G15" t="n">
        <v>337</v>
      </c>
      <c r="H15" t="n">
        <v>102</v>
      </c>
      <c r="I15" t="n">
        <v>116</v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I17-(I14-I15)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202</v>
      </c>
      <c r="D17" t="n">
        <v>186</v>
      </c>
      <c r="E17" t="n">
        <v>140</v>
      </c>
      <c r="F17">
        <f>G17-C17-D17-E17</f>
        <v/>
      </c>
      <c r="G17" t="n">
        <v>1069</v>
      </c>
      <c r="H17" t="n">
        <v>276</v>
      </c>
      <c r="I17" t="n">
        <v>315</v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CF!I25-CF!H25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1738</v>
      </c>
      <c r="H6" t="n">
        <v>1749</v>
      </c>
      <c r="I6" t="n">
        <v>2255</v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1043</v>
      </c>
      <c r="H7" t="n">
        <v>906</v>
      </c>
      <c r="I7" t="n">
        <v>922</v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5230</v>
      </c>
      <c r="H8" t="n">
        <v>5598</v>
      </c>
      <c r="I8" t="n">
        <v>6296</v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I10-I6-I7-I8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8504</v>
      </c>
      <c r="H10" t="n">
        <v>8740</v>
      </c>
      <c r="I10" t="n">
        <v>9981</v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1986</v>
      </c>
      <c r="H11" t="n">
        <v>1987</v>
      </c>
      <c r="I11" t="n">
        <v>1990</v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790</v>
      </c>
      <c r="H12" t="n">
        <v>790</v>
      </c>
      <c r="I12" t="n">
        <v>790</v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 t="n">
        <v>0</v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I15-I10-I11-I12-I13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14670</v>
      </c>
      <c r="H15" t="n">
        <v>14890</v>
      </c>
      <c r="I15" t="n">
        <v>16107</v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4745</v>
      </c>
      <c r="H16" t="n">
        <v>5118</v>
      </c>
      <c r="I16" t="n">
        <v>6026</v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 t="n">
        <v>0</v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11</v>
      </c>
      <c r="H18" t="n">
        <v>11</v>
      </c>
      <c r="I18" t="n">
        <v>11</v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I20-I16-I17-I18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7679</v>
      </c>
      <c r="H20" t="n">
        <v>7797</v>
      </c>
      <c r="I20" t="n">
        <v>8936</v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1165</v>
      </c>
      <c r="H21" t="n">
        <v>1158</v>
      </c>
      <c r="I21" t="n">
        <v>1158</v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G27-G20-G21-G24-G25</f>
        <v/>
      </c>
      <c r="H22">
        <f>H27-H20-H21-H24-H25</f>
        <v/>
      </c>
      <c r="I22">
        <f>I27-I20-I21-I24-I25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G27-G24-G25</f>
        <v/>
      </c>
      <c r="H23">
        <f>H27-H24-H25</f>
        <v/>
      </c>
      <c r="I23">
        <f>I27-I24-I25</f>
        <v/>
      </c>
      <c r="J23">
        <f>J27-J24-J25</f>
        <v/>
      </c>
      <c r="K23">
        <f>K27-K24-K25</f>
        <v/>
      </c>
      <c r="M23">
        <f>M27-M24-M25</f>
        <v/>
      </c>
      <c r="N23">
        <f>N27-N24-N25</f>
        <v/>
      </c>
      <c r="O23">
        <f>O27-O24-O25</f>
        <v/>
      </c>
      <c r="P23">
        <f>P27-P24-P25</f>
        <v/>
      </c>
    </row>
    <row r="24">
      <c r="A24" t="inlineStr">
        <is>
          <t>Shareholders' equity (company)</t>
        </is>
      </c>
      <c r="G24" t="n">
        <v>2964</v>
      </c>
      <c r="H24" t="n">
        <v>3083</v>
      </c>
      <c r="I24" t="n">
        <v>3183</v>
      </c>
      <c r="J24">
        <f>I24+IS!J17+CF!J13</f>
        <v/>
      </c>
      <c r="K24">
        <f>J24+IS!K17+CF!K13</f>
        <v/>
      </c>
      <c r="M24">
        <f>K24+IS!M17+CF!M13</f>
        <v/>
      </c>
      <c r="N24">
        <f>M24+IS!N17+CF!N13</f>
        <v/>
      </c>
      <c r="O24">
        <f>N24+IS!O17+CF!O13</f>
        <v/>
      </c>
      <c r="P24">
        <f>O24+IS!P17+CF!P13</f>
        <v/>
      </c>
    </row>
    <row r="25">
      <c r="A25" t="inlineStr">
        <is>
          <t>Non-controlling interests</t>
        </is>
      </c>
      <c r="G25" t="n">
        <v>0</v>
      </c>
      <c r="H25" t="n">
        <v>0</v>
      </c>
      <c r="I25" t="n">
        <v>0</v>
      </c>
      <c r="J25">
        <f>I25</f>
        <v/>
      </c>
      <c r="K25">
        <f>J25</f>
        <v/>
      </c>
      <c r="M25">
        <f>K25</f>
        <v/>
      </c>
      <c r="N25">
        <f>M25</f>
        <v/>
      </c>
      <c r="O25">
        <f>N25</f>
        <v/>
      </c>
      <c r="P25">
        <f>O25</f>
        <v/>
      </c>
    </row>
    <row r="26">
      <c r="A26" t="inlineStr">
        <is>
          <t>Total equity</t>
        </is>
      </c>
      <c r="G26">
        <f>G24+G25</f>
        <v/>
      </c>
      <c r="H26">
        <f>H24+H25</f>
        <v/>
      </c>
      <c r="I26">
        <f>I24+I25</f>
        <v/>
      </c>
      <c r="J26">
        <f>J24+J25</f>
        <v/>
      </c>
      <c r="K26">
        <f>K24+K25</f>
        <v/>
      </c>
      <c r="M26">
        <f>M24+M25</f>
        <v/>
      </c>
      <c r="N26">
        <f>N24+N25</f>
        <v/>
      </c>
      <c r="O26">
        <f>O24+O25</f>
        <v/>
      </c>
      <c r="P26">
        <f>P24+P25</f>
        <v/>
      </c>
    </row>
    <row r="27">
      <c r="A27" t="inlineStr">
        <is>
          <t>Total liabilities and equity</t>
        </is>
      </c>
      <c r="G27" t="n">
        <v>14670</v>
      </c>
      <c r="H27" t="n">
        <v>14890</v>
      </c>
      <c r="I27" t="n">
        <v>16107</v>
      </c>
      <c r="J27">
        <f>J20+J21+J22+J24+J25</f>
        <v/>
      </c>
      <c r="K27">
        <f>K20+K21+K22+K24+K25</f>
        <v/>
      </c>
      <c r="M27">
        <f>M20+M21+M22+M24+M25</f>
        <v/>
      </c>
      <c r="N27">
        <f>N20+N21+N22+N24+N25</f>
        <v/>
      </c>
      <c r="O27">
        <f>O20+O21+O22+O24+O25</f>
        <v/>
      </c>
      <c r="P27">
        <f>P20+P21+P22+P24+P25</f>
        <v/>
      </c>
    </row>
    <row r="28">
      <c r="A28" t="inlineStr">
        <is>
          <t>Check: total assets - total liabilities and equity (should be 0)</t>
        </is>
      </c>
      <c r="G28">
        <f>G15-G27</f>
        <v/>
      </c>
      <c r="H28">
        <f>H15-H27</f>
        <v/>
      </c>
      <c r="I28">
        <f>I15-I27</f>
        <v/>
      </c>
      <c r="J28">
        <f>J15-J27</f>
        <v/>
      </c>
      <c r="K28">
        <f>K15-K27</f>
        <v/>
      </c>
      <c r="M28">
        <f>M15-M27</f>
        <v/>
      </c>
      <c r="N28">
        <f>N15-N27</f>
        <v/>
      </c>
      <c r="O28">
        <f>O15-O27</f>
        <v/>
      </c>
      <c r="P28">
        <f>P15-P27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I9-I6-I7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I21-H21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I22-H22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I12-I10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I23-H23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I24-H24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BS!I6-BS!H6-I9-I12-I13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1962</v>
      </c>
      <c r="H21" t="n">
        <v>375</v>
      </c>
      <c r="I21" t="n">
        <v>1296</v>
      </c>
    </row>
    <row r="22">
      <c r="A22" t="inlineStr">
        <is>
          <t>Capital expenditures, year to date (as reported)</t>
        </is>
      </c>
      <c r="G22" t="n">
        <v>-704</v>
      </c>
      <c r="H22" t="n">
        <v>-160</v>
      </c>
      <c r="I22" t="n">
        <v>-344</v>
      </c>
    </row>
    <row r="23">
      <c r="A23" t="inlineStr">
        <is>
          <t>Cash from investing activities, year to date (as reported)</t>
        </is>
      </c>
      <c r="G23" t="n">
        <v>-730</v>
      </c>
      <c r="H23" t="n">
        <v>-160</v>
      </c>
      <c r="I23" t="n">
        <v>-339</v>
      </c>
    </row>
    <row r="24">
      <c r="A24" t="inlineStr">
        <is>
          <t>Cash from financing activities, year to date (as reported)</t>
        </is>
      </c>
      <c r="G24" t="n">
        <v>-1083</v>
      </c>
      <c r="H24" t="n">
        <v>-202</v>
      </c>
      <c r="I24" t="n">
        <v>-443</v>
      </c>
    </row>
    <row r="25">
      <c r="A25" t="inlineStr">
        <is>
          <t>Depreciation and amortization, year to date (as reported)</t>
        </is>
      </c>
      <c r="C25" t="n">
        <v>211</v>
      </c>
      <c r="D25" t="n">
        <v>422</v>
      </c>
      <c r="E25" t="n">
        <v>628</v>
      </c>
      <c r="G25" t="n">
        <v>831</v>
      </c>
      <c r="H25" t="n">
        <v>194</v>
      </c>
      <c r="I25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BEST BUY CO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SUM(IS!E6:F6)+SUM(IS!H6:I6)</f>
        <v/>
      </c>
    </row>
    <row r="19">
      <c r="A19" t="inlineStr">
        <is>
          <t>EBITDA, last four reported quarters</t>
        </is>
      </c>
      <c r="C19">
        <f>SUM(IS!E19:F19)+SUM(IS!H19:I19)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BS!I6</f>
        <v/>
      </c>
    </row>
    <row r="28">
      <c r="A28" t="inlineStr">
        <is>
          <t>Short-term borrowings (latest reported balance sheet)</t>
        </is>
      </c>
      <c r="C28">
        <f>BS!I17</f>
        <v/>
      </c>
    </row>
    <row r="29">
      <c r="A29" t="inlineStr">
        <is>
          <t>Current portion of long-term debt (latest reported balance sheet)</t>
        </is>
      </c>
      <c r="C29">
        <f>BS!I18</f>
        <v/>
      </c>
    </row>
    <row r="30">
      <c r="A30" t="inlineStr">
        <is>
          <t>Long-term debt (latest reported balance sheet)</t>
        </is>
      </c>
      <c r="C30">
        <f>BS!I21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 (latest reported balance sheet)</t>
        </is>
      </c>
      <c r="C32">
        <f>BS!I25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2026-10-12T00:51:06Z</dcterms:modified>
</cp:coreProperties>
</file>