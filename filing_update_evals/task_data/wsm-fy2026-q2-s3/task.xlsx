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117.746611</v>
      </c>
    </row>
    <row r="7">
      <c r="A7" t="inlineStr">
        <is>
          <t>Revenue growth, FY2026 quarters vs. same quarter of FY2025</t>
        </is>
      </c>
      <c r="C7" t="n">
        <v>0.012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0.4648</v>
      </c>
    </row>
    <row r="10">
      <c r="A10" t="inlineStr">
        <is>
          <t>SG&amp;A, % of revenue</t>
        </is>
      </c>
      <c r="C10" t="n">
        <v>0.283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0.0296</v>
      </c>
    </row>
    <row r="13">
      <c r="A13" t="inlineStr">
        <is>
          <t>Capital expenditures, % of revenue</t>
        </is>
      </c>
      <c r="C13" t="n">
        <v>0.0332</v>
      </c>
    </row>
    <row r="14">
      <c r="A14" t="inlineStr">
        <is>
          <t>Tax rate</t>
        </is>
      </c>
      <c r="C14" t="n">
        <v>0.251</v>
      </c>
    </row>
    <row r="15">
      <c r="A15" t="inlineStr">
        <is>
          <t>Days sales outstanding (on revenue)</t>
        </is>
      </c>
      <c r="C15" t="n">
        <v>5.9</v>
      </c>
    </row>
    <row r="16">
      <c r="A16" t="inlineStr">
        <is>
          <t>Days inventory outstanding (on cost of revenue)</t>
        </is>
      </c>
      <c r="C16" t="n">
        <v>127</v>
      </c>
    </row>
    <row r="17">
      <c r="A17" t="inlineStr">
        <is>
          <t>Days payables outstanding (on cost of revenue)</t>
        </is>
      </c>
      <c r="C17" t="n">
        <v>55.4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-36.838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0.4698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1730.113</v>
      </c>
      <c r="D6" t="n">
        <v>1836.76</v>
      </c>
      <c r="E6" t="n">
        <v>1882.814</v>
      </c>
      <c r="F6">
        <f>Annual!C6-C6-D6-E6</f>
        <v/>
      </c>
      <c r="G6" t="n">
        <v>1805.456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964.304</v>
      </c>
      <c r="D7" t="n">
        <v>972.1369999999999</v>
      </c>
      <c r="E7" t="n">
        <v>1015.081</v>
      </c>
      <c r="F7">
        <f>Annual!C7-C7-D7-E7</f>
        <v/>
      </c>
      <c r="G7" t="n">
        <v>1012.03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475.096</v>
      </c>
      <c r="D9" t="n">
        <v>536.564</v>
      </c>
      <c r="E9" t="n">
        <v>548.59</v>
      </c>
      <c r="F9">
        <f>Annual!C9-C9-D9-E9</f>
        <v/>
      </c>
      <c r="G9" t="n">
        <v>501.738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290.713</v>
      </c>
      <c r="D11" t="n">
        <v>328.059</v>
      </c>
      <c r="E11" t="n">
        <v>319.143</v>
      </c>
      <c r="F11">
        <f>Annual!C11-C11-D11-E11</f>
        <v/>
      </c>
      <c r="G11" t="n">
        <v>291.688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-9.532999999999999</v>
      </c>
      <c r="D12" t="n">
        <v>-9.08</v>
      </c>
      <c r="E12" t="n">
        <v>-9.785</v>
      </c>
      <c r="F12">
        <f>Annual!C12-C12-D12-E12</f>
        <v/>
      </c>
      <c r="G12" t="n">
        <v>-6.907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300.246</v>
      </c>
      <c r="D14" t="n">
        <v>337.139</v>
      </c>
      <c r="E14" t="n">
        <v>328.928</v>
      </c>
      <c r="F14">
        <f>Annual!C14-C14-D14-E14</f>
        <v/>
      </c>
      <c r="G14" t="n">
        <v>298.595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68.983</v>
      </c>
      <c r="D15" t="n">
        <v>89.577</v>
      </c>
      <c r="E15" t="n">
        <v>87.336</v>
      </c>
      <c r="F15">
        <f>Annual!C15-C15-D15-E15</f>
        <v/>
      </c>
      <c r="G15" t="n">
        <v>67.233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231.263</v>
      </c>
      <c r="D17" t="n">
        <v>247.562</v>
      </c>
      <c r="E17" t="n">
        <v>241.592</v>
      </c>
      <c r="F17">
        <f>Annual!C17-C17-D17-E17</f>
        <v/>
      </c>
      <c r="G17" t="n">
        <v>231.362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651.601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139.347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1455.03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2345.712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1102.339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77.386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5059.548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560.674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1762.772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0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1869.804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5059.548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156.323</v>
      </c>
    </row>
    <row r="64">
      <c r="A64" t="inlineStr">
        <is>
          <t>Capex YTD (reported)</t>
        </is>
      </c>
      <c r="G64" t="n">
        <v>-57.685</v>
      </c>
    </row>
    <row r="65">
      <c r="A65" t="inlineStr">
        <is>
          <t>CFI YTD (reported)</t>
        </is>
      </c>
      <c r="G65" t="n">
        <v>-57.675</v>
      </c>
    </row>
    <row r="66">
      <c r="A66" t="inlineStr">
        <is>
          <t>CFF YTD (reported)</t>
        </is>
      </c>
      <c r="G66" t="n">
        <v>-466.981</v>
      </c>
    </row>
    <row r="67">
      <c r="A67" t="inlineStr">
        <is>
          <t>D&amp;A YTD (reported)</t>
        </is>
      </c>
      <c r="C67" t="n">
        <v>56.404</v>
      </c>
      <c r="D67" t="n">
        <v>113.165</v>
      </c>
      <c r="E67" t="n">
        <v>170.676</v>
      </c>
      <c r="G67" t="n">
        <v>56.116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7806.816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4203.765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2187.329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1415.722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-36.838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7.8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1452.56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364.123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1088.437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1019.801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126.821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1462.849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2713.187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1095.158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77.398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5411.912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637.985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1954.13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0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2082.559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5411.912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1314.889</v>
      </c>
    </row>
    <row r="64">
      <c r="A64" t="inlineStr">
        <is>
          <t>Capex YTD (reported)</t>
        </is>
      </c>
      <c r="C64" t="n">
        <v>-259.438</v>
      </c>
    </row>
    <row r="65">
      <c r="A65" t="inlineStr">
        <is>
          <t>CFI YTD (reported)</t>
        </is>
      </c>
      <c r="C65" t="n">
        <v>-260.576</v>
      </c>
    </row>
    <row r="66">
      <c r="A66" t="inlineStr">
        <is>
          <t>CFF YTD (reported)</t>
        </is>
      </c>
      <c r="C66" t="n">
        <v>-1252.372</v>
      </c>
    </row>
    <row r="67">
      <c r="A67" t="inlineStr">
        <is>
          <t>D&amp;A YTD (reported)</t>
        </is>
      </c>
      <c r="C67" t="n">
        <v>231.449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WSM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2026-10-12T01:56:08Z</dcterms:modified>
</cp:coreProperties>
</file>