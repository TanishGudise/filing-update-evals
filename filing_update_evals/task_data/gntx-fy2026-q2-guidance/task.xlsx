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2</v>
      </c>
    </row>
    <row r="5">
      <c r="A5" t="inlineStr">
        <is>
          <t>Shares outstanding, latest 10-Q/10-K cover (millions)</t>
        </is>
      </c>
      <c r="C5" t="n">
        <v>210.683331</v>
      </c>
    </row>
    <row r="7">
      <c r="A7" t="inlineStr">
        <is>
          <t>Revenue growth, FY2026 quarters vs. same quarter of FY2025</t>
        </is>
      </c>
      <c r="C7" t="n">
        <v>0.096</v>
      </c>
    </row>
    <row r="8">
      <c r="A8" t="inlineStr">
        <is>
          <t>Revenue growth by forecast year</t>
        </is>
      </c>
      <c r="M8" t="n">
        <v>0.096</v>
      </c>
      <c r="N8" t="n">
        <v>0.082</v>
      </c>
      <c r="O8" t="n">
        <v>0.067</v>
      </c>
      <c r="P8" t="n">
        <v>0.053</v>
      </c>
    </row>
    <row r="9">
      <c r="A9" t="inlineStr">
        <is>
          <t>Gross margin</t>
        </is>
      </c>
      <c r="C9" t="n">
        <v>0.3431</v>
      </c>
    </row>
    <row r="10">
      <c r="A10" t="inlineStr">
        <is>
          <t>SG&amp;A, % of revenue</t>
        </is>
      </c>
      <c r="C10" t="n">
        <v>0.07480000000000001</v>
      </c>
    </row>
    <row r="11">
      <c r="A11" t="inlineStr">
        <is>
          <t>Other operating expenses, % of revenue</t>
        </is>
      </c>
      <c r="C11" t="n">
        <v>0.0847</v>
      </c>
    </row>
    <row r="12">
      <c r="A12" t="inlineStr">
        <is>
          <t>Depreciation and amortization, % of revenue</t>
        </is>
      </c>
      <c r="C12" t="n">
        <v>0.0411</v>
      </c>
    </row>
    <row r="13">
      <c r="A13" t="inlineStr">
        <is>
          <t>Capital expenditures, % of revenue</t>
        </is>
      </c>
      <c r="C13" t="n">
        <v>0.0509</v>
      </c>
    </row>
    <row r="14">
      <c r="A14" t="inlineStr">
        <is>
          <t>Tax rate</t>
        </is>
      </c>
      <c r="C14" t="n">
        <v>0.166</v>
      </c>
    </row>
    <row r="15">
      <c r="A15" t="inlineStr">
        <is>
          <t>Days sales outstanding (on revenue)</t>
        </is>
      </c>
      <c r="C15" t="n">
        <v>53.1</v>
      </c>
    </row>
    <row r="16">
      <c r="A16" t="inlineStr">
        <is>
          <t>Days inventory outstanding (on cost of revenue)</t>
        </is>
      </c>
      <c r="C16" t="n">
        <v>113</v>
      </c>
    </row>
    <row r="17">
      <c r="A17" t="inlineStr">
        <is>
          <t>Days payables outstanding (on cost of revenue)</t>
        </is>
      </c>
      <c r="C17" t="n">
        <v>54.5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0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8">
      <c r="A28" t="inlineStr">
        <is>
          <t>Guidance (from the latest earnings release)</t>
        </is>
      </c>
    </row>
    <row r="29">
      <c r="A29" t="inlineStr">
        <is>
          <t>2026 revenue guidance, bottom of range ($ in millions)</t>
        </is>
      </c>
    </row>
    <row r="30">
      <c r="A30" t="inlineStr">
        <is>
          <t>2026 revenue guidance, top of range ($ in millions)</t>
        </is>
      </c>
    </row>
    <row r="31">
      <c r="A31" t="inlineStr">
        <is>
          <t>2027 revenue guidance, bottom of range ($ in millions)</t>
        </is>
      </c>
    </row>
    <row r="32">
      <c r="A32" t="inlineStr">
        <is>
          <t>2027 revenue guidance, top of range ($ in millions)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576.77309</v>
      </c>
      <c r="D6" t="n">
        <v>657.85821</v>
      </c>
      <c r="E6" t="n">
        <v>655.236055</v>
      </c>
      <c r="F6">
        <f>G6-C6-D6-E6</f>
        <v/>
      </c>
      <c r="G6" t="n">
        <v>2534.268965</v>
      </c>
      <c r="H6" t="n">
        <v>675.443125</v>
      </c>
      <c r="I6" t="n">
        <v>651.299705</v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385.039503</v>
      </c>
      <c r="D7" t="n">
        <v>432.567307</v>
      </c>
      <c r="E7" t="n">
        <v>430.069318</v>
      </c>
      <c r="F7">
        <f>G7-C7-D7-E7</f>
        <v/>
      </c>
      <c r="G7" t="n">
        <v>1667.560025</v>
      </c>
      <c r="H7" t="n">
        <v>446.816212</v>
      </c>
      <c r="I7" t="n">
        <v>410.301978</v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29.933005</v>
      </c>
      <c r="D9" t="n">
        <v>48.515355</v>
      </c>
      <c r="E9" t="n">
        <v>49.686902</v>
      </c>
      <c r="F9">
        <f>G9-C9-D9-E9</f>
        <v/>
      </c>
      <c r="G9" t="n">
        <v>177.868692</v>
      </c>
      <c r="H9" t="n">
        <v>49.791834</v>
      </c>
      <c r="I9" t="n">
        <v>50.037461</v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112.987106</v>
      </c>
      <c r="D11" t="n">
        <v>118.520135</v>
      </c>
      <c r="E11" t="n">
        <v>122.326938</v>
      </c>
      <c r="F11">
        <f>G11-C11-D11-E11</f>
        <v/>
      </c>
      <c r="G11" t="n">
        <v>473.935754</v>
      </c>
      <c r="H11" t="n">
        <v>123.659919</v>
      </c>
      <c r="I11" t="n">
        <v>141.338394</v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0</v>
      </c>
      <c r="D12" t="n">
        <v>0</v>
      </c>
      <c r="E12" t="n">
        <v>0</v>
      </c>
      <c r="F12">
        <f>G12-C12-D12-E12</f>
        <v/>
      </c>
      <c r="G12" t="n">
        <v>0</v>
      </c>
      <c r="H12" t="n">
        <v>0</v>
      </c>
      <c r="I12" t="n">
        <v>0</v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113.627582</v>
      </c>
      <c r="D14" t="n">
        <v>115.470139</v>
      </c>
      <c r="E14" t="n">
        <v>120.570708</v>
      </c>
      <c r="F14">
        <f>G14-C14-D14-E14</f>
        <v/>
      </c>
      <c r="G14" t="n">
        <v>461.062415</v>
      </c>
      <c r="H14" t="n">
        <v>118.047562</v>
      </c>
      <c r="I14" t="n">
        <v>136.82869</v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18.753537</v>
      </c>
      <c r="D15" t="n">
        <v>19.819689</v>
      </c>
      <c r="E15" t="n">
        <v>19.684004</v>
      </c>
      <c r="F15">
        <f>G15-C15-D15-E15</f>
        <v/>
      </c>
      <c r="G15" t="n">
        <v>76.38033799999999</v>
      </c>
      <c r="H15" t="n">
        <v>19.626503</v>
      </c>
      <c r="I15" t="n">
        <v>22.644919</v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94.874045</v>
      </c>
      <c r="D17" t="n">
        <v>96.039584</v>
      </c>
      <c r="E17" t="n">
        <v>100.96791</v>
      </c>
      <c r="F17">
        <f>G17-C17-D17-E17</f>
        <v/>
      </c>
      <c r="G17" t="n">
        <v>384.841367</v>
      </c>
      <c r="H17" t="n">
        <v>98.45514300000001</v>
      </c>
      <c r="I17" t="n">
        <v>114.689417</v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145.645715</v>
      </c>
      <c r="H6" t="n">
        <v>164.761633</v>
      </c>
      <c r="I6" t="n">
        <v>233.444229</v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368.517569</v>
      </c>
      <c r="H7" t="n">
        <v>419.468925</v>
      </c>
      <c r="I7" t="n">
        <v>386.338964</v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516.253617</v>
      </c>
      <c r="H8" t="n">
        <v>523.509606</v>
      </c>
      <c r="I8" t="n">
        <v>518.950411</v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1128.434468</v>
      </c>
      <c r="H10" t="n">
        <v>1208.193001</v>
      </c>
      <c r="I10" t="n">
        <v>1230.931482</v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790.935378</v>
      </c>
      <c r="H11" t="n">
        <v>786.333204</v>
      </c>
      <c r="I11" t="n">
        <v>780.173903</v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357.211919</v>
      </c>
      <c r="H12" t="n">
        <v>360.924307</v>
      </c>
      <c r="I12" t="n">
        <v>360.849822</v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189.341387</v>
      </c>
      <c r="H13" t="n">
        <v>185.598287</v>
      </c>
      <c r="I13" t="n">
        <v>184.618279</v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2928.592834</v>
      </c>
      <c r="H15" t="n">
        <v>2997.636194</v>
      </c>
      <c r="I15" t="n">
        <v>2999.428544</v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248.983498</v>
      </c>
      <c r="H16" t="n">
        <v>276.649198</v>
      </c>
      <c r="I16" t="n">
        <v>248.271728</v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3.795925</v>
      </c>
      <c r="H17" t="n">
        <v>3.840654</v>
      </c>
      <c r="I17" t="n">
        <v>3.70698</v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 t="n">
        <v>0</v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387.542969</v>
      </c>
      <c r="H20" t="n">
        <v>444.57926</v>
      </c>
      <c r="I20" t="n">
        <v>405.117273</v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 t="n">
        <v>0</v>
      </c>
      <c r="I21" t="n">
        <v>0</v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I28-I20-I21-I24-I25-I26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3.102213</v>
      </c>
      <c r="H24" t="n">
        <v>3.02149</v>
      </c>
      <c r="I24" t="n">
        <v>2.832783</v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2487.829724</v>
      </c>
      <c r="H25" t="n">
        <v>2502.585166</v>
      </c>
      <c r="I25" t="n">
        <v>2538.100758</v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 t="n">
        <v>0</v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2928.592834</v>
      </c>
      <c r="H28" t="n">
        <v>2997.636194</v>
      </c>
      <c r="I28" t="n">
        <v>2999.428544</v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587.126291</v>
      </c>
      <c r="H21" t="n">
        <v>137.083229</v>
      </c>
      <c r="I21" t="n">
        <v>321.66368</v>
      </c>
    </row>
    <row r="22">
      <c r="A22" t="inlineStr">
        <is>
          <t>Capital expenditures, year to date (as reported)</t>
        </is>
      </c>
      <c r="G22" t="n">
        <v>-129.088778</v>
      </c>
      <c r="H22" t="n">
        <v>-17.042162</v>
      </c>
      <c r="I22" t="n">
        <v>-36.237437</v>
      </c>
    </row>
    <row r="23">
      <c r="A23" t="inlineStr">
        <is>
          <t>Cash from investing activities, year to date (as reported)</t>
        </is>
      </c>
      <c r="G23" t="n">
        <v>-266.899521</v>
      </c>
      <c r="H23" t="n">
        <v>-25.574035</v>
      </c>
      <c r="I23" t="n">
        <v>-48.59455</v>
      </c>
    </row>
    <row r="24">
      <c r="A24" t="inlineStr">
        <is>
          <t>Cash from financing activities, year to date (as reported)</t>
        </is>
      </c>
      <c r="G24" t="n">
        <v>-407.899821</v>
      </c>
      <c r="H24" t="n">
        <v>-92.393276</v>
      </c>
      <c r="I24" t="n">
        <v>-185.270616</v>
      </c>
    </row>
    <row r="25">
      <c r="A25" t="inlineStr">
        <is>
          <t>Depreciation and amortization, year to date (as reported)</t>
        </is>
      </c>
      <c r="C25" t="n">
        <v>25.509069</v>
      </c>
      <c r="D25" t="n">
        <v>52.880443</v>
      </c>
      <c r="E25" t="n">
        <v>78.808967</v>
      </c>
      <c r="G25" t="n">
        <v>104.041764</v>
      </c>
      <c r="H25" t="n">
        <v>25.656252</v>
      </c>
      <c r="I25" t="n">
        <v>51.430181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GENTEX CORP: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SUM(IS!E6:F6)+SUM(IS!H6:I6)</f>
        <v/>
      </c>
    </row>
    <row r="19">
      <c r="A19" t="inlineStr">
        <is>
          <t>EBITDA, last four reported quarters</t>
        </is>
      </c>
      <c r="C19">
        <f>SUM(IS!E19:F19)+SUM(IS!H19:I19)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BS!I6</f>
        <v/>
      </c>
    </row>
    <row r="28">
      <c r="A28" t="inlineStr">
        <is>
          <t>Short-term borrowings (latest reported balance sheet)</t>
        </is>
      </c>
      <c r="C28">
        <f>BS!I17</f>
        <v/>
      </c>
    </row>
    <row r="29">
      <c r="A29" t="inlineStr">
        <is>
          <t>Current portion of long-term debt (latest reported balance sheet)</t>
        </is>
      </c>
      <c r="C29">
        <f>BS!I18</f>
        <v/>
      </c>
    </row>
    <row r="30">
      <c r="A30" t="inlineStr">
        <is>
          <t>Long-term debt (latest reported balance sheet)</t>
        </is>
      </c>
      <c r="C30">
        <f>BS!I21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BS!I26+BS!I24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2026-10-12T02:09:28Z</dcterms:modified>
</cp:coreProperties>
</file>