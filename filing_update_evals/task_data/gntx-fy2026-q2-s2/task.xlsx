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GENTEX CORP: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31, 2025</t>
        </is>
      </c>
      <c r="D4" t="inlineStr">
        <is>
          <t>Jun 30, 2025</t>
        </is>
      </c>
      <c r="E4" t="inlineStr">
        <is>
          <t>Sep 30, 2025</t>
        </is>
      </c>
      <c r="F4" t="inlineStr">
        <is>
          <t>Dec 31, 2025</t>
        </is>
      </c>
      <c r="G4" t="inlineStr">
        <is>
          <t>Dec 31, 2025</t>
        </is>
      </c>
      <c r="H4" t="inlineStr">
        <is>
          <t>Mar 31, 2026</t>
        </is>
      </c>
      <c r="I4" t="inlineStr">
        <is>
          <t>Jun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212951.848</v>
      </c>
    </row>
    <row r="11">
      <c r="A11" t="inlineStr">
        <is>
          <t>Revenue growth, FY2026 quarters vs. same quarter of FY2025</t>
        </is>
      </c>
      <c r="C11" t="n">
        <v>0.096</v>
      </c>
    </row>
    <row r="12">
      <c r="A12" t="inlineStr">
        <is>
          <t>Revenue growth by forecast year</t>
        </is>
      </c>
      <c r="M12" t="n">
        <v>0.096</v>
      </c>
      <c r="N12" t="n">
        <v>0.082</v>
      </c>
      <c r="O12" t="n">
        <v>0.067</v>
      </c>
      <c r="P12" t="n">
        <v>0.053</v>
      </c>
    </row>
    <row r="13">
      <c r="A13" t="inlineStr">
        <is>
          <t>Gross margin</t>
        </is>
      </c>
      <c r="C13" t="n">
        <v>0.3431</v>
      </c>
    </row>
    <row r="14">
      <c r="A14" t="inlineStr">
        <is>
          <t>SG&amp;A, % of revenue</t>
        </is>
      </c>
      <c r="C14" t="n">
        <v>0.07480000000000001</v>
      </c>
    </row>
    <row r="15">
      <c r="A15" t="inlineStr">
        <is>
          <t>Other operating expenses, % of revenue</t>
        </is>
      </c>
      <c r="C15" t="n">
        <v>0.0847</v>
      </c>
    </row>
    <row r="16">
      <c r="A16" t="inlineStr">
        <is>
          <t>Depreciation and amortization, % of revenue</t>
        </is>
      </c>
      <c r="C16" t="n">
        <v>0.0411</v>
      </c>
    </row>
    <row r="17">
      <c r="A17" t="inlineStr">
        <is>
          <t>Capital expenditures, % of revenue</t>
        </is>
      </c>
      <c r="C17" t="n">
        <v>0.0509</v>
      </c>
    </row>
    <row r="18">
      <c r="A18" t="inlineStr">
        <is>
          <t>Tax rate</t>
        </is>
      </c>
      <c r="C18" t="n">
        <v>0.166</v>
      </c>
    </row>
    <row r="19">
      <c r="A19" t="inlineStr">
        <is>
          <t>Days sales outstanding (on revenue)</t>
        </is>
      </c>
      <c r="C19" t="n">
        <v>53.1</v>
      </c>
    </row>
    <row r="20">
      <c r="A20" t="inlineStr">
        <is>
          <t>Days inventory outstanding (on cost of revenue)</t>
        </is>
      </c>
      <c r="C20" t="n">
        <v>113</v>
      </c>
    </row>
    <row r="21">
      <c r="A21" t="inlineStr">
        <is>
          <t>Days payables outstanding (on cost of revenue)</t>
        </is>
      </c>
      <c r="C21" t="n">
        <v>54.5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576773.09</v>
      </c>
      <c r="D33" t="n">
        <v>657858.21</v>
      </c>
      <c r="E33" t="n">
        <v>655236.0550000001</v>
      </c>
      <c r="F33">
        <f>G33-C33-D33-E33</f>
        <v/>
      </c>
      <c r="G33" t="n">
        <v>2534268.965</v>
      </c>
      <c r="H33" t="n">
        <v>675443.125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385039.503</v>
      </c>
      <c r="D34" t="n">
        <v>432567.307</v>
      </c>
      <c r="E34" t="n">
        <v>430069.318</v>
      </c>
      <c r="F34">
        <f>G34-C34-D34-E34</f>
        <v/>
      </c>
      <c r="G34" t="n">
        <v>1667560.025</v>
      </c>
      <c r="H34" t="n">
        <v>446816.212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&amp; administrative</t>
        </is>
      </c>
      <c r="C36" t="n">
        <v>29933.005</v>
      </c>
      <c r="D36" t="n">
        <v>48515.355</v>
      </c>
      <c r="E36" t="n">
        <v>49686.902</v>
      </c>
      <c r="F36">
        <f>G36-C36-D36-E36</f>
        <v/>
      </c>
      <c r="G36" t="n">
        <v>177868.692</v>
      </c>
      <c r="H36" t="n">
        <v>49791.834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Income from operations</t>
        </is>
      </c>
      <c r="C38" t="n">
        <v>112987.106</v>
      </c>
      <c r="D38" t="n">
        <v>118520.135</v>
      </c>
      <c r="E38" t="n">
        <v>122326.938</v>
      </c>
      <c r="F38">
        <f>G38-C38-D38-E38</f>
        <v/>
      </c>
      <c r="G38" t="n">
        <v>473935.754</v>
      </c>
      <c r="H38" t="n">
        <v>123659.919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0</v>
      </c>
      <c r="D39" t="n">
        <v>0</v>
      </c>
      <c r="E39" t="n">
        <v>0</v>
      </c>
      <c r="F39">
        <f>G39-C39-D39-E39</f>
        <v/>
      </c>
      <c r="G39" t="n">
        <v>0</v>
      </c>
      <c r="H39" t="n">
        <v>0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BEFORE PROVISION FOR INCOME TAXES</t>
        </is>
      </c>
      <c r="C41" t="n">
        <v>113627.582</v>
      </c>
      <c r="D41" t="n">
        <v>115470.139</v>
      </c>
      <c r="E41" t="n">
        <v>120570.708</v>
      </c>
      <c r="F41">
        <f>G41-C41-D41-E41</f>
        <v/>
      </c>
      <c r="G41" t="n">
        <v>461062.415</v>
      </c>
      <c r="H41" t="n">
        <v>118047.562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18753.537</v>
      </c>
      <c r="D42" t="n">
        <v>19819.689</v>
      </c>
      <c r="E42" t="n">
        <v>19684.004</v>
      </c>
      <c r="F42">
        <f>G42-C42-D42-E42</f>
        <v/>
      </c>
      <c r="G42" t="n">
        <v>76380.338</v>
      </c>
      <c r="H42" t="n">
        <v>19626.503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 ATTRIBUTABLE TO GENTEX CORPORATION</t>
        </is>
      </c>
      <c r="C44" t="n">
        <v>94874.045</v>
      </c>
      <c r="D44" t="n">
        <v>96039.584</v>
      </c>
      <c r="E44" t="n">
        <v>100967.91</v>
      </c>
      <c r="F44">
        <f>G44-C44-D44-E44</f>
        <v/>
      </c>
      <c r="G44" t="n">
        <v>384841.367</v>
      </c>
      <c r="H44" t="n">
        <v>98455.143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145645.715</v>
      </c>
      <c r="H49" t="n">
        <v>164761.633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Accounts receivable, net</t>
        </is>
      </c>
      <c r="G50" t="n">
        <v>368517.569</v>
      </c>
      <c r="H50" t="n">
        <v>419468.925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Inventories, net</t>
        </is>
      </c>
      <c r="G51" t="n">
        <v>516253.617</v>
      </c>
      <c r="H51" t="n">
        <v>523509.606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1128434.468</v>
      </c>
      <c r="H53" t="n">
        <v>1208193.001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PLANT AND EQUIPMENT—NET</t>
        </is>
      </c>
      <c r="G54" t="n">
        <v>790935.378</v>
      </c>
      <c r="H54" t="n">
        <v>786333.204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357211.919</v>
      </c>
      <c r="H55" t="n">
        <v>360924.307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189341.387</v>
      </c>
      <c r="H56" t="n">
        <v>185598.287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2928592.834</v>
      </c>
      <c r="H58" t="n">
        <v>2997636.194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248983.498</v>
      </c>
      <c r="H59" t="n">
        <v>276649.198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3795.925</v>
      </c>
      <c r="H60" t="n">
        <v>3840.654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387542.969</v>
      </c>
      <c r="H63" t="n">
        <v>444579.26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0</v>
      </c>
      <c r="H64" t="n">
        <v>0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</t>
        </is>
      </c>
      <c r="G67" t="n">
        <v>3102.213</v>
      </c>
      <c r="H67" t="n">
        <v>3021.49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SHAREHOLDERS' INVESTMENT</t>
        </is>
      </c>
      <c r="G68" t="n">
        <v>2487829.724</v>
      </c>
      <c r="H68" t="n">
        <v>2502585.166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LIABILITIES, REDEEMABLE NON-CONTROLLING INTEREST, AND SHAREHOLDERS' INVESTMENT</t>
        </is>
      </c>
      <c r="G71" t="n">
        <v>2928592.834</v>
      </c>
      <c r="H71" t="n">
        <v>2997636.194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587126.291</v>
      </c>
      <c r="H90" t="n">
        <v>137083.229</v>
      </c>
    </row>
    <row r="91">
      <c r="A91" t="inlineStr">
        <is>
          <t>Plant and equipment additions, year to date (as reported)</t>
        </is>
      </c>
      <c r="G91" t="n">
        <v>-129088.778</v>
      </c>
      <c r="H91" t="n">
        <v>-17042.162</v>
      </c>
    </row>
    <row r="92">
      <c r="A92" t="inlineStr">
        <is>
          <t>Net cash used for investing activities, year to date (as reported)</t>
        </is>
      </c>
      <c r="G92" t="n">
        <v>-266899.521</v>
      </c>
      <c r="H92" t="n">
        <v>-25574.035</v>
      </c>
    </row>
    <row r="93">
      <c r="A93" t="inlineStr">
        <is>
          <t>Net cash used for financing activities, year to date (as reported)</t>
        </is>
      </c>
      <c r="G93" t="n">
        <v>-407899.821</v>
      </c>
      <c r="H93" t="n">
        <v>-92393.276</v>
      </c>
    </row>
    <row r="94">
      <c r="A94" t="inlineStr">
        <is>
          <t>Depreciation and amortization, year to date (as reported)</t>
        </is>
      </c>
      <c r="C94" t="n">
        <v>25509.069</v>
      </c>
      <c r="D94" t="n">
        <v>52880.443</v>
      </c>
      <c r="E94" t="n">
        <v>78808.967</v>
      </c>
      <c r="G94" t="n">
        <v>104041.764</v>
      </c>
      <c r="H94" t="n">
        <v>25656.252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2026-10-12T01:55:56Z</dcterms:modified>
</cp:coreProperties>
</file>