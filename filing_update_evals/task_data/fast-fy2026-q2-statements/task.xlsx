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1148.035061</v>
      </c>
    </row>
    <row r="7">
      <c r="A7" t="inlineStr">
        <is>
          <t>Revenue growth, FY2026 quarters vs. same quarter of FY2025</t>
        </is>
      </c>
      <c r="C7" t="n">
        <v>0.08699999999999999</v>
      </c>
    </row>
    <row r="8">
      <c r="A8" t="inlineStr">
        <is>
          <t>Revenue growth by forecast year</t>
        </is>
      </c>
      <c r="M8" t="n">
        <v>0.08699999999999999</v>
      </c>
      <c r="N8" t="n">
        <v>0.074</v>
      </c>
      <c r="O8" t="n">
        <v>0.061</v>
      </c>
      <c r="P8" t="n">
        <v>0.048</v>
      </c>
    </row>
    <row r="9">
      <c r="A9" t="inlineStr">
        <is>
          <t>Gross margin</t>
        </is>
      </c>
      <c r="C9" t="n">
        <v>0.4519</v>
      </c>
    </row>
    <row r="10">
      <c r="A10" t="inlineStr">
        <is>
          <t>SG&amp;A, % of revenue</t>
        </is>
      </c>
      <c r="C10" t="n">
        <v>0.2479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0.0219</v>
      </c>
    </row>
    <row r="13">
      <c r="A13" t="inlineStr">
        <is>
          <t>Capital expenditures, % of revenue</t>
        </is>
      </c>
      <c r="C13" t="n">
        <v>0.0299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55.4</v>
      </c>
    </row>
    <row r="16">
      <c r="A16" t="inlineStr">
        <is>
          <t>Days inventory outstanding (on cost of revenue)</t>
        </is>
      </c>
      <c r="C16" t="n">
        <v>141.5</v>
      </c>
    </row>
    <row r="17">
      <c r="A17" t="inlineStr">
        <is>
          <t>Days payables outstanding (on cost of revenue)</t>
        </is>
      </c>
      <c r="C17" t="n">
        <v>25.6</v>
      </c>
    </row>
    <row r="18">
      <c r="A18" t="inlineStr">
        <is>
          <t>Shareholder payouts and other financing, % of net income</t>
        </is>
      </c>
      <c r="C18" t="n">
        <v>0.84</v>
      </c>
    </row>
    <row r="19">
      <c r="A19" t="inlineStr">
        <is>
          <t>Interest expense, net, per year ($ in millions)</t>
        </is>
      </c>
      <c r="C19" t="n">
        <v>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1959.4</v>
      </c>
      <c r="D6" t="n">
        <v>2080.3</v>
      </c>
      <c r="E6" t="n">
        <v>2133.3</v>
      </c>
      <c r="F6">
        <f>G6-C6-D6-E6</f>
        <v/>
      </c>
      <c r="G6" t="n">
        <v>8200.5</v>
      </c>
      <c r="H6" t="n">
        <v>2201.7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1075.5</v>
      </c>
      <c r="D7" t="n">
        <v>1137.5</v>
      </c>
      <c r="E7" t="n">
        <v>1167.5</v>
      </c>
      <c r="F7">
        <f>G7-C7-D7-E7</f>
        <v/>
      </c>
      <c r="G7" t="n">
        <v>4509.3</v>
      </c>
      <c r="H7" t="n">
        <v>1218.8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490</v>
      </c>
      <c r="D9" t="n">
        <v>506.7</v>
      </c>
      <c r="E9" t="n">
        <v>524.3</v>
      </c>
      <c r="F9">
        <f>G9-C9-D9-E9</f>
        <v/>
      </c>
      <c r="G9" t="n">
        <v>2035.5</v>
      </c>
      <c r="H9" t="n">
        <v>535.3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393.9</v>
      </c>
      <c r="D11" t="n">
        <v>436.1</v>
      </c>
      <c r="E11" t="n">
        <v>441.5</v>
      </c>
      <c r="F11">
        <f>G11-C11-D11-E11</f>
        <v/>
      </c>
      <c r="G11" t="n">
        <v>1655.7</v>
      </c>
      <c r="H11" t="n">
        <v>447.6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1.7</v>
      </c>
      <c r="D12" t="n">
        <v>2.2</v>
      </c>
      <c r="E12" t="n">
        <v>1.6</v>
      </c>
      <c r="F12">
        <f>G12-C12-D12-E12</f>
        <v/>
      </c>
      <c r="G12" t="n">
        <v>6.2</v>
      </c>
      <c r="H12" t="n">
        <v>0.8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393.1</v>
      </c>
      <c r="D14" t="n">
        <v>436.6</v>
      </c>
      <c r="E14" t="n">
        <v>440.6</v>
      </c>
      <c r="F14">
        <f>G14-C14-D14-E14</f>
        <v/>
      </c>
      <c r="G14" t="n">
        <v>1655</v>
      </c>
      <c r="H14" t="n">
        <v>448.3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94.40000000000001</v>
      </c>
      <c r="D15" t="n">
        <v>106.3</v>
      </c>
      <c r="E15" t="n">
        <v>105.1</v>
      </c>
      <c r="F15">
        <f>G15-C15-D15-E15</f>
        <v/>
      </c>
      <c r="G15" t="n">
        <v>396.6</v>
      </c>
      <c r="H15" t="n">
        <v>108.6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298.7</v>
      </c>
      <c r="D17" t="n">
        <v>330.3</v>
      </c>
      <c r="E17" t="n">
        <v>335.5</v>
      </c>
      <c r="F17">
        <f>G17-C17-D17-E17</f>
        <v/>
      </c>
      <c r="G17" t="n">
        <v>1258.4</v>
      </c>
      <c r="H17" t="n">
        <v>339.8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276.8</v>
      </c>
      <c r="H6" t="n">
        <v>308.6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1245.3</v>
      </c>
      <c r="H7" t="n">
        <v>1445.2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1748</v>
      </c>
      <c r="H8" t="n">
        <v>1692.5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3472.1</v>
      </c>
      <c r="H10" t="n">
        <v>3619.8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1131.6</v>
      </c>
      <c r="H11" t="n">
        <v>1140.3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0</v>
      </c>
      <c r="H12" t="n">
        <v>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5052.9</v>
      </c>
      <c r="H15" t="n">
        <v>5209.8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316.8</v>
      </c>
      <c r="H16" t="n">
        <v>363.2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</v>
      </c>
      <c r="H18" t="n">
        <v>25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715.6</v>
      </c>
      <c r="H20" t="n">
        <v>824.1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100</v>
      </c>
      <c r="H21" t="n">
        <v>100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3943.6</v>
      </c>
      <c r="H25" t="n">
        <v>3989.5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5052.9</v>
      </c>
      <c r="H28" t="n">
        <v>5209.8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1295.9</v>
      </c>
      <c r="H21" t="n">
        <v>378.4</v>
      </c>
    </row>
    <row r="22">
      <c r="A22" t="inlineStr">
        <is>
          <t>Capital expenditures, year to date (as reported)</t>
        </is>
      </c>
      <c r="G22" t="n">
        <v>-245.3</v>
      </c>
      <c r="H22" t="n">
        <v>-58.9</v>
      </c>
    </row>
    <row r="23">
      <c r="A23" t="inlineStr">
        <is>
          <t>Cash from investing activities, year to date (as reported)</t>
        </is>
      </c>
      <c r="G23" t="n">
        <v>-231</v>
      </c>
      <c r="H23" t="n">
        <v>-57.6</v>
      </c>
    </row>
    <row r="24">
      <c r="A24" t="inlineStr">
        <is>
          <t>Cash from financing activities, year to date (as reported)</t>
        </is>
      </c>
      <c r="G24" t="n">
        <v>-1054.9</v>
      </c>
      <c r="H24" t="n">
        <v>-288.3</v>
      </c>
    </row>
    <row r="25">
      <c r="A25" t="inlineStr">
        <is>
          <t>Depreciation and amortization, year to date (as reported)</t>
        </is>
      </c>
      <c r="C25" t="n">
        <v>44.7</v>
      </c>
      <c r="D25" t="n">
        <v>89.8</v>
      </c>
      <c r="E25" t="n">
        <v>134.7</v>
      </c>
      <c r="G25" t="n">
        <v>179.2</v>
      </c>
      <c r="H25" t="n">
        <v>44.6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2026-10-12T01:56:14Z</dcterms:modified>
</cp:coreProperties>
</file>