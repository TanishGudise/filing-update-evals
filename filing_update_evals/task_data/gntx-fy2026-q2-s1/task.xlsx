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212.951848</v>
      </c>
    </row>
    <row r="7">
      <c r="A7" t="inlineStr">
        <is>
          <t>Revenue growth, FY2026 quarters vs. same quarter of FY2025</t>
        </is>
      </c>
      <c r="C7" t="n">
        <v>0.096</v>
      </c>
    </row>
    <row r="8">
      <c r="A8" t="inlineStr">
        <is>
          <t>Revenue growth by forecast year</t>
        </is>
      </c>
      <c r="M8" t="n">
        <v>0.096</v>
      </c>
      <c r="N8" t="n">
        <v>0.082</v>
      </c>
      <c r="O8" t="n">
        <v>0.067</v>
      </c>
      <c r="P8" t="n">
        <v>0.053</v>
      </c>
    </row>
    <row r="9">
      <c r="A9" t="inlineStr">
        <is>
          <t>Gross margin</t>
        </is>
      </c>
      <c r="C9" t="n">
        <v>0.3431</v>
      </c>
    </row>
    <row r="10">
      <c r="A10" t="inlineStr">
        <is>
          <t>SG&amp;A, % of revenue</t>
        </is>
      </c>
      <c r="C10" t="n">
        <v>0.07480000000000001</v>
      </c>
    </row>
    <row r="11">
      <c r="A11" t="inlineStr">
        <is>
          <t>Other operating expenses, % of revenue</t>
        </is>
      </c>
      <c r="C11" t="n">
        <v>0.0847</v>
      </c>
    </row>
    <row r="12">
      <c r="A12" t="inlineStr">
        <is>
          <t>Depreciation and amortization, % of revenue</t>
        </is>
      </c>
      <c r="C12" t="n">
        <v>0.0411</v>
      </c>
    </row>
    <row r="13">
      <c r="A13" t="inlineStr">
        <is>
          <t>Capital expenditures, % of revenue</t>
        </is>
      </c>
      <c r="C13" t="n">
        <v>0.0509</v>
      </c>
    </row>
    <row r="14">
      <c r="A14" t="inlineStr">
        <is>
          <t>Tax rate</t>
        </is>
      </c>
      <c r="C14" t="n">
        <v>0.166</v>
      </c>
    </row>
    <row r="15">
      <c r="A15" t="inlineStr">
        <is>
          <t>Days sales outstanding (on revenue)</t>
        </is>
      </c>
      <c r="C15" t="n">
        <v>53.1</v>
      </c>
    </row>
    <row r="16">
      <c r="A16" t="inlineStr">
        <is>
          <t>Days inventory outstanding (on cost of revenue)</t>
        </is>
      </c>
      <c r="C16" t="n">
        <v>113</v>
      </c>
    </row>
    <row r="17">
      <c r="A17" t="inlineStr">
        <is>
          <t>Days payables outstanding (on cost of revenue)</t>
        </is>
      </c>
      <c r="C17" t="n">
        <v>54.5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 in millions)</t>
        </is>
      </c>
      <c r="C19" t="n">
        <v>0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576.77309</v>
      </c>
      <c r="D6" t="n">
        <v>657.85821</v>
      </c>
      <c r="E6" t="n">
        <v>655.236055</v>
      </c>
      <c r="F6">
        <f>G6-C6-D6-E6</f>
        <v/>
      </c>
      <c r="G6" t="n">
        <v>2534.268965</v>
      </c>
      <c r="H6" t="n">
        <v>675.443125</v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385.039503</v>
      </c>
      <c r="D7" t="n">
        <v>432.567307</v>
      </c>
      <c r="E7" t="n">
        <v>430.069318</v>
      </c>
      <c r="F7">
        <f>G7-C7-D7-E7</f>
        <v/>
      </c>
      <c r="G7" t="n">
        <v>1667.560025</v>
      </c>
      <c r="H7" t="n">
        <v>446.816212</v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29.933005</v>
      </c>
      <c r="D9" t="n">
        <v>48.515355</v>
      </c>
      <c r="E9" t="n">
        <v>49.686902</v>
      </c>
      <c r="F9">
        <f>G9-C9-D9-E9</f>
        <v/>
      </c>
      <c r="G9" t="n">
        <v>177.868692</v>
      </c>
      <c r="H9" t="n">
        <v>49.791834</v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112.987106</v>
      </c>
      <c r="D11" t="n">
        <v>118.520135</v>
      </c>
      <c r="E11" t="n">
        <v>122.326938</v>
      </c>
      <c r="F11">
        <f>G11-C11-D11-E11</f>
        <v/>
      </c>
      <c r="G11" t="n">
        <v>473.935754</v>
      </c>
      <c r="H11" t="n">
        <v>123.659919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0</v>
      </c>
      <c r="D12" t="n">
        <v>0</v>
      </c>
      <c r="E12" t="n">
        <v>0</v>
      </c>
      <c r="F12">
        <f>G12-C12-D12-E12</f>
        <v/>
      </c>
      <c r="G12" t="n">
        <v>0</v>
      </c>
      <c r="H12" t="n">
        <v>0</v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113.627582</v>
      </c>
      <c r="D14" t="n">
        <v>115.470139</v>
      </c>
      <c r="E14" t="n">
        <v>120.570708</v>
      </c>
      <c r="F14">
        <f>G14-C14-D14-E14</f>
        <v/>
      </c>
      <c r="G14" t="n">
        <v>461.062415</v>
      </c>
      <c r="H14" t="n">
        <v>118.047562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18.753537</v>
      </c>
      <c r="D15" t="n">
        <v>19.819689</v>
      </c>
      <c r="E15" t="n">
        <v>19.684004</v>
      </c>
      <c r="F15">
        <f>G15-C15-D15-E15</f>
        <v/>
      </c>
      <c r="G15" t="n">
        <v>76.38033799999999</v>
      </c>
      <c r="H15" t="n">
        <v>19.626503</v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94.874045</v>
      </c>
      <c r="D17" t="n">
        <v>96.039584</v>
      </c>
      <c r="E17" t="n">
        <v>100.96791</v>
      </c>
      <c r="F17">
        <f>G17-C17-D17-E17</f>
        <v/>
      </c>
      <c r="G17" t="n">
        <v>384.841367</v>
      </c>
      <c r="H17" t="n">
        <v>98.45514300000001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145.645715</v>
      </c>
      <c r="H6" t="n">
        <v>164.761633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368.517569</v>
      </c>
      <c r="H7" t="n">
        <v>419.468925</v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516.253617</v>
      </c>
      <c r="H8" t="n">
        <v>523.509606</v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1128.434468</v>
      </c>
      <c r="H10" t="n">
        <v>1208.193001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790.935378</v>
      </c>
      <c r="H11" t="n">
        <v>786.333204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357.211919</v>
      </c>
      <c r="H12" t="n">
        <v>360.924307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189.341387</v>
      </c>
      <c r="H13" t="n">
        <v>185.598287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2928.592834</v>
      </c>
      <c r="H15" t="n">
        <v>2997.636194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248.983498</v>
      </c>
      <c r="H16" t="n">
        <v>276.649198</v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3.795925</v>
      </c>
      <c r="H17" t="n">
        <v>3.840654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0</v>
      </c>
      <c r="H18" t="n">
        <v>0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387.542969</v>
      </c>
      <c r="H20" t="n">
        <v>444.57926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0</v>
      </c>
      <c r="H21" t="n">
        <v>0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G27-G20-G21-G24-G25</f>
        <v/>
      </c>
      <c r="H22">
        <f>H27-H20-H21-H24-H25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G27-G24-G25</f>
        <v/>
      </c>
      <c r="H23">
        <f>H27-H24-H25</f>
        <v/>
      </c>
      <c r="I23">
        <f>I27-I24-I25</f>
        <v/>
      </c>
      <c r="J23">
        <f>J27-J24-J25</f>
        <v/>
      </c>
      <c r="K23">
        <f>K27-K24-K25</f>
        <v/>
      </c>
      <c r="M23">
        <f>M27-M24-M25</f>
        <v/>
      </c>
      <c r="N23">
        <f>N27-N24-N25</f>
        <v/>
      </c>
      <c r="O23">
        <f>O27-O24-O25</f>
        <v/>
      </c>
      <c r="P23">
        <f>P27-P24-P25</f>
        <v/>
      </c>
    </row>
    <row r="24">
      <c r="A24" t="inlineStr">
        <is>
          <t>Shareholders' equity (company)</t>
        </is>
      </c>
      <c r="G24" t="n">
        <v>2487.829724</v>
      </c>
      <c r="H24" t="n">
        <v>2502.585166</v>
      </c>
      <c r="I24">
        <f>H24+IS!I17+CF!I13</f>
        <v/>
      </c>
      <c r="J24">
        <f>I24+IS!J17+CF!J13</f>
        <v/>
      </c>
      <c r="K24">
        <f>J24+IS!K17+CF!K13</f>
        <v/>
      </c>
      <c r="M24">
        <f>K24+IS!M17+CF!M13</f>
        <v/>
      </c>
      <c r="N24">
        <f>M24+IS!N17+CF!N13</f>
        <v/>
      </c>
      <c r="O24">
        <f>N24+IS!O17+CF!O13</f>
        <v/>
      </c>
      <c r="P24">
        <f>O24+IS!P17+CF!P13</f>
        <v/>
      </c>
    </row>
    <row r="25">
      <c r="A25" t="inlineStr">
        <is>
          <t>Non-controlling interests</t>
        </is>
      </c>
      <c r="G25" t="n">
        <v>0</v>
      </c>
      <c r="H25" t="n">
        <v>0</v>
      </c>
      <c r="I25">
        <f>H25</f>
        <v/>
      </c>
      <c r="J25">
        <f>I25</f>
        <v/>
      </c>
      <c r="K25">
        <f>J25</f>
        <v/>
      </c>
      <c r="M25">
        <f>K25</f>
        <v/>
      </c>
      <c r="N25">
        <f>M25</f>
        <v/>
      </c>
      <c r="O25">
        <f>N25</f>
        <v/>
      </c>
      <c r="P25">
        <f>O25</f>
        <v/>
      </c>
    </row>
    <row r="26">
      <c r="A26" t="inlineStr">
        <is>
          <t>Total equity</t>
        </is>
      </c>
      <c r="G26">
        <f>G24+G25</f>
        <v/>
      </c>
      <c r="H26">
        <f>H24+H25</f>
        <v/>
      </c>
      <c r="I26">
        <f>I24+I25</f>
        <v/>
      </c>
      <c r="J26">
        <f>J24+J25</f>
        <v/>
      </c>
      <c r="K26">
        <f>K24+K25</f>
        <v/>
      </c>
      <c r="M26">
        <f>M24+M25</f>
        <v/>
      </c>
      <c r="N26">
        <f>N24+N25</f>
        <v/>
      </c>
      <c r="O26">
        <f>O24+O25</f>
        <v/>
      </c>
      <c r="P26">
        <f>P24+P25</f>
        <v/>
      </c>
    </row>
    <row r="27">
      <c r="A27" t="inlineStr">
        <is>
          <t>Total liabilities and equity</t>
        </is>
      </c>
      <c r="G27" t="n">
        <v>2928.592834</v>
      </c>
      <c r="H27" t="n">
        <v>2997.636194</v>
      </c>
      <c r="I27">
        <f>I20+I21+I22+I24+I25</f>
        <v/>
      </c>
      <c r="J27">
        <f>J20+J21+J22+J24+J25</f>
        <v/>
      </c>
      <c r="K27">
        <f>K20+K21+K22+K24+K25</f>
        <v/>
      </c>
      <c r="M27">
        <f>M20+M21+M22+M24+M25</f>
        <v/>
      </c>
      <c r="N27">
        <f>N20+N21+N22+N24+N25</f>
        <v/>
      </c>
      <c r="O27">
        <f>O20+O21+O22+O24+O25</f>
        <v/>
      </c>
      <c r="P27">
        <f>P20+P21+P22+P24+P25</f>
        <v/>
      </c>
    </row>
    <row r="28">
      <c r="A28" t="inlineStr">
        <is>
          <t>Check: total assets - total liabilities and equity (should be 0)</t>
        </is>
      </c>
      <c r="G28">
        <f>G15-G27</f>
        <v/>
      </c>
      <c r="H28">
        <f>H15-H27</f>
        <v/>
      </c>
      <c r="I28">
        <f>I15-I27</f>
        <v/>
      </c>
      <c r="J28">
        <f>J15-J27</f>
        <v/>
      </c>
      <c r="K28">
        <f>K15-K27</f>
        <v/>
      </c>
      <c r="M28">
        <f>M15-M27</f>
        <v/>
      </c>
      <c r="N28">
        <f>N15-N27</f>
        <v/>
      </c>
      <c r="O28">
        <f>O15-O27</f>
        <v/>
      </c>
      <c r="P28">
        <f>P15-P27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587.126291</v>
      </c>
      <c r="H21" t="n">
        <v>137.083229</v>
      </c>
    </row>
    <row r="22">
      <c r="A22" t="inlineStr">
        <is>
          <t>Capital expenditures, year to date (as reported)</t>
        </is>
      </c>
      <c r="G22" t="n">
        <v>-129.088778</v>
      </c>
      <c r="H22" t="n">
        <v>-17.042162</v>
      </c>
    </row>
    <row r="23">
      <c r="A23" t="inlineStr">
        <is>
          <t>Cash from investing activities, year to date (as reported)</t>
        </is>
      </c>
      <c r="G23" t="n">
        <v>-266.899521</v>
      </c>
      <c r="H23" t="n">
        <v>-25.574035</v>
      </c>
    </row>
    <row r="24">
      <c r="A24" t="inlineStr">
        <is>
          <t>Cash from financing activities, year to date (as reported)</t>
        </is>
      </c>
      <c r="G24" t="n">
        <v>-407.899821</v>
      </c>
      <c r="H24" t="n">
        <v>-92.393276</v>
      </c>
    </row>
    <row r="25">
      <c r="A25" t="inlineStr">
        <is>
          <t>Depreciation and amortization, year to date (as reported)</t>
        </is>
      </c>
      <c r="C25" t="n">
        <v>25.509069</v>
      </c>
      <c r="D25" t="n">
        <v>52.880443</v>
      </c>
      <c r="E25" t="n">
        <v>78.808967</v>
      </c>
      <c r="G25" t="n">
        <v>104.041764</v>
      </c>
      <c r="H25" t="n">
        <v>25.656252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 (latest reported balance sheet)</t>
        </is>
      </c>
      <c r="C32">
        <f>BS!H25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2026-10-12T00:50:34Z</dcterms:modified>
</cp:coreProperties>
</file>