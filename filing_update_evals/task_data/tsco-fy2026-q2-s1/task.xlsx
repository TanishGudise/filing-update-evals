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524.449616</v>
      </c>
    </row>
    <row r="7">
      <c r="A7" t="inlineStr">
        <is>
          <t>Revenue growth, FY2026 quarters vs. same quarter of FY2025</t>
        </is>
      </c>
      <c r="C7" t="n">
        <v>0.043</v>
      </c>
    </row>
    <row r="8">
      <c r="A8" t="inlineStr">
        <is>
          <t>Revenue growth by forecast year</t>
        </is>
      </c>
      <c r="M8" t="n">
        <v>0.043</v>
      </c>
      <c r="N8" t="n">
        <v>0.037</v>
      </c>
      <c r="O8" t="n">
        <v>0.03</v>
      </c>
      <c r="P8" t="n">
        <v>0.024</v>
      </c>
    </row>
    <row r="9">
      <c r="A9" t="inlineStr">
        <is>
          <t>Gross margin</t>
        </is>
      </c>
      <c r="C9" t="n">
        <v>0.3657</v>
      </c>
    </row>
    <row r="10">
      <c r="A10" t="inlineStr">
        <is>
          <t>SG&amp;A, % of revenue</t>
        </is>
      </c>
      <c r="C10" t="n">
        <v>0.2451</v>
      </c>
    </row>
    <row r="11">
      <c r="A11" t="inlineStr">
        <is>
          <t>Other operating expenses, % of revenue</t>
        </is>
      </c>
      <c r="C11" t="n">
        <v>0.0331</v>
      </c>
    </row>
    <row r="12">
      <c r="A12" t="inlineStr">
        <is>
          <t>Depreciation and amortization, % of revenue</t>
        </is>
      </c>
      <c r="C12" t="n">
        <v>0.0318</v>
      </c>
    </row>
    <row r="13">
      <c r="A13" t="inlineStr">
        <is>
          <t>Capital expenditures, % of revenue</t>
        </is>
      </c>
      <c r="C13" t="n">
        <v>0.0576</v>
      </c>
    </row>
    <row r="14">
      <c r="A14" t="inlineStr">
        <is>
          <t>Tax rate</t>
        </is>
      </c>
      <c r="C14" t="n">
        <v>0.216</v>
      </c>
    </row>
    <row r="15">
      <c r="A15" t="inlineStr">
        <is>
          <t>Days sales outstanding (on revenue)</t>
        </is>
      </c>
      <c r="C15" t="n">
        <v>0</v>
      </c>
    </row>
    <row r="16">
      <c r="A16" t="inlineStr">
        <is>
          <t>Days inventory outstanding (on cost of revenue)</t>
        </is>
      </c>
      <c r="C16" t="n">
        <v>114.1</v>
      </c>
    </row>
    <row r="17">
      <c r="A17" t="inlineStr">
        <is>
          <t>Days payables outstanding (on cost of revenue)</t>
        </is>
      </c>
      <c r="C17" t="n">
        <v>51.4</v>
      </c>
    </row>
    <row r="18">
      <c r="A18" t="inlineStr">
        <is>
          <t>Shareholder payouts and other financing, % of net income</t>
        </is>
      </c>
      <c r="C18" t="n">
        <v>0.83</v>
      </c>
    </row>
    <row r="19">
      <c r="A19" t="inlineStr">
        <is>
          <t>Interest expense, net, per year ($ in millions)</t>
        </is>
      </c>
      <c r="C19" t="n">
        <v>69.14400000000001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3466.952</v>
      </c>
      <c r="D6" t="n">
        <v>4439.729</v>
      </c>
      <c r="E6" t="n">
        <v>3719.044</v>
      </c>
      <c r="F6">
        <f>G6-C6-D6-E6</f>
        <v/>
      </c>
      <c r="G6" t="n">
        <v>15524.046</v>
      </c>
      <c r="H6" t="n">
        <v>3592.046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2211.53</v>
      </c>
      <c r="D7" t="n">
        <v>2799.755</v>
      </c>
      <c r="E7" t="n">
        <v>2329.812</v>
      </c>
      <c r="F7">
        <f>G7-C7-D7-E7</f>
        <v/>
      </c>
      <c r="G7" t="n">
        <v>9869.538</v>
      </c>
      <c r="H7" t="n">
        <v>2290.861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886.206</v>
      </c>
      <c r="D9" t="n">
        <v>940.063</v>
      </c>
      <c r="E9" t="n">
        <v>922.454</v>
      </c>
      <c r="F9">
        <f>G9-C9-D9-E9</f>
        <v/>
      </c>
      <c r="G9" t="n">
        <v>3693.108</v>
      </c>
      <c r="H9" t="n">
        <v>941.153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249.137</v>
      </c>
      <c r="D11" t="n">
        <v>577.812</v>
      </c>
      <c r="E11" t="n">
        <v>342.709</v>
      </c>
      <c r="F11">
        <f>G11-C11-D11-E11</f>
        <v/>
      </c>
      <c r="G11" t="n">
        <v>1467.389</v>
      </c>
      <c r="H11" t="n">
        <v>233.431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19.641</v>
      </c>
      <c r="D12" t="n">
        <v>17.983</v>
      </c>
      <c r="E12" t="n">
        <v>14.667</v>
      </c>
      <c r="F12">
        <f>G12-C12-D12-E12</f>
        <v/>
      </c>
      <c r="G12" t="n">
        <v>69.14400000000001</v>
      </c>
      <c r="H12" t="n">
        <v>19.108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229.496</v>
      </c>
      <c r="D14" t="n">
        <v>559.829</v>
      </c>
      <c r="E14" t="n">
        <v>328.042</v>
      </c>
      <c r="F14">
        <f>G14-C14-D14-E14</f>
        <v/>
      </c>
      <c r="G14" t="n">
        <v>1398.245</v>
      </c>
      <c r="H14" t="n">
        <v>214.323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50.127</v>
      </c>
      <c r="D15" t="n">
        <v>129.786</v>
      </c>
      <c r="E15" t="n">
        <v>68.774</v>
      </c>
      <c r="F15">
        <f>G15-C15-D15-E15</f>
        <v/>
      </c>
      <c r="G15" t="n">
        <v>302.158</v>
      </c>
      <c r="H15" t="n">
        <v>49.799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179.369</v>
      </c>
      <c r="D17" t="n">
        <v>430.043</v>
      </c>
      <c r="E17" t="n">
        <v>259.268</v>
      </c>
      <c r="F17">
        <f>G17-C17-D17-E17</f>
        <v/>
      </c>
      <c r="G17" t="n">
        <v>1096.087</v>
      </c>
      <c r="H17" t="n">
        <v>164.524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194.109</v>
      </c>
      <c r="H6" t="n">
        <v>224.269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0</v>
      </c>
      <c r="H7" t="n">
        <v>0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3084.086</v>
      </c>
      <c r="H8" t="n">
        <v>3583.601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3507.797</v>
      </c>
      <c r="H10" t="n">
        <v>4041.596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3026.544</v>
      </c>
      <c r="H11" t="n">
        <v>3132.326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10933.679</v>
      </c>
      <c r="H15" t="n">
        <v>11662.097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1390.833</v>
      </c>
      <c r="H16" t="n">
        <v>1760.426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2614.449</v>
      </c>
      <c r="H20" t="n">
        <v>2929.721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1764.974</v>
      </c>
      <c r="H21" t="n">
        <v>2125.726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2581.293</v>
      </c>
      <c r="H25" t="n">
        <v>2513.749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10933.679</v>
      </c>
      <c r="H28" t="n">
        <v>11662.097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1635.259</v>
      </c>
      <c r="H21" t="n">
        <v>91.12</v>
      </c>
    </row>
    <row r="22">
      <c r="A22" t="inlineStr">
        <is>
          <t>Capital expenditures, year to date (as reported)</t>
        </is>
      </c>
      <c r="G22" t="n">
        <v>-894.77</v>
      </c>
      <c r="H22" t="n">
        <v>-202.61</v>
      </c>
    </row>
    <row r="23">
      <c r="A23" t="inlineStr">
        <is>
          <t>Cash from investing activities, year to date (as reported)</t>
        </is>
      </c>
      <c r="G23" t="n">
        <v>-778.578</v>
      </c>
      <c r="H23" t="n">
        <v>-171.336</v>
      </c>
    </row>
    <row r="24">
      <c r="A24" t="inlineStr">
        <is>
          <t>Cash from financing activities, year to date (as reported)</t>
        </is>
      </c>
      <c r="G24" t="n">
        <v>-914.063</v>
      </c>
      <c r="H24" t="n">
        <v>110.376</v>
      </c>
    </row>
    <row r="25">
      <c r="A25" t="inlineStr">
        <is>
          <t>Depreciation and amortization, year to date (as reported)</t>
        </is>
      </c>
      <c r="C25" t="n">
        <v>120.079</v>
      </c>
      <c r="D25" t="n">
        <v>242.179</v>
      </c>
      <c r="E25" t="n">
        <v>366.248</v>
      </c>
      <c r="G25" t="n">
        <v>494.011</v>
      </c>
      <c r="H25" t="n">
        <v>126.601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2026-10-12T01:55:57Z</dcterms:modified>
</cp:coreProperties>
</file>