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TRACTOR SUPPLY CO /DE/: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A4" t="inlineStr">
        <is>
          <t>Last reported quarter of FY2026</t>
        </is>
      </c>
      <c r="C4" t="n">
        <v>1</v>
      </c>
    </row>
    <row r="5">
      <c r="A5" t="inlineStr">
        <is>
          <t>Shares outstanding, latest 10-Q/10-K cover (millions)</t>
        </is>
      </c>
      <c r="C5" t="n">
        <v>524.449616</v>
      </c>
    </row>
    <row r="7">
      <c r="A7" t="inlineStr">
        <is>
          <t>Revenue growth, FY2026 quarters vs. same quarter of FY2025</t>
        </is>
      </c>
      <c r="C7" t="n">
        <v>0.043</v>
      </c>
    </row>
    <row r="8">
      <c r="A8" t="inlineStr">
        <is>
          <t>Revenue growth by forecast year</t>
        </is>
      </c>
      <c r="M8" t="n">
        <v>0.043</v>
      </c>
      <c r="N8" t="n">
        <v>0.037</v>
      </c>
      <c r="O8" t="n">
        <v>0.03</v>
      </c>
      <c r="P8" t="n">
        <v>0.024</v>
      </c>
    </row>
    <row r="9">
      <c r="A9" t="inlineStr">
        <is>
          <t>Gross margin</t>
        </is>
      </c>
      <c r="C9" t="n">
        <v>0.3657</v>
      </c>
    </row>
    <row r="10">
      <c r="A10" t="inlineStr">
        <is>
          <t>SG&amp;A, % of revenue</t>
        </is>
      </c>
      <c r="C10" t="n">
        <v>0.2451</v>
      </c>
    </row>
    <row r="11">
      <c r="A11" t="inlineStr">
        <is>
          <t>Other operating expenses, % of revenue</t>
        </is>
      </c>
      <c r="C11" t="n">
        <v>0.0331</v>
      </c>
    </row>
    <row r="12">
      <c r="A12" t="inlineStr">
        <is>
          <t>Depreciation and amortization, % of revenue</t>
        </is>
      </c>
      <c r="C12" t="n">
        <v>0.0318</v>
      </c>
    </row>
    <row r="13">
      <c r="A13" t="inlineStr">
        <is>
          <t>Capital expenditures, % of revenue</t>
        </is>
      </c>
      <c r="C13" t="n">
        <v>0.0576</v>
      </c>
    </row>
    <row r="14">
      <c r="A14" t="inlineStr">
        <is>
          <t>Tax rate</t>
        </is>
      </c>
      <c r="C14" t="n">
        <v>0.216</v>
      </c>
    </row>
    <row r="15">
      <c r="A15" t="inlineStr">
        <is>
          <t>Days sales outstanding (on revenue)</t>
        </is>
      </c>
      <c r="C15" t="n">
        <v>0</v>
      </c>
    </row>
    <row r="16">
      <c r="A16" t="inlineStr">
        <is>
          <t>Days inventory outstanding (on cost of revenue)</t>
        </is>
      </c>
      <c r="C16" t="n">
        <v>114.1</v>
      </c>
    </row>
    <row r="17">
      <c r="A17" t="inlineStr">
        <is>
          <t>Days payables outstanding (on cost of revenue)</t>
        </is>
      </c>
      <c r="C17" t="n">
        <v>51.4</v>
      </c>
    </row>
    <row r="18">
      <c r="A18" t="inlineStr">
        <is>
          <t>Shareholder payouts and other financing, % of net income</t>
        </is>
      </c>
      <c r="C18" t="n">
        <v>0.83</v>
      </c>
    </row>
    <row r="19">
      <c r="A19" t="inlineStr">
        <is>
          <t>Interest expense, net, per year ($ in millions)</t>
        </is>
      </c>
      <c r="C19" t="n">
        <v>69.14400000000001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TRACTOR SUPPLY CO /DE/: income statement</t>
        </is>
      </c>
    </row>
    <row r="2">
      <c r="A2" t="inlineStr">
        <is>
          <t>$ in millions</t>
        </is>
      </c>
    </row>
    <row r="3">
      <c r="C3" t="inlineStr">
        <is>
          <t>Q1 FY2025</t>
        </is>
      </c>
      <c r="D3" t="inlineStr">
        <is>
          <t>Q2 FY2025</t>
        </is>
      </c>
      <c r="E3" t="inlineStr">
        <is>
          <t>Q3 FY2025</t>
        </is>
      </c>
      <c r="F3" t="inlineStr">
        <is>
          <t>Q4 FY2025</t>
        </is>
      </c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3466.952</v>
      </c>
      <c r="D6" t="n">
        <v>4439.729</v>
      </c>
      <c r="E6" t="n">
        <v>3719.044</v>
      </c>
      <c r="F6">
        <f>G6-C6-D6-E6</f>
        <v/>
      </c>
      <c r="G6" t="n">
        <v>15524.046</v>
      </c>
      <c r="H6" t="n">
        <v>3592.046</v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2211.53</v>
      </c>
      <c r="D7" t="n">
        <v>2799.755</v>
      </c>
      <c r="E7" t="n">
        <v>2329.812</v>
      </c>
      <c r="F7">
        <f>G7-C7-D7-E7</f>
        <v/>
      </c>
      <c r="G7" t="n">
        <v>9869.538</v>
      </c>
      <c r="H7" t="n">
        <v>2290.861</v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886.206</v>
      </c>
      <c r="D9" t="n">
        <v>940.063</v>
      </c>
      <c r="E9" t="n">
        <v>922.454</v>
      </c>
      <c r="F9">
        <f>G9-C9-D9-E9</f>
        <v/>
      </c>
      <c r="G9" t="n">
        <v>3693.108</v>
      </c>
      <c r="H9" t="n">
        <v>941.153</v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H8-H9-H11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249.137</v>
      </c>
      <c r="D11" t="n">
        <v>577.812</v>
      </c>
      <c r="E11" t="n">
        <v>342.709</v>
      </c>
      <c r="F11">
        <f>G11-C11-D11-E11</f>
        <v/>
      </c>
      <c r="G11" t="n">
        <v>1467.389</v>
      </c>
      <c r="H11" t="n">
        <v>233.431</v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19.641</v>
      </c>
      <c r="D12" t="n">
        <v>17.983</v>
      </c>
      <c r="E12" t="n">
        <v>14.667</v>
      </c>
      <c r="F12">
        <f>G12-C12-D12-E12</f>
        <v/>
      </c>
      <c r="G12" t="n">
        <v>69.14400000000001</v>
      </c>
      <c r="H12" t="n">
        <v>19.108</v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H14-H11+H12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229.496</v>
      </c>
      <c r="D14" t="n">
        <v>559.829</v>
      </c>
      <c r="E14" t="n">
        <v>328.042</v>
      </c>
      <c r="F14">
        <f>G14-C14-D14-E14</f>
        <v/>
      </c>
      <c r="G14" t="n">
        <v>1398.245</v>
      </c>
      <c r="H14" t="n">
        <v>214.323</v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50.127</v>
      </c>
      <c r="D15" t="n">
        <v>129.786</v>
      </c>
      <c r="E15" t="n">
        <v>68.774</v>
      </c>
      <c r="F15">
        <f>G15-C15-D15-E15</f>
        <v/>
      </c>
      <c r="G15" t="n">
        <v>302.158</v>
      </c>
      <c r="H15" t="n">
        <v>49.799</v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H17-(H14-H15)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179.369</v>
      </c>
      <c r="D17" t="n">
        <v>430.043</v>
      </c>
      <c r="E17" t="n">
        <v>259.268</v>
      </c>
      <c r="F17">
        <f>G17-C17-D17-E17</f>
        <v/>
      </c>
      <c r="G17" t="n">
        <v>1096.087</v>
      </c>
      <c r="H17" t="n">
        <v>164.524</v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CF!H25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TRACTOR SUPPLY CO /DE/: balance sheet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194.109</v>
      </c>
      <c r="H6" t="n">
        <v>224.269</v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0</v>
      </c>
      <c r="H7" t="n">
        <v>0</v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3084.086</v>
      </c>
      <c r="H8" t="n">
        <v>3583.601</v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H10-H6-H7-H8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3507.797</v>
      </c>
      <c r="H10" t="n">
        <v>4041.596</v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3026.544</v>
      </c>
      <c r="H11" t="n">
        <v>3132.326</v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0</v>
      </c>
      <c r="H12" t="n">
        <v>0</v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0</v>
      </c>
      <c r="H13" t="n">
        <v>0</v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H15-H10-H11-H12-H13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10933.679</v>
      </c>
      <c r="H15" t="n">
        <v>11662.097</v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1390.833</v>
      </c>
      <c r="H16" t="n">
        <v>1760.426</v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 t="n">
        <v>0</v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 t="n">
        <v>0</v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H20-H16-H17-H18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2614.449</v>
      </c>
      <c r="H20" t="n">
        <v>2929.721</v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1764.974</v>
      </c>
      <c r="H21" t="n">
        <v>2125.726</v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G27-G20-G21-G24-G25</f>
        <v/>
      </c>
      <c r="H22">
        <f>H27-H20-H21-H24-H25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G27-G24-G25</f>
        <v/>
      </c>
      <c r="H23">
        <f>H27-H24-H25</f>
        <v/>
      </c>
      <c r="I23">
        <f>I27-I24-I25</f>
        <v/>
      </c>
      <c r="J23">
        <f>J27-J24-J25</f>
        <v/>
      </c>
      <c r="K23">
        <f>K27-K24-K25</f>
        <v/>
      </c>
      <c r="M23">
        <f>M27-M24-M25</f>
        <v/>
      </c>
      <c r="N23">
        <f>N27-N24-N25</f>
        <v/>
      </c>
      <c r="O23">
        <f>O27-O24-O25</f>
        <v/>
      </c>
      <c r="P23">
        <f>P27-P24-P25</f>
        <v/>
      </c>
    </row>
    <row r="24">
      <c r="A24" t="inlineStr">
        <is>
          <t>Shareholders' equity (company)</t>
        </is>
      </c>
      <c r="G24" t="n">
        <v>2581.293</v>
      </c>
      <c r="H24" t="n">
        <v>2513.749</v>
      </c>
      <c r="I24">
        <f>H24+IS!I17+CF!I13</f>
        <v/>
      </c>
      <c r="J24">
        <f>I24+IS!J17+CF!J13</f>
        <v/>
      </c>
      <c r="K24">
        <f>J24+IS!K17+CF!K13</f>
        <v/>
      </c>
      <c r="M24">
        <f>K24+IS!M17+CF!M13</f>
        <v/>
      </c>
      <c r="N24">
        <f>M24+IS!N17+CF!N13</f>
        <v/>
      </c>
      <c r="O24">
        <f>N24+IS!O17+CF!O13</f>
        <v/>
      </c>
      <c r="P24">
        <f>O24+IS!P17+CF!P13</f>
        <v/>
      </c>
    </row>
    <row r="25">
      <c r="A25" t="inlineStr">
        <is>
          <t>Non-controlling interests</t>
        </is>
      </c>
      <c r="G25" t="n">
        <v>0</v>
      </c>
      <c r="H25" t="n">
        <v>0</v>
      </c>
      <c r="I25">
        <f>H25</f>
        <v/>
      </c>
      <c r="J25">
        <f>I25</f>
        <v/>
      </c>
      <c r="K25">
        <f>J25</f>
        <v/>
      </c>
      <c r="M25">
        <f>K25</f>
        <v/>
      </c>
      <c r="N25">
        <f>M25</f>
        <v/>
      </c>
      <c r="O25">
        <f>N25</f>
        <v/>
      </c>
      <c r="P25">
        <f>O25</f>
        <v/>
      </c>
    </row>
    <row r="26">
      <c r="A26" t="inlineStr">
        <is>
          <t>Total equity</t>
        </is>
      </c>
      <c r="G26">
        <f>G24+G25</f>
        <v/>
      </c>
      <c r="H26">
        <f>H24+H25</f>
        <v/>
      </c>
      <c r="I26">
        <f>I24+I25</f>
        <v/>
      </c>
      <c r="J26">
        <f>J24+J25</f>
        <v/>
      </c>
      <c r="K26">
        <f>K24+K25</f>
        <v/>
      </c>
      <c r="M26">
        <f>M24+M25</f>
        <v/>
      </c>
      <c r="N26">
        <f>N24+N25</f>
        <v/>
      </c>
      <c r="O26">
        <f>O24+O25</f>
        <v/>
      </c>
      <c r="P26">
        <f>P24+P25</f>
        <v/>
      </c>
    </row>
    <row r="27">
      <c r="A27" t="inlineStr">
        <is>
          <t>Total liabilities and equity</t>
        </is>
      </c>
      <c r="G27" t="n">
        <v>10933.679</v>
      </c>
      <c r="H27" t="n">
        <v>11662.097</v>
      </c>
      <c r="I27">
        <f>I20+I21+I22+I24+I25</f>
        <v/>
      </c>
      <c r="J27">
        <f>J20+J21+J22+J24+J25</f>
        <v/>
      </c>
      <c r="K27">
        <f>K20+K21+K22+K24+K25</f>
        <v/>
      </c>
      <c r="M27">
        <f>M20+M21+M22+M24+M25</f>
        <v/>
      </c>
      <c r="N27">
        <f>N20+N21+N22+N24+N25</f>
        <v/>
      </c>
      <c r="O27">
        <f>O20+O21+O22+O24+O25</f>
        <v/>
      </c>
      <c r="P27">
        <f>P20+P21+P22+P24+P25</f>
        <v/>
      </c>
    </row>
    <row r="28">
      <c r="A28" t="inlineStr">
        <is>
          <t>Check: total assets - total liabilities and equity (should be 0)</t>
        </is>
      </c>
      <c r="G28">
        <f>G15-G27</f>
        <v/>
      </c>
      <c r="H28">
        <f>H15-H27</f>
        <v/>
      </c>
      <c r="I28">
        <f>I15-I27</f>
        <v/>
      </c>
      <c r="J28">
        <f>J15-J27</f>
        <v/>
      </c>
      <c r="K28">
        <f>K15-K27</f>
        <v/>
      </c>
      <c r="M28">
        <f>M15-M27</f>
        <v/>
      </c>
      <c r="N28">
        <f>N15-N27</f>
        <v/>
      </c>
      <c r="O28">
        <f>O15-O27</f>
        <v/>
      </c>
      <c r="P28">
        <f>P15-P27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TRACTOR SUPPLY CO /DE/: cash flow statement</t>
        </is>
      </c>
    </row>
    <row r="2">
      <c r="A2" t="inlineStr">
        <is>
          <t>$ in millions</t>
        </is>
      </c>
    </row>
    <row r="3">
      <c r="G3" t="inlineStr">
        <is>
          <t>FY2025</t>
        </is>
      </c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L3" t="inlineStr">
        <is>
          <t>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H9-H6-H7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H21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H22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H12-H10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H23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H24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BS!H6-BS!G6-H9-H12-H13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1635.259</v>
      </c>
      <c r="H21" t="n">
        <v>91.12</v>
      </c>
    </row>
    <row r="22">
      <c r="A22" t="inlineStr">
        <is>
          <t>Capital expenditures, year to date (as reported)</t>
        </is>
      </c>
      <c r="G22" t="n">
        <v>-894.77</v>
      </c>
      <c r="H22" t="n">
        <v>-202.61</v>
      </c>
    </row>
    <row r="23">
      <c r="A23" t="inlineStr">
        <is>
          <t>Cash from investing activities, year to date (as reported)</t>
        </is>
      </c>
      <c r="G23" t="n">
        <v>-778.578</v>
      </c>
      <c r="H23" t="n">
        <v>-171.336</v>
      </c>
    </row>
    <row r="24">
      <c r="A24" t="inlineStr">
        <is>
          <t>Cash from financing activities, year to date (as reported)</t>
        </is>
      </c>
      <c r="G24" t="n">
        <v>-914.063</v>
      </c>
      <c r="H24" t="n">
        <v>110.376</v>
      </c>
    </row>
    <row r="25">
      <c r="A25" t="inlineStr">
        <is>
          <t>Depreciation and amortization, year to date (as reported)</t>
        </is>
      </c>
      <c r="C25" t="n">
        <v>120.079</v>
      </c>
      <c r="D25" t="n">
        <v>242.179</v>
      </c>
      <c r="E25" t="n">
        <v>366.248</v>
      </c>
      <c r="G25" t="n">
        <v>494.011</v>
      </c>
      <c r="H25" t="n">
        <v>126.601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TRACTOR SUPPLY CO /DE/: unlevered DCF and valuation</t>
        </is>
      </c>
    </row>
    <row r="2">
      <c r="A2" t="inlineStr">
        <is>
          <t>$ in millions</t>
        </is>
      </c>
    </row>
    <row r="3">
      <c r="H3" t="inlineStr">
        <is>
          <t>Q1 FY2026</t>
        </is>
      </c>
      <c r="I3" t="inlineStr">
        <is>
          <t>Q2 FY2026</t>
        </is>
      </c>
      <c r="J3" t="inlineStr">
        <is>
          <t>Q3 FY2026</t>
        </is>
      </c>
      <c r="K3" t="inlineStr">
        <is>
          <t>Q4 FY2026</t>
        </is>
      </c>
      <c r="M3" t="inlineStr">
        <is>
          <t>FY2027E</t>
        </is>
      </c>
      <c r="N3" t="inlineStr">
        <is>
          <t>FY2028E</t>
        </is>
      </c>
      <c r="O3" t="inlineStr">
        <is>
          <t>FY2029E</t>
        </is>
      </c>
      <c r="P3" t="inlineStr">
        <is>
          <t>FY2030E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SUM(IS!D6:F6)+SUM(IS!H6:H6)</f>
        <v/>
      </c>
    </row>
    <row r="19">
      <c r="A19" t="inlineStr">
        <is>
          <t>EBITDA, last four reported quarters</t>
        </is>
      </c>
      <c r="C19">
        <f>SUM(IS!D19:F19)+SUM(IS!H19:H19)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BS!H6</f>
        <v/>
      </c>
    </row>
    <row r="28">
      <c r="A28" t="inlineStr">
        <is>
          <t>Short-term borrowings (latest reported balance sheet)</t>
        </is>
      </c>
      <c r="C28">
        <f>BS!H17</f>
        <v/>
      </c>
    </row>
    <row r="29">
      <c r="A29" t="inlineStr">
        <is>
          <t>Current portion of long-term debt (latest reported balance sheet)</t>
        </is>
      </c>
      <c r="C29">
        <f>BS!H18</f>
        <v/>
      </c>
    </row>
    <row r="30">
      <c r="A30" t="inlineStr">
        <is>
          <t>Long-term debt (latest reported balance sheet)</t>
        </is>
      </c>
      <c r="C30">
        <f>BS!H21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 (latest reported balance sheet)</t>
        </is>
      </c>
      <c r="C32">
        <f>BS!H25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2026-10-12T00:50:37Z</dcterms:modified>
</cp:coreProperties>
</file>