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TSCO drivers</t>
        </is>
      </c>
    </row>
    <row r="2">
      <c r="A2" t="inlineStr">
        <is>
          <t>$m; rates as decimals</t>
        </is>
      </c>
    </row>
    <row r="3">
      <c r="E3" t="inlineStr">
        <is>
          <t>FY27E</t>
        </is>
      </c>
      <c r="F3" t="inlineStr">
        <is>
          <t>FY28E</t>
        </is>
      </c>
      <c r="G3" t="inlineStr">
        <is>
          <t>FY29E</t>
        </is>
      </c>
      <c r="H3" t="inlineStr">
        <is>
          <t>FY30E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(m)</t>
        </is>
      </c>
      <c r="C5" t="n">
        <v>524.449616</v>
      </c>
    </row>
    <row r="7">
      <c r="A7" t="inlineStr">
        <is>
          <t>Revenue growth, FY2026 quarters vs. same quarter of FY2025</t>
        </is>
      </c>
      <c r="C7" t="n">
        <v>0.043</v>
      </c>
    </row>
    <row r="8">
      <c r="A8" t="inlineStr">
        <is>
          <t>Revenue growth by forecast year</t>
        </is>
      </c>
      <c r="E8" t="n">
        <v>0.043</v>
      </c>
      <c r="F8" t="n">
        <v>0.037</v>
      </c>
      <c r="G8" t="n">
        <v>0.03</v>
      </c>
      <c r="H8" t="n">
        <v>0.024</v>
      </c>
    </row>
    <row r="9">
      <c r="A9" t="inlineStr">
        <is>
          <t>Gross margin</t>
        </is>
      </c>
      <c r="C9" t="n">
        <v>0.3657</v>
      </c>
    </row>
    <row r="10">
      <c r="A10" t="inlineStr">
        <is>
          <t>SG&amp;A, % of revenue</t>
        </is>
      </c>
      <c r="C10" t="n">
        <v>0.2451</v>
      </c>
    </row>
    <row r="11">
      <c r="A11" t="inlineStr">
        <is>
          <t>Other operating expenses, % of revenue</t>
        </is>
      </c>
      <c r="C11" t="n">
        <v>0.0331</v>
      </c>
    </row>
    <row r="12">
      <c r="A12" t="inlineStr">
        <is>
          <t>Depreciation and amortization, % of revenue</t>
        </is>
      </c>
      <c r="C12" t="n">
        <v>0.0318</v>
      </c>
    </row>
    <row r="13">
      <c r="A13" t="inlineStr">
        <is>
          <t>Capital expenditures, % of revenue</t>
        </is>
      </c>
      <c r="C13" t="n">
        <v>0.0576</v>
      </c>
    </row>
    <row r="14">
      <c r="A14" t="inlineStr">
        <is>
          <t>Tax rate</t>
        </is>
      </c>
      <c r="C14" t="n">
        <v>0.216</v>
      </c>
    </row>
    <row r="15">
      <c r="A15" t="inlineStr">
        <is>
          <t>Days sales outstanding (on revenue)</t>
        </is>
      </c>
      <c r="C15" t="n">
        <v>0</v>
      </c>
    </row>
    <row r="16">
      <c r="A16" t="inlineStr">
        <is>
          <t>Days inventory outstanding (on cost of revenue)</t>
        </is>
      </c>
      <c r="C16" t="n">
        <v>114.1</v>
      </c>
    </row>
    <row r="17">
      <c r="A17" t="inlineStr">
        <is>
          <t>Days payables outstanding (on cost of revenue)</t>
        </is>
      </c>
      <c r="C17" t="n">
        <v>51.4</v>
      </c>
    </row>
    <row r="18">
      <c r="A18" t="inlineStr">
        <is>
          <t>Shareholder payouts and other financing, % of net income</t>
        </is>
      </c>
      <c r="C18" t="n">
        <v>0.83</v>
      </c>
    </row>
    <row r="19">
      <c r="A19" t="inlineStr">
        <is>
          <t>Interest expense, net, per year ($m)</t>
        </is>
      </c>
      <c r="C19" t="n">
        <v>69.14400000000001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0.3707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TSCO quarterly model ($m)</t>
        </is>
      </c>
    </row>
    <row r="2">
      <c r="C2" t="inlineStr">
        <is>
          <t>Q1 FY25</t>
        </is>
      </c>
      <c r="D2" t="inlineStr">
        <is>
          <t>Q2 FY25</t>
        </is>
      </c>
      <c r="E2" t="inlineStr">
        <is>
          <t>Q3 FY25</t>
        </is>
      </c>
      <c r="F2" t="inlineStr">
        <is>
          <t>Q4 FY25</t>
        </is>
      </c>
      <c r="G2" t="inlineStr">
        <is>
          <t>Q1 FY26</t>
        </is>
      </c>
      <c r="H2" t="inlineStr">
        <is>
          <t>Q2 FY26</t>
        </is>
      </c>
      <c r="I2" t="inlineStr">
        <is>
          <t>Q3 FY26</t>
        </is>
      </c>
      <c r="J2" t="inlineStr">
        <is>
          <t>Q4 FY26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3466.952</v>
      </c>
      <c r="D6" t="n">
        <v>4439.729</v>
      </c>
      <c r="E6" t="n">
        <v>3719.044</v>
      </c>
      <c r="F6">
        <f>Annual!C6-C6-D6-E6</f>
        <v/>
      </c>
      <c r="G6" t="n">
        <v>3592.046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2211.53</v>
      </c>
      <c r="D7" t="n">
        <v>2799.755</v>
      </c>
      <c r="E7" t="n">
        <v>2329.812</v>
      </c>
      <c r="F7">
        <f>Annual!C7-C7-D7-E7</f>
        <v/>
      </c>
      <c r="G7" t="n">
        <v>2290.861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886.206</v>
      </c>
      <c r="D9" t="n">
        <v>940.063</v>
      </c>
      <c r="E9" t="n">
        <v>922.454</v>
      </c>
      <c r="F9">
        <f>Annual!C9-C9-D9-E9</f>
        <v/>
      </c>
      <c r="G9" t="n">
        <v>941.153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249.137</v>
      </c>
      <c r="D11" t="n">
        <v>577.812</v>
      </c>
      <c r="E11" t="n">
        <v>342.709</v>
      </c>
      <c r="F11">
        <f>Annual!C11-C11-D11-E11</f>
        <v/>
      </c>
      <c r="G11" t="n">
        <v>233.431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19.641</v>
      </c>
      <c r="D12" t="n">
        <v>17.983</v>
      </c>
      <c r="E12" t="n">
        <v>14.667</v>
      </c>
      <c r="F12">
        <f>Annual!C12-C12-D12-E12</f>
        <v/>
      </c>
      <c r="G12" t="n">
        <v>19.108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229.496</v>
      </c>
      <c r="D14" t="n">
        <v>559.829</v>
      </c>
      <c r="E14" t="n">
        <v>328.042</v>
      </c>
      <c r="F14">
        <f>Annual!C14-C14-D14-E14</f>
        <v/>
      </c>
      <c r="G14" t="n">
        <v>214.323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50.127</v>
      </c>
      <c r="D15" t="n">
        <v>129.786</v>
      </c>
      <c r="E15" t="n">
        <v>68.774</v>
      </c>
      <c r="F15">
        <f>Annual!C15-C15-D15-E15</f>
        <v/>
      </c>
      <c r="G15" t="n">
        <v>49.799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179.369</v>
      </c>
      <c r="D17" t="n">
        <v>430.043</v>
      </c>
      <c r="E17" t="n">
        <v>259.268</v>
      </c>
      <c r="F17">
        <f>Annual!C17-C17-D17-E17</f>
        <v/>
      </c>
      <c r="G17" t="n">
        <v>164.524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G67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224.269</v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 t="n">
        <v>0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3583.601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4041.596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3132.326</v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 t="n">
        <v>0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0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11662.097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1760.426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0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0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2929.721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2125.726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G44-G36-G37-G40-G41-G42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 t="n">
        <v>0</v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 t="n">
        <v>2513.749</v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 t="n">
        <v>0</v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 t="n">
        <v>11662.097</v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G51-G48-G49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G63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G64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G54-G52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G65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G66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G22-Annual!C22-G51-G54-G55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G63" t="n">
        <v>91.12</v>
      </c>
    </row>
    <row r="64">
      <c r="A64" t="inlineStr">
        <is>
          <t>Capex YTD (reported)</t>
        </is>
      </c>
      <c r="G64" t="n">
        <v>-202.61</v>
      </c>
    </row>
    <row r="65">
      <c r="A65" t="inlineStr">
        <is>
          <t>CFI YTD (reported)</t>
        </is>
      </c>
      <c r="G65" t="n">
        <v>-171.336</v>
      </c>
    </row>
    <row r="66">
      <c r="A66" t="inlineStr">
        <is>
          <t>CFF YTD (reported)</t>
        </is>
      </c>
      <c r="G66" t="n">
        <v>110.376</v>
      </c>
    </row>
    <row r="67">
      <c r="A67" t="inlineStr">
        <is>
          <t>D&amp;A YTD (reported)</t>
        </is>
      </c>
      <c r="C67" t="n">
        <v>120.079</v>
      </c>
      <c r="D67" t="n">
        <v>242.179</v>
      </c>
      <c r="E67" t="n">
        <v>366.248</v>
      </c>
      <c r="G67" t="n">
        <v>126.601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TSCO annual model ($m)</t>
        </is>
      </c>
    </row>
    <row r="2">
      <c r="C2" t="inlineStr">
        <is>
          <t>FY25</t>
        </is>
      </c>
      <c r="D2" t="inlineStr">
        <is>
          <t>FY26</t>
        </is>
      </c>
      <c r="E2" t="inlineStr">
        <is>
          <t>FY27E</t>
        </is>
      </c>
      <c r="F2" t="inlineStr">
        <is>
          <t>FY28E</t>
        </is>
      </c>
      <c r="G2" t="inlineStr">
        <is>
          <t>FY29E</t>
        </is>
      </c>
      <c r="H2" t="inlineStr">
        <is>
          <t>FY30E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15524.046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9869.538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3693.108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1467.389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69.14400000000001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15.5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1398.245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302.158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1096.087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194.109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0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3084.086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3507.797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3026.544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0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0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10933.679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1390.833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0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0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2614.449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1764.974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2581.293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10933.679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1635.259</v>
      </c>
    </row>
    <row r="64">
      <c r="A64" t="inlineStr">
        <is>
          <t>Capex YTD (reported)</t>
        </is>
      </c>
      <c r="C64" t="n">
        <v>-894.77</v>
      </c>
    </row>
    <row r="65">
      <c r="A65" t="inlineStr">
        <is>
          <t>CFI YTD (reported)</t>
        </is>
      </c>
      <c r="C65" t="n">
        <v>-778.578</v>
      </c>
    </row>
    <row r="66">
      <c r="A66" t="inlineStr">
        <is>
          <t>CFF YTD (reported)</t>
        </is>
      </c>
      <c r="C66" t="n">
        <v>-914.063</v>
      </c>
    </row>
    <row r="67">
      <c r="A67" t="inlineStr">
        <is>
          <t>D&amp;A YTD (reported)</t>
        </is>
      </c>
      <c r="C67" t="n">
        <v>494.011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TSCO DCF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H2" t="inlineStr">
        <is>
          <t>FY27E</t>
        </is>
      </c>
      <c r="I2" t="inlineStr">
        <is>
          <t>FY28E</t>
        </is>
      </c>
      <c r="J2" t="inlineStr">
        <is>
          <t>FY29E</t>
        </is>
      </c>
      <c r="K2" t="inlineStr">
        <is>
          <t>FY30E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Quarterly!G42+Quarterly!G40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2026-10-12T02:09:08Z</dcterms:modified>
</cp:coreProperties>
</file>