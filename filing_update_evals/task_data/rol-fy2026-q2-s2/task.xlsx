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FY25</t>
        </is>
      </c>
      <c r="D3" t="inlineStr">
        <is>
          <t>Q2 FY25</t>
        </is>
      </c>
      <c r="E3" t="inlineStr">
        <is>
          <t>Q3 FY25</t>
        </is>
      </c>
      <c r="F3" t="inlineStr">
        <is>
          <t>Q4 FY25</t>
        </is>
      </c>
      <c r="G3" t="inlineStr">
        <is>
          <t>FY25</t>
        </is>
      </c>
      <c r="H3" t="inlineStr">
        <is>
          <t>Q1 FY26</t>
        </is>
      </c>
      <c r="I3" t="inlineStr">
        <is>
          <t>Q2 FY26</t>
        </is>
      </c>
      <c r="J3" t="inlineStr">
        <is>
          <t>Q3 FY26</t>
        </is>
      </c>
      <c r="K3" t="inlineStr">
        <is>
          <t>Q4 FY26</t>
        </is>
      </c>
      <c r="L3" t="inlineStr">
        <is>
          <t>FY26</t>
        </is>
      </c>
      <c r="M3" t="inlineStr">
        <is>
          <t>FY27E</t>
        </is>
      </c>
      <c r="N3" t="inlineStr">
        <is>
          <t>FY28E</t>
        </is>
      </c>
      <c r="O3" t="inlineStr">
        <is>
          <t>FY29E</t>
        </is>
      </c>
      <c r="P3" t="inlineStr">
        <is>
          <t>FY30E</t>
        </is>
      </c>
    </row>
    <row r="4">
      <c r="C4" t="inlineStr">
        <is>
          <t>Mar 31, 2025</t>
        </is>
      </c>
      <c r="D4" t="inlineStr">
        <is>
          <t>Jun 30, 2025</t>
        </is>
      </c>
      <c r="E4" t="inlineStr">
        <is>
          <t>Sep 30, 2025</t>
        </is>
      </c>
      <c r="F4" t="inlineStr">
        <is>
          <t>Dec 31, 2025</t>
        </is>
      </c>
      <c r="G4" t="inlineStr">
        <is>
          <t>Dec 31, 2025</t>
        </is>
      </c>
      <c r="H4" t="inlineStr">
        <is>
          <t>Mar 31, 2026</t>
        </is>
      </c>
      <c r="I4" t="inlineStr">
        <is>
          <t>Jun 30,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FY2026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481463.663</v>
      </c>
    </row>
    <row r="11">
      <c r="A11" t="inlineStr">
        <is>
          <t>Revenue growth, FY2026 quarters vs. same quarter of FY2025</t>
        </is>
      </c>
      <c r="C11" t="n">
        <v>0.11</v>
      </c>
    </row>
    <row r="12">
      <c r="A12" t="inlineStr">
        <is>
          <t>Revenue growth by forecast year</t>
        </is>
      </c>
      <c r="M12" t="n">
        <v>0.11</v>
      </c>
      <c r="N12" t="n">
        <v>0.093</v>
      </c>
      <c r="O12" t="n">
        <v>0.077</v>
      </c>
      <c r="P12" t="n">
        <v>0.061</v>
      </c>
    </row>
    <row r="13">
      <c r="A13" t="inlineStr">
        <is>
          <t>Gross margin</t>
        </is>
      </c>
      <c r="C13" t="n">
        <v>0.5256999999999999</v>
      </c>
    </row>
    <row r="14">
      <c r="A14" t="inlineStr">
        <is>
          <t>SG&amp;A, % of revenue</t>
        </is>
      </c>
      <c r="C14" t="n">
        <v>0.3022</v>
      </c>
    </row>
    <row r="15">
      <c r="A15" t="inlineStr">
        <is>
          <t>Other operating expenses, % of revenue</t>
        </is>
      </c>
      <c r="C15" t="n">
        <v>0.0332</v>
      </c>
    </row>
    <row r="16">
      <c r="A16" t="inlineStr">
        <is>
          <t>Depreciation and amortization, % of revenue</t>
        </is>
      </c>
      <c r="C16" t="n">
        <v>0.0332</v>
      </c>
    </row>
    <row r="17">
      <c r="A17" t="inlineStr">
        <is>
          <t>Capital expenditures, % of revenue</t>
        </is>
      </c>
      <c r="C17" t="n">
        <v>0.0075</v>
      </c>
    </row>
    <row r="18">
      <c r="A18" t="inlineStr">
        <is>
          <t>Tax rate</t>
        </is>
      </c>
      <c r="C18" t="n">
        <v>0.249</v>
      </c>
    </row>
    <row r="19">
      <c r="A19" t="inlineStr">
        <is>
          <t>Days sales outstanding (on revenue)</t>
        </is>
      </c>
      <c r="C19" t="n">
        <v>19.7</v>
      </c>
    </row>
    <row r="20">
      <c r="A20" t="inlineStr">
        <is>
          <t>Days inventory outstanding (on cost of revenue)</t>
        </is>
      </c>
      <c r="C20" t="n">
        <v>8.800000000000001</v>
      </c>
    </row>
    <row r="21">
      <c r="A21" t="inlineStr">
        <is>
          <t>Days payables outstanding (on cost of revenue)</t>
        </is>
      </c>
      <c r="C21" t="n">
        <v>9.1</v>
      </c>
    </row>
    <row r="22">
      <c r="A22" t="inlineStr">
        <is>
          <t>Shareholder payouts and other financing, % of net income</t>
        </is>
      </c>
      <c r="C22" t="n">
        <v>0.65</v>
      </c>
    </row>
    <row r="23">
      <c r="A23" t="inlineStr">
        <is>
          <t>Interest expense, net, per year ($ in thousands)</t>
        </is>
      </c>
      <c r="C23" t="n">
        <v>28558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Customer services</t>
        </is>
      </c>
      <c r="C33" t="n">
        <v>822504</v>
      </c>
      <c r="D33" t="n">
        <v>999527</v>
      </c>
      <c r="E33" t="n">
        <v>1026106</v>
      </c>
      <c r="F33">
        <f>G33-C33-D33-E33</f>
        <v/>
      </c>
      <c r="G33" t="n">
        <v>3761050</v>
      </c>
      <c r="H33" t="n">
        <v>906424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services provided (exclusive of depreciation and amortization below)</t>
        </is>
      </c>
      <c r="C34" t="n">
        <v>400134</v>
      </c>
      <c r="D34" t="n">
        <v>461861</v>
      </c>
      <c r="E34" t="n">
        <v>467450</v>
      </c>
      <c r="F34">
        <f>G34-C34-D34-E34</f>
        <v/>
      </c>
      <c r="G34" t="n">
        <v>1777006</v>
      </c>
      <c r="H34" t="n">
        <v>445522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Sales, general and administrative</t>
        </is>
      </c>
      <c r="C36" t="n">
        <v>250513</v>
      </c>
      <c r="D36" t="n">
        <v>307596</v>
      </c>
      <c r="E36" t="n">
        <v>301404</v>
      </c>
      <c r="F36">
        <f>G36-C36-D36-E36</f>
        <v/>
      </c>
      <c r="G36" t="n">
        <v>1133232</v>
      </c>
      <c r="H36" t="n">
        <v>282918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142648</v>
      </c>
      <c r="D38" t="n">
        <v>198333</v>
      </c>
      <c r="E38" t="n">
        <v>225021</v>
      </c>
      <c r="F38">
        <f>G38-C38-D38-E38</f>
        <v/>
      </c>
      <c r="G38" t="n">
        <v>726068</v>
      </c>
      <c r="H38" t="n">
        <v>145486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5796</v>
      </c>
      <c r="D39" t="n">
        <v>7380</v>
      </c>
      <c r="E39" t="n">
        <v>7942</v>
      </c>
      <c r="F39">
        <f>G39-C39-D39-E39</f>
        <v/>
      </c>
      <c r="G39" t="n">
        <v>28558</v>
      </c>
      <c r="H39" t="n">
        <v>8851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CONSOLIDATED INCOME BEFORE INCOME TAXES</t>
        </is>
      </c>
      <c r="C41" t="n">
        <v>137544</v>
      </c>
      <c r="D41" t="n">
        <v>191245</v>
      </c>
      <c r="E41" t="n">
        <v>217429</v>
      </c>
      <c r="F41">
        <f>G41-C41-D41-E41</f>
        <v/>
      </c>
      <c r="G41" t="n">
        <v>700926</v>
      </c>
      <c r="H41" t="n">
        <v>137098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PROVISION FOR INCOME TAXES</t>
        </is>
      </c>
      <c r="C42" t="n">
        <v>32296</v>
      </c>
      <c r="D42" t="n">
        <v>49756</v>
      </c>
      <c r="E42" t="n">
        <v>53902</v>
      </c>
      <c r="F42">
        <f>G42-C42-D42-E42</f>
        <v/>
      </c>
      <c r="G42" t="n">
        <v>174221</v>
      </c>
      <c r="H42" t="n">
        <v>29260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</t>
        </is>
      </c>
      <c r="C44" t="n">
        <v>105248</v>
      </c>
      <c r="D44" t="n">
        <v>141489</v>
      </c>
      <c r="E44" t="n">
        <v>163527</v>
      </c>
      <c r="F44">
        <f>G44-C44-D44-E44</f>
        <v/>
      </c>
      <c r="G44" t="n">
        <v>526705</v>
      </c>
      <c r="H44" t="n">
        <v>107838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100004</v>
      </c>
      <c r="H49" t="n">
        <v>116543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Trade receivables, net of allowance for expected credit losses of $21,002 and $23,528, respectively</t>
        </is>
      </c>
      <c r="G50" t="n">
        <v>202518</v>
      </c>
      <c r="H50" t="n">
        <v>210721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Materials and supplies</t>
        </is>
      </c>
      <c r="G51" t="n">
        <v>42982</v>
      </c>
      <c r="H51" t="n">
        <v>44128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472682</v>
      </c>
      <c r="H53" t="n">
        <v>513678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Equipment and property, net of accumulated depreciation of $251,921 and $237,815, respectively</t>
        </is>
      </c>
      <c r="G54" t="n">
        <v>126187</v>
      </c>
      <c r="H54" t="n">
        <v>124910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1374664</v>
      </c>
      <c r="H55" t="n">
        <v>1384591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582384</v>
      </c>
      <c r="H56" t="n">
        <v>565723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3140523</v>
      </c>
      <c r="H58" t="n">
        <v>3160234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44361</v>
      </c>
      <c r="H59" t="n">
        <v>61188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debt</t>
        </is>
      </c>
      <c r="G60" t="n">
        <v>123683</v>
      </c>
      <c r="H60" t="n">
        <v>163926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0</v>
      </c>
      <c r="H61" t="n">
        <v>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785525</v>
      </c>
      <c r="H63" t="n">
        <v>794663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486147</v>
      </c>
      <c r="H64" t="n">
        <v>486627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 t="n">
        <v>0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stockholders’ equity</t>
        </is>
      </c>
      <c r="G68" t="n">
        <v>1374321</v>
      </c>
      <c r="H68" t="n">
        <v>1381688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 t="n">
        <v>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stockholders’ equity</t>
        </is>
      </c>
      <c r="G71" t="n">
        <v>3140523</v>
      </c>
      <c r="H71" t="n">
        <v>3160234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678107</v>
      </c>
      <c r="H90" t="n">
        <v>118367</v>
      </c>
    </row>
    <row r="91">
      <c r="A91" t="inlineStr">
        <is>
          <t>Capital expenditures, year to date (as reported)</t>
        </is>
      </c>
      <c r="G91" t="n">
        <v>-28086</v>
      </c>
      <c r="H91" t="n">
        <v>-7139</v>
      </c>
    </row>
    <row r="92">
      <c r="A92" t="inlineStr">
        <is>
          <t>Net cash used in investing activities, year to date (as reported)</t>
        </is>
      </c>
      <c r="G92" t="n">
        <v>-326699</v>
      </c>
      <c r="H92" t="n">
        <v>-24567</v>
      </c>
    </row>
    <row r="93">
      <c r="A93" t="inlineStr">
        <is>
          <t>Net cash used in financing activities, year to date (as reported)</t>
        </is>
      </c>
      <c r="G93" t="n">
        <v>-343579</v>
      </c>
      <c r="H93" t="n">
        <v>-76192</v>
      </c>
    </row>
    <row r="94">
      <c r="A94" t="inlineStr">
        <is>
          <t>Depreciation and amortization, year to date (as reported)</t>
        </is>
      </c>
      <c r="C94" t="n">
        <v>29209</v>
      </c>
      <c r="D94" t="n">
        <v>60946</v>
      </c>
      <c r="E94" t="n">
        <v>93177</v>
      </c>
      <c r="G94" t="n">
        <v>124744</v>
      </c>
      <c r="H94" t="n">
        <v>32498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2026-10-12T02:09:03Z</dcterms:modified>
</cp:coreProperties>
</file>