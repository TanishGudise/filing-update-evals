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s" sheetId="1" state="visible" r:id="rId1"/>
    <sheet name="Quarterly" sheetId="2" state="visible" r:id="rId2"/>
    <sheet name="Annual" sheetId="3" state="visible" r:id="rId3"/>
    <sheet name="Valuation" sheetId="4" state="visible" r:id="rId4"/>
    <sheet name="Scrat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MLKN drivers</t>
        </is>
      </c>
    </row>
    <row r="2">
      <c r="A2" t="inlineStr">
        <is>
          <t>$m; rates as decimals</t>
        </is>
      </c>
    </row>
    <row r="3">
      <c r="E3" t="inlineStr">
        <is>
          <t>FY28E</t>
        </is>
      </c>
      <c r="F3" t="inlineStr">
        <is>
          <t>FY29E</t>
        </is>
      </c>
      <c r="G3" t="inlineStr">
        <is>
          <t>FY30E</t>
        </is>
      </c>
      <c r="H3" t="inlineStr">
        <is>
          <t>FY31E</t>
        </is>
      </c>
    </row>
    <row r="4">
      <c r="A4" t="inlineStr">
        <is>
          <t>Last reported quarter of FY2027</t>
        </is>
      </c>
      <c r="C4" t="n">
        <v>0</v>
      </c>
    </row>
    <row r="5">
      <c r="A5" t="inlineStr">
        <is>
          <t>Shares outstanding, latest 10-Q/10-K cover (m)</t>
        </is>
      </c>
      <c r="C5" t="n">
        <v>68.123238</v>
      </c>
    </row>
    <row r="7">
      <c r="A7" t="inlineStr">
        <is>
          <t>Revenue growth, FY2027 quarters vs. same quarter of FY2026</t>
        </is>
      </c>
      <c r="C7" t="n">
        <v>0.047</v>
      </c>
    </row>
    <row r="8">
      <c r="A8" t="inlineStr">
        <is>
          <t>Revenue growth by forecast year</t>
        </is>
      </c>
      <c r="E8" t="n">
        <v>0.047</v>
      </c>
      <c r="F8" t="n">
        <v>0.04</v>
      </c>
      <c r="G8" t="n">
        <v>0.033</v>
      </c>
      <c r="H8" t="n">
        <v>0.026</v>
      </c>
    </row>
    <row r="9">
      <c r="A9" t="inlineStr">
        <is>
          <t>Gross margin</t>
        </is>
      </c>
      <c r="C9" t="n">
        <v>0.3874</v>
      </c>
    </row>
    <row r="10">
      <c r="A10" t="inlineStr">
        <is>
          <t>SG&amp;A, % of revenue</t>
        </is>
      </c>
      <c r="C10" t="n">
        <v>0.3078</v>
      </c>
    </row>
    <row r="11">
      <c r="A11" t="inlineStr">
        <is>
          <t>Other operating expenses, % of revenue</t>
        </is>
      </c>
      <c r="C11" t="n">
        <v>0.0254</v>
      </c>
    </row>
    <row r="12">
      <c r="A12" t="inlineStr">
        <is>
          <t>Depreciation and amortization, % of revenue</t>
        </is>
      </c>
      <c r="C12" t="n">
        <v>0.0386</v>
      </c>
    </row>
    <row r="13">
      <c r="A13" t="inlineStr">
        <is>
          <t>Capital expenditures, % of revenue</t>
        </is>
      </c>
      <c r="C13" t="n">
        <v>0.0318</v>
      </c>
    </row>
    <row r="14">
      <c r="A14" t="inlineStr">
        <is>
          <t>Tax rate</t>
        </is>
      </c>
      <c r="C14" t="n">
        <v>0.253</v>
      </c>
    </row>
    <row r="15">
      <c r="A15" t="inlineStr">
        <is>
          <t>Days sales outstanding (on revenue)</t>
        </is>
      </c>
      <c r="C15" t="n">
        <v>34</v>
      </c>
    </row>
    <row r="16">
      <c r="A16" t="inlineStr">
        <is>
          <t>Days inventory outstanding (on cost of revenue)</t>
        </is>
      </c>
      <c r="C16" t="n">
        <v>75.8</v>
      </c>
    </row>
    <row r="17">
      <c r="A17" t="inlineStr">
        <is>
          <t>Days payables outstanding (on cost of revenue)</t>
        </is>
      </c>
      <c r="C17" t="n">
        <v>43.3</v>
      </c>
    </row>
    <row r="18">
      <c r="A18" t="inlineStr">
        <is>
          <t>Shareholder payouts and other financing, % of net income</t>
        </is>
      </c>
      <c r="C18" t="n">
        <v>1</v>
      </c>
    </row>
    <row r="19">
      <c r="A19" t="inlineStr">
        <is>
          <t>Interest expense, net, per year ($m)</t>
        </is>
      </c>
      <c r="C19" t="n">
        <v>69.90000000000001</v>
      </c>
    </row>
    <row r="20">
      <c r="A20" t="inlineStr">
        <is>
          <t>Other non-operating income, per quarter ($m)</t>
        </is>
      </c>
      <c r="C20" t="n">
        <v>0</v>
      </c>
    </row>
    <row r="21">
      <c r="A21" t="inlineStr">
        <is>
          <t>Other items after tax, per quarter ($m)</t>
        </is>
      </c>
      <c r="C21" t="n">
        <v>0</v>
      </c>
    </row>
    <row r="22">
      <c r="A22" t="inlineStr">
        <is>
          <t>Other investing cash flow, per quarter ($m)</t>
        </is>
      </c>
      <c r="C22" t="n">
        <v>0</v>
      </c>
    </row>
    <row r="23">
      <c r="A23" t="inlineStr">
        <is>
          <t>Exchange rate effect and other cash flow, per quarter ($m)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  <row r="27">
      <c r="A27" t="inlineStr">
        <is>
          <t>Q4 gross margin (analyst override)</t>
        </is>
      </c>
      <c r="C27" t="n">
        <v>0.3924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MLKN quarterly model ($m)</t>
        </is>
      </c>
    </row>
    <row r="2">
      <c r="C2" t="inlineStr">
        <is>
          <t>Q1 FY26</t>
        </is>
      </c>
      <c r="D2" t="inlineStr">
        <is>
          <t>Q2 FY26</t>
        </is>
      </c>
      <c r="E2" t="inlineStr">
        <is>
          <t>Q3 FY26</t>
        </is>
      </c>
      <c r="F2" t="inlineStr">
        <is>
          <t>Q4 FY26</t>
        </is>
      </c>
      <c r="G2" t="inlineStr">
        <is>
          <t>Q1 FY27</t>
        </is>
      </c>
      <c r="H2" t="inlineStr">
        <is>
          <t>Q2 FY27</t>
        </is>
      </c>
      <c r="I2" t="inlineStr">
        <is>
          <t>Q3 FY27</t>
        </is>
      </c>
      <c r="J2" t="inlineStr">
        <is>
          <t>Q4 FY27</t>
        </is>
      </c>
    </row>
    <row r="3"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>
        <f>IF(1&lt;=Drivers!$C$4,"A","E")</f>
        <v/>
      </c>
      <c r="H3">
        <f>IF(2&lt;=Drivers!$C$4,"A","E")</f>
        <v/>
      </c>
      <c r="I3">
        <f>IF(3&lt;=Drivers!$C$4,"A","E")</f>
        <v/>
      </c>
      <c r="J3">
        <f>IF(4&lt;=Drivers!$C$4,"A","E")</f>
        <v/>
      </c>
    </row>
    <row r="5">
      <c r="A5" t="inlineStr">
        <is>
          <t>P&amp;L</t>
        </is>
      </c>
    </row>
    <row r="6">
      <c r="A6" t="inlineStr">
        <is>
          <t>Rev</t>
        </is>
      </c>
      <c r="C6" t="n">
        <v>955.7</v>
      </c>
      <c r="D6" t="n">
        <v>955.2</v>
      </c>
      <c r="E6" t="n">
        <v>926.6</v>
      </c>
      <c r="F6">
        <f>Annual!C6-C6-D6-E6</f>
        <v/>
      </c>
      <c r="G6">
        <f>C6*(1+Drivers!$C$7)</f>
        <v/>
      </c>
      <c r="H6">
        <f>D6*(1+Drivers!$C$7)</f>
        <v/>
      </c>
      <c r="I6">
        <f>E6*(1+Drivers!$C$7)</f>
        <v/>
      </c>
      <c r="J6">
        <f>F6*(1+Drivers!$C$7)</f>
        <v/>
      </c>
    </row>
    <row r="7">
      <c r="A7" t="inlineStr">
        <is>
          <t>COGS</t>
        </is>
      </c>
      <c r="C7" t="n">
        <v>587.6</v>
      </c>
      <c r="D7" t="n">
        <v>583</v>
      </c>
      <c r="E7" t="n">
        <v>573.7</v>
      </c>
      <c r="F7">
        <f>Annual!C7-C7-D7-E7</f>
        <v/>
      </c>
      <c r="G7">
        <f>G6*(1-Drivers!$C$9)</f>
        <v/>
      </c>
      <c r="H7">
        <f>H6*(1-Drivers!$C$9)</f>
        <v/>
      </c>
      <c r="I7">
        <f>I6*(1-Drivers!$C$9)</f>
        <v/>
      </c>
      <c r="J7">
        <f>J6*(1-Drivers!$C$27)</f>
        <v/>
      </c>
    </row>
    <row r="8">
      <c r="A8" t="inlineStr">
        <is>
          <t>GP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</row>
    <row r="9">
      <c r="A9" t="inlineStr">
        <is>
          <t>SG&amp;A</t>
        </is>
      </c>
      <c r="C9" t="n">
        <v>293.8</v>
      </c>
      <c r="D9" t="n">
        <v>298.3</v>
      </c>
      <c r="E9" t="n">
        <v>285.5</v>
      </c>
      <c r="F9">
        <f>Annual!C9-C9-D9-E9</f>
        <v/>
      </c>
      <c r="G9">
        <f>G6*Drivers!$C$10</f>
        <v/>
      </c>
      <c r="H9">
        <f>H6*Drivers!$C$10</f>
        <v/>
      </c>
      <c r="I9">
        <f>I6*Drivers!$C$10</f>
        <v/>
      </c>
      <c r="J9">
        <f>J6*Drivers!$C$10</f>
        <v/>
      </c>
    </row>
    <row r="10">
      <c r="A10" t="inlineStr">
        <is>
          <t>Other opex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G6*Drivers!$C$11</f>
        <v/>
      </c>
      <c r="H10">
        <f>H6*Drivers!$C$11</f>
        <v/>
      </c>
      <c r="I10">
        <f>I6*Drivers!$C$11</f>
        <v/>
      </c>
      <c r="J10">
        <f>J6*Drivers!$C$11</f>
        <v/>
      </c>
    </row>
    <row r="11">
      <c r="A11" t="inlineStr">
        <is>
          <t>EBIT</t>
        </is>
      </c>
      <c r="C11" t="n">
        <v>53.5</v>
      </c>
      <c r="D11" t="n">
        <v>48.5</v>
      </c>
      <c r="E11" t="n">
        <v>44.9</v>
      </c>
      <c r="F11">
        <f>Annual!C11-C11-D11-E11</f>
        <v/>
      </c>
      <c r="G11">
        <f>G8-G9-G10</f>
        <v/>
      </c>
      <c r="H11">
        <f>H8-H9-H10</f>
        <v/>
      </c>
      <c r="I11">
        <f>I8-I9-I10</f>
        <v/>
      </c>
      <c r="J11">
        <f>J8-J9-J10</f>
        <v/>
      </c>
    </row>
    <row r="12">
      <c r="A12" t="inlineStr">
        <is>
          <t>Int exp, net</t>
        </is>
      </c>
      <c r="C12" t="n">
        <v>18.4</v>
      </c>
      <c r="D12" t="n">
        <v>17.9</v>
      </c>
      <c r="E12" t="n">
        <v>17.2</v>
      </c>
      <c r="F12">
        <f>Annual!C12-C12-D12-E12</f>
        <v/>
      </c>
      <c r="G12">
        <f>Drivers!$C$19/4</f>
        <v/>
      </c>
      <c r="H12">
        <f>Drivers!$C$19/4</f>
        <v/>
      </c>
      <c r="I12">
        <f>Drivers!$C$19/4</f>
        <v/>
      </c>
      <c r="J12">
        <f>Drivers!$C$19/4</f>
        <v/>
      </c>
    </row>
    <row r="13">
      <c r="A13" t="inlineStr">
        <is>
          <t>Other non-op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Drivers!$C$20</f>
        <v/>
      </c>
      <c r="H13">
        <f>Drivers!$C$20</f>
        <v/>
      </c>
      <c r="I13">
        <f>Drivers!$C$20</f>
        <v/>
      </c>
      <c r="J13">
        <f>Drivers!$C$20</f>
        <v/>
      </c>
    </row>
    <row r="14">
      <c r="A14" t="inlineStr">
        <is>
          <t>EBT</t>
        </is>
      </c>
      <c r="C14" t="n">
        <v>28.7</v>
      </c>
      <c r="D14" t="n">
        <v>32.5</v>
      </c>
      <c r="E14" t="n">
        <v>29.2</v>
      </c>
      <c r="F14">
        <f>Annual!C14-C14-D14-E14</f>
        <v/>
      </c>
      <c r="G14">
        <f>G11-G12+G13</f>
        <v/>
      </c>
      <c r="H14">
        <f>H11-H12+H13</f>
        <v/>
      </c>
      <c r="I14">
        <f>I11-I12+I13</f>
        <v/>
      </c>
      <c r="J14">
        <f>J11-J12+J13</f>
        <v/>
      </c>
    </row>
    <row r="15">
      <c r="A15" t="inlineStr">
        <is>
          <t>Tax</t>
        </is>
      </c>
      <c r="C15" t="n">
        <v>7.6</v>
      </c>
      <c r="D15" t="n">
        <v>7.3</v>
      </c>
      <c r="E15" t="n">
        <v>5.6</v>
      </c>
      <c r="F15">
        <f>Annual!C15-C15-D15-E15</f>
        <v/>
      </c>
      <c r="G15">
        <f>G14*Drivers!$C$14</f>
        <v/>
      </c>
      <c r="H15">
        <f>H14*Drivers!$C$14</f>
        <v/>
      </c>
      <c r="I15">
        <f>I14*Drivers!$C$14</f>
        <v/>
      </c>
      <c r="J15">
        <f>J14*Drivers!$C$14</f>
        <v/>
      </c>
    </row>
    <row r="16">
      <c r="A16" t="inlineStr">
        <is>
          <t>Other after-tax / NCI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Drivers!$C$21</f>
        <v/>
      </c>
      <c r="H16">
        <f>Drivers!$C$21</f>
        <v/>
      </c>
      <c r="I16">
        <f>Drivers!$C$21</f>
        <v/>
      </c>
      <c r="J16">
        <f>Drivers!$C$21</f>
        <v/>
      </c>
    </row>
    <row r="17">
      <c r="A17" t="inlineStr">
        <is>
          <t>NI</t>
        </is>
      </c>
      <c r="C17" t="n">
        <v>20.2</v>
      </c>
      <c r="D17" t="n">
        <v>24.2</v>
      </c>
      <c r="E17" t="n">
        <v>23.5</v>
      </c>
      <c r="F17">
        <f>Annual!C17-C17-D17-E17</f>
        <v/>
      </c>
      <c r="G17">
        <f>G14-G15+G16</f>
        <v/>
      </c>
      <c r="H17">
        <f>H14-H15+H16</f>
        <v/>
      </c>
      <c r="I17">
        <f>I14-I15+I16</f>
        <v/>
      </c>
      <c r="J17">
        <f>J14-J15+J16</f>
        <v/>
      </c>
    </row>
    <row r="18">
      <c r="A18" t="inlineStr">
        <is>
          <t>D&amp;A (CF stmt)</t>
        </is>
      </c>
      <c r="C18">
        <f>C67</f>
        <v/>
      </c>
      <c r="D18">
        <f>D67-C67</f>
        <v/>
      </c>
      <c r="E18">
        <f>E67-D67</f>
        <v/>
      </c>
      <c r="F18">
        <f>Annual!C67-E67</f>
        <v/>
      </c>
      <c r="G18">
        <f>G6*Drivers!$C$12</f>
        <v/>
      </c>
      <c r="H18">
        <f>H6*Drivers!$C$12</f>
        <v/>
      </c>
      <c r="I18">
        <f>I6*Drivers!$C$12</f>
        <v/>
      </c>
      <c r="J18">
        <f>J6*Drivers!$C$12</f>
        <v/>
      </c>
    </row>
    <row r="19">
      <c r="A19" t="inlineStr">
        <is>
          <t>EBITDA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</row>
    <row r="21">
      <c r="A21" t="inlineStr">
        <is>
          <t>Balance sheet</t>
        </is>
      </c>
    </row>
    <row r="22">
      <c r="A22" t="inlineStr">
        <is>
          <t>Cash</t>
        </is>
      </c>
      <c r="G22">
        <f>G59</f>
        <v/>
      </c>
      <c r="H22">
        <f>H59</f>
        <v/>
      </c>
      <c r="I22">
        <f>I59</f>
        <v/>
      </c>
      <c r="J22">
        <f>J59</f>
        <v/>
      </c>
    </row>
    <row r="23">
      <c r="A23" t="inlineStr">
        <is>
          <t>AR</t>
        </is>
      </c>
      <c r="G23">
        <f>G6*Drivers!$C$15/91.25</f>
        <v/>
      </c>
      <c r="H23">
        <f>H6*Drivers!$C$15/91.25</f>
        <v/>
      </c>
      <c r="I23">
        <f>I6*Drivers!$C$15/91.25</f>
        <v/>
      </c>
      <c r="J23">
        <f>J6*Drivers!$C$15/91.25</f>
        <v/>
      </c>
    </row>
    <row r="24">
      <c r="A24" t="inlineStr">
        <is>
          <t>Inventory</t>
        </is>
      </c>
      <c r="G24">
        <f>G7*Drivers!$C$16/91.25</f>
        <v/>
      </c>
      <c r="H24">
        <f>H7*Drivers!$C$16/91.25</f>
        <v/>
      </c>
      <c r="I24">
        <f>I7*Drivers!$C$16/91.25</f>
        <v/>
      </c>
      <c r="J24">
        <f>J7*Drivers!$C$16/91.25</f>
        <v/>
      </c>
    </row>
    <row r="25">
      <c r="A25" t="inlineStr">
        <is>
          <t>Other CA</t>
        </is>
      </c>
      <c r="G25">
        <f>Annual!C25</f>
        <v/>
      </c>
      <c r="H25">
        <f>G25</f>
        <v/>
      </c>
      <c r="I25">
        <f>H25</f>
        <v/>
      </c>
      <c r="J25">
        <f>I25</f>
        <v/>
      </c>
    </row>
    <row r="26">
      <c r="A26" t="inlineStr">
        <is>
          <t>Total CA</t>
        </is>
      </c>
      <c r="G26">
        <f>G22+G23+G24+G25</f>
        <v/>
      </c>
      <c r="H26">
        <f>H22+H23+H24+H25</f>
        <v/>
      </c>
      <c r="I26">
        <f>I22+I23+I24+I25</f>
        <v/>
      </c>
      <c r="J26">
        <f>J22+J23+J24+J25</f>
        <v/>
      </c>
    </row>
    <row r="27">
      <c r="A27" t="inlineStr">
        <is>
          <t>PP&amp;E</t>
        </is>
      </c>
      <c r="G27">
        <f>Annual!C27-G52-G18</f>
        <v/>
      </c>
      <c r="H27">
        <f>G27-H52-H18</f>
        <v/>
      </c>
      <c r="I27">
        <f>H27-I52-I18</f>
        <v/>
      </c>
      <c r="J27">
        <f>I27-J52-J18</f>
        <v/>
      </c>
    </row>
    <row r="28">
      <c r="A28" t="inlineStr">
        <is>
          <t>Goodwill</t>
        </is>
      </c>
      <c r="G28">
        <f>Annual!C28</f>
        <v/>
      </c>
      <c r="H28">
        <f>G28</f>
        <v/>
      </c>
      <c r="I28">
        <f>H28</f>
        <v/>
      </c>
      <c r="J28">
        <f>I28</f>
        <v/>
      </c>
    </row>
    <row r="29">
      <c r="A29" t="inlineStr">
        <is>
          <t>Intangibles</t>
        </is>
      </c>
      <c r="G29">
        <f>Annual!C29</f>
        <v/>
      </c>
      <c r="H29">
        <f>G29</f>
        <v/>
      </c>
      <c r="I29">
        <f>H29</f>
        <v/>
      </c>
      <c r="J29">
        <f>I29</f>
        <v/>
      </c>
    </row>
    <row r="30">
      <c r="A30" t="inlineStr">
        <is>
          <t>Other NCA</t>
        </is>
      </c>
      <c r="G30">
        <f>Annual!C30</f>
        <v/>
      </c>
      <c r="H30">
        <f>G30</f>
        <v/>
      </c>
      <c r="I30">
        <f>H30</f>
        <v/>
      </c>
      <c r="J30">
        <f>I30</f>
        <v/>
      </c>
    </row>
    <row r="31">
      <c r="A31" t="inlineStr">
        <is>
          <t>Total assets</t>
        </is>
      </c>
      <c r="G31">
        <f>G26+G27+G28+G29+G30</f>
        <v/>
      </c>
      <c r="H31">
        <f>H26+H27+H28+H29+H30</f>
        <v/>
      </c>
      <c r="I31">
        <f>I26+I27+I28+I29+I30</f>
        <v/>
      </c>
      <c r="J31">
        <f>J26+J27+J28+J29+J30</f>
        <v/>
      </c>
    </row>
    <row r="32">
      <c r="A32" t="inlineStr">
        <is>
          <t>AP</t>
        </is>
      </c>
      <c r="G32">
        <f>G7*Drivers!$C$17/91.25</f>
        <v/>
      </c>
      <c r="H32">
        <f>H7*Drivers!$C$17/91.25</f>
        <v/>
      </c>
      <c r="I32">
        <f>I7*Drivers!$C$17/91.25</f>
        <v/>
      </c>
      <c r="J32">
        <f>J7*Drivers!$C$17/91.25</f>
        <v/>
      </c>
    </row>
    <row r="33">
      <c r="A33" t="inlineStr">
        <is>
          <t>ST debt</t>
        </is>
      </c>
      <c r="G33">
        <f>Annual!C33</f>
        <v/>
      </c>
      <c r="H33">
        <f>G33</f>
        <v/>
      </c>
      <c r="I33">
        <f>H33</f>
        <v/>
      </c>
      <c r="J33">
        <f>I33</f>
        <v/>
      </c>
    </row>
    <row r="34">
      <c r="A34" t="inlineStr">
        <is>
          <t>Current LTD</t>
        </is>
      </c>
      <c r="G34">
        <f>Annual!C34</f>
        <v/>
      </c>
      <c r="H34">
        <f>G34</f>
        <v/>
      </c>
      <c r="I34">
        <f>H34</f>
        <v/>
      </c>
      <c r="J34">
        <f>I34</f>
        <v/>
      </c>
    </row>
    <row r="35">
      <c r="A35" t="inlineStr">
        <is>
          <t>Other CL</t>
        </is>
      </c>
      <c r="G35">
        <f>Annual!C35</f>
        <v/>
      </c>
      <c r="H35">
        <f>G35</f>
        <v/>
      </c>
      <c r="I35">
        <f>H35</f>
        <v/>
      </c>
      <c r="J35">
        <f>I35</f>
        <v/>
      </c>
    </row>
    <row r="36">
      <c r="A36" t="inlineStr">
        <is>
          <t>Total CL</t>
        </is>
      </c>
      <c r="G36">
        <f>G32+G33+G34+G35</f>
        <v/>
      </c>
      <c r="H36">
        <f>H32+H33+H34+H35</f>
        <v/>
      </c>
      <c r="I36">
        <f>I32+I33+I34+I35</f>
        <v/>
      </c>
      <c r="J36">
        <f>J32+J33+J34+J35</f>
        <v/>
      </c>
    </row>
    <row r="37">
      <c r="A37" t="inlineStr">
        <is>
          <t>LT debt</t>
        </is>
      </c>
      <c r="G37">
        <f>Annual!C37</f>
        <v/>
      </c>
      <c r="H37">
        <f>G37</f>
        <v/>
      </c>
      <c r="I37">
        <f>H37</f>
        <v/>
      </c>
      <c r="J37">
        <f>I37</f>
        <v/>
      </c>
    </row>
    <row r="38">
      <c r="A38" t="inlineStr">
        <is>
          <t>Other NCL</t>
        </is>
      </c>
      <c r="G38">
        <f>Annual!C38</f>
        <v/>
      </c>
      <c r="H38">
        <f>G38</f>
        <v/>
      </c>
      <c r="I38">
        <f>H38</f>
        <v/>
      </c>
      <c r="J38">
        <f>I38</f>
        <v/>
      </c>
    </row>
    <row r="39">
      <c r="A39" t="inlineStr">
        <is>
          <t>Total liabilities</t>
        </is>
      </c>
      <c r="G39">
        <f>G44-G40-G41-G42</f>
        <v/>
      </c>
      <c r="H39">
        <f>H44-H40-H41-H42</f>
        <v/>
      </c>
      <c r="I39">
        <f>I44-I40-I41-I42</f>
        <v/>
      </c>
      <c r="J39">
        <f>J44-J40-J41-J42</f>
        <v/>
      </c>
    </row>
    <row r="40">
      <c r="A40" t="inlineStr">
        <is>
          <t>Redeemable NCI</t>
        </is>
      </c>
      <c r="G40">
        <f>Annual!C40</f>
        <v/>
      </c>
      <c r="H40">
        <f>G40</f>
        <v/>
      </c>
      <c r="I40">
        <f>H40</f>
        <v/>
      </c>
      <c r="J40">
        <f>I40</f>
        <v/>
      </c>
    </row>
    <row r="41">
      <c r="A41" t="inlineStr">
        <is>
          <t>Equity</t>
        </is>
      </c>
      <c r="G41">
        <f>Annual!C41+G17+G55</f>
        <v/>
      </c>
      <c r="H41">
        <f>G41+H17+H55</f>
        <v/>
      </c>
      <c r="I41">
        <f>H41+I17+I55</f>
        <v/>
      </c>
      <c r="J41">
        <f>I41+J17+J55</f>
        <v/>
      </c>
    </row>
    <row r="42">
      <c r="A42" t="inlineStr">
        <is>
          <t>NCI</t>
        </is>
      </c>
      <c r="G42">
        <f>Annual!C42</f>
        <v/>
      </c>
      <c r="H42">
        <f>G42</f>
        <v/>
      </c>
      <c r="I42">
        <f>H42</f>
        <v/>
      </c>
      <c r="J42">
        <f>I42</f>
        <v/>
      </c>
    </row>
    <row r="43">
      <c r="A43" t="inlineStr">
        <is>
          <t>Total equity</t>
        </is>
      </c>
      <c r="G43">
        <f>G41+G42</f>
        <v/>
      </c>
      <c r="H43">
        <f>H41+H42</f>
        <v/>
      </c>
      <c r="I43">
        <f>I41+I42</f>
        <v/>
      </c>
      <c r="J43">
        <f>J41+J42</f>
        <v/>
      </c>
    </row>
    <row r="44">
      <c r="A44" t="inlineStr">
        <is>
          <t>Total L&amp;E</t>
        </is>
      </c>
      <c r="G44">
        <f>G36+G37+G38+G40+G41+G42</f>
        <v/>
      </c>
      <c r="H44">
        <f>H36+H37+H38+H40+H41+H42</f>
        <v/>
      </c>
      <c r="I44">
        <f>I36+I37+I38+I40+I41+I42</f>
        <v/>
      </c>
      <c r="J44">
        <f>J36+J37+J38+J40+J41+J42</f>
        <v/>
      </c>
    </row>
    <row r="45">
      <c r="A45" t="inlineStr">
        <is>
          <t>Check (A - L - E)</t>
        </is>
      </c>
      <c r="G45">
        <f>G31-G44</f>
        <v/>
      </c>
      <c r="H45">
        <f>H31-H44</f>
        <v/>
      </c>
      <c r="I45">
        <f>I31-I44</f>
        <v/>
      </c>
      <c r="J45">
        <f>J31-J44</f>
        <v/>
      </c>
    </row>
    <row r="47">
      <c r="A47" t="inlineStr">
        <is>
          <t>Cash flow</t>
        </is>
      </c>
    </row>
    <row r="48">
      <c r="A48" t="inlineStr">
        <is>
          <t>NI</t>
        </is>
      </c>
      <c r="G48">
        <f>G17</f>
        <v/>
      </c>
      <c r="H48">
        <f>H17</f>
        <v/>
      </c>
      <c r="I48">
        <f>I17</f>
        <v/>
      </c>
      <c r="J48">
        <f>J17</f>
        <v/>
      </c>
    </row>
    <row r="49">
      <c r="A49" t="inlineStr">
        <is>
          <t>D&amp;A</t>
        </is>
      </c>
      <c r="G49">
        <f>G18</f>
        <v/>
      </c>
      <c r="H49">
        <f>H18</f>
        <v/>
      </c>
      <c r="I49">
        <f>I18</f>
        <v/>
      </c>
      <c r="J49">
        <f>J18</f>
        <v/>
      </c>
    </row>
    <row r="50">
      <c r="A50" t="inlineStr">
        <is>
          <t>WC &amp; other</t>
        </is>
      </c>
      <c r="G50">
        <f>Annual!C23-G23+Annual!C24-G24+G32-Annual!C32</f>
        <v/>
      </c>
      <c r="H50">
        <f>G23-H23+G24-H24+H32-G32</f>
        <v/>
      </c>
      <c r="I50">
        <f>H23-I23+H24-I24+I32-H32</f>
        <v/>
      </c>
      <c r="J50">
        <f>I23-J23+I24-J24+J32-I32</f>
        <v/>
      </c>
    </row>
    <row r="51">
      <c r="A51" t="inlineStr">
        <is>
          <t>CFO</t>
        </is>
      </c>
      <c r="G51">
        <f>G48+G49+G50</f>
        <v/>
      </c>
      <c r="H51">
        <f>H48+H49+H50</f>
        <v/>
      </c>
      <c r="I51">
        <f>I48+I49+I50</f>
        <v/>
      </c>
      <c r="J51">
        <f>J48+J49+J50</f>
        <v/>
      </c>
    </row>
    <row r="52">
      <c r="A52" t="inlineStr">
        <is>
          <t>Capex</t>
        </is>
      </c>
      <c r="G52">
        <f>-G6*Drivers!$C$13</f>
        <v/>
      </c>
      <c r="H52">
        <f>-H6*Drivers!$C$13</f>
        <v/>
      </c>
      <c r="I52">
        <f>-I6*Drivers!$C$13</f>
        <v/>
      </c>
      <c r="J52">
        <f>-J6*Drivers!$C$13</f>
        <v/>
      </c>
    </row>
    <row r="53">
      <c r="A53" t="inlineStr">
        <is>
          <t>Other CFI</t>
        </is>
      </c>
      <c r="G53">
        <f>Drivers!$C$22</f>
        <v/>
      </c>
      <c r="H53">
        <f>Drivers!$C$22</f>
        <v/>
      </c>
      <c r="I53">
        <f>Drivers!$C$22</f>
        <v/>
      </c>
      <c r="J53">
        <f>Drivers!$C$22</f>
        <v/>
      </c>
    </row>
    <row r="54">
      <c r="A54" t="inlineStr">
        <is>
          <t>CFI</t>
        </is>
      </c>
      <c r="G54">
        <f>G52+G53</f>
        <v/>
      </c>
      <c r="H54">
        <f>H52+H53</f>
        <v/>
      </c>
      <c r="I54">
        <f>I52+I53</f>
        <v/>
      </c>
      <c r="J54">
        <f>J52+J53</f>
        <v/>
      </c>
    </row>
    <row r="55">
      <c r="A55" t="inlineStr">
        <is>
          <t>CFF</t>
        </is>
      </c>
      <c r="G55">
        <f>-G17*Drivers!$C$18</f>
        <v/>
      </c>
      <c r="H55">
        <f>-H17*Drivers!$C$18</f>
        <v/>
      </c>
      <c r="I55">
        <f>-I17*Drivers!$C$18</f>
        <v/>
      </c>
      <c r="J55">
        <f>-J17*Drivers!$C$18</f>
        <v/>
      </c>
    </row>
    <row r="56">
      <c r="A56" t="inlineStr">
        <is>
          <t>FX &amp; other</t>
        </is>
      </c>
      <c r="G56">
        <f>Drivers!$C$23</f>
        <v/>
      </c>
      <c r="H56">
        <f>Drivers!$C$23</f>
        <v/>
      </c>
      <c r="I56">
        <f>Drivers!$C$23</f>
        <v/>
      </c>
      <c r="J56">
        <f>Drivers!$C$23</f>
        <v/>
      </c>
    </row>
    <row r="57">
      <c r="A57" t="inlineStr">
        <is>
          <t>Net change in cash</t>
        </is>
      </c>
      <c r="G57">
        <f>G51+G54+G55+G56</f>
        <v/>
      </c>
      <c r="H57">
        <f>H51+H54+H55+H56</f>
        <v/>
      </c>
      <c r="I57">
        <f>I51+I54+I55+I56</f>
        <v/>
      </c>
      <c r="J57">
        <f>J51+J54+J55+J56</f>
        <v/>
      </c>
    </row>
    <row r="58">
      <c r="A58" t="inlineStr">
        <is>
          <t>Begin cash</t>
        </is>
      </c>
      <c r="G58">
        <f>Annual!C22</f>
        <v/>
      </c>
      <c r="H58">
        <f>G22</f>
        <v/>
      </c>
      <c r="I58">
        <f>H22</f>
        <v/>
      </c>
      <c r="J58">
        <f>I22</f>
        <v/>
      </c>
    </row>
    <row r="59">
      <c r="A59" t="inlineStr">
        <is>
          <t>End cash</t>
        </is>
      </c>
      <c r="G59">
        <f>G58+G57</f>
        <v/>
      </c>
      <c r="H59">
        <f>H58+H57</f>
        <v/>
      </c>
      <c r="I59">
        <f>I58+I57</f>
        <v/>
      </c>
      <c r="J59">
        <f>J58+J57</f>
        <v/>
      </c>
    </row>
    <row r="60">
      <c r="A60" t="inlineStr">
        <is>
          <t>FCF</t>
        </is>
      </c>
      <c r="G60">
        <f>G51+G52</f>
        <v/>
      </c>
      <c r="H60">
        <f>H51+H52</f>
        <v/>
      </c>
      <c r="I60">
        <f>I51+I52</f>
        <v/>
      </c>
      <c r="J60">
        <f>J51+J52</f>
        <v/>
      </c>
    </row>
    <row r="62">
      <c r="A62" t="inlineStr">
        <is>
          <t>Reported YTD</t>
        </is>
      </c>
    </row>
    <row r="63">
      <c r="A63" t="inlineStr">
        <is>
          <t>CFO YTD (reported)</t>
        </is>
      </c>
    </row>
    <row r="64">
      <c r="A64" t="inlineStr">
        <is>
          <t>Capex YTD (reported)</t>
        </is>
      </c>
    </row>
    <row r="65">
      <c r="A65" t="inlineStr">
        <is>
          <t>CFI YTD (reported)</t>
        </is>
      </c>
    </row>
    <row r="66">
      <c r="A66" t="inlineStr">
        <is>
          <t>CFF YTD (reported)</t>
        </is>
      </c>
    </row>
    <row r="67">
      <c r="A67" t="inlineStr">
        <is>
          <t>D&amp;A YTD (reported)</t>
        </is>
      </c>
      <c r="C67" t="n">
        <v>35.4</v>
      </c>
      <c r="D67" t="n">
        <v>72</v>
      </c>
      <c r="E67" t="n">
        <v>110.1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MLKN annual model ($m)</t>
        </is>
      </c>
    </row>
    <row r="2">
      <c r="C2" t="inlineStr">
        <is>
          <t>FY26</t>
        </is>
      </c>
      <c r="D2" t="inlineStr">
        <is>
          <t>FY27</t>
        </is>
      </c>
      <c r="E2" t="inlineStr">
        <is>
          <t>FY28E</t>
        </is>
      </c>
      <c r="F2" t="inlineStr">
        <is>
          <t>FY29E</t>
        </is>
      </c>
      <c r="G2" t="inlineStr">
        <is>
          <t>FY30E</t>
        </is>
      </c>
      <c r="H2" t="inlineStr">
        <is>
          <t>FY31E</t>
        </is>
      </c>
    </row>
    <row r="3">
      <c r="C3" t="inlineStr">
        <is>
          <t>A</t>
        </is>
      </c>
      <c r="E3" t="inlineStr">
        <is>
          <t>E</t>
        </is>
      </c>
      <c r="F3" t="inlineStr">
        <is>
          <t>E</t>
        </is>
      </c>
      <c r="G3" t="inlineStr">
        <is>
          <t>E</t>
        </is>
      </c>
      <c r="H3" t="inlineStr">
        <is>
          <t>E</t>
        </is>
      </c>
    </row>
    <row r="5">
      <c r="A5" t="inlineStr">
        <is>
          <t>P&amp;L</t>
        </is>
      </c>
    </row>
    <row r="6">
      <c r="A6" t="inlineStr">
        <is>
          <t>Rev</t>
        </is>
      </c>
      <c r="C6" t="n">
        <v>3841.7</v>
      </c>
      <c r="D6">
        <f>SUM(Quarterly!G6:J6)</f>
        <v/>
      </c>
      <c r="E6">
        <f>D6*(1+Drivers!E8)</f>
        <v/>
      </c>
      <c r="F6">
        <f>E6*(1+Drivers!F8)</f>
        <v/>
      </c>
      <c r="G6">
        <f>F6*(1+Drivers!G8)</f>
        <v/>
      </c>
      <c r="H6">
        <f>G6*(1+Drivers!H8)</f>
        <v/>
      </c>
    </row>
    <row r="7">
      <c r="A7" t="inlineStr">
        <is>
          <t>COGS</t>
        </is>
      </c>
      <c r="C7" t="n">
        <v>2352.9</v>
      </c>
      <c r="D7">
        <f>SUM(Quarterly!G7:J7)</f>
        <v/>
      </c>
      <c r="E7">
        <f>E6*(1-Drivers!$C$9)</f>
        <v/>
      </c>
      <c r="F7">
        <f>F6*(1-Drivers!$C$9)</f>
        <v/>
      </c>
      <c r="G7">
        <f>G6*(1-Drivers!$C$9)</f>
        <v/>
      </c>
      <c r="H7">
        <f>H6*(1-Drivers!$C$9)</f>
        <v/>
      </c>
    </row>
    <row r="8">
      <c r="A8" t="inlineStr">
        <is>
          <t>GP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</row>
    <row r="9">
      <c r="A9" t="inlineStr">
        <is>
          <t>SG&amp;A</t>
        </is>
      </c>
      <c r="C9" t="n">
        <v>1178.3</v>
      </c>
      <c r="D9">
        <f>SUM(Quarterly!G9:J9)</f>
        <v/>
      </c>
      <c r="E9">
        <f>E6*Drivers!$C$10</f>
        <v/>
      </c>
      <c r="F9">
        <f>F6*Drivers!$C$10</f>
        <v/>
      </c>
      <c r="G9">
        <f>G6*Drivers!$C$10</f>
        <v/>
      </c>
      <c r="H9">
        <f>H6*Drivers!$C$10</f>
        <v/>
      </c>
    </row>
    <row r="10">
      <c r="A10" t="inlineStr">
        <is>
          <t>Other opex</t>
        </is>
      </c>
      <c r="C10">
        <f>C8-C9-C11</f>
        <v/>
      </c>
      <c r="D10">
        <f>D8-D9-D11</f>
        <v/>
      </c>
      <c r="E10">
        <f>E6*Drivers!$C$11</f>
        <v/>
      </c>
      <c r="F10">
        <f>F6*Drivers!$C$11</f>
        <v/>
      </c>
      <c r="G10">
        <f>G6*Drivers!$C$11</f>
        <v/>
      </c>
      <c r="H10">
        <f>H6*Drivers!$C$11</f>
        <v/>
      </c>
    </row>
    <row r="11">
      <c r="A11" t="inlineStr">
        <is>
          <t>EBIT</t>
        </is>
      </c>
      <c r="C11" t="n">
        <v>198.3</v>
      </c>
      <c r="D11">
        <f>SUM(Quarterly!G11:J11)</f>
        <v/>
      </c>
      <c r="E11">
        <f>E8-E9-E10</f>
        <v/>
      </c>
      <c r="F11">
        <f>F8-F9-F10</f>
        <v/>
      </c>
      <c r="G11">
        <f>G8-G9-G10</f>
        <v/>
      </c>
      <c r="H11">
        <f>H8-H9-H10</f>
        <v/>
      </c>
    </row>
    <row r="12">
      <c r="A12" t="inlineStr">
        <is>
          <t>Int exp, net</t>
        </is>
      </c>
      <c r="C12" t="n">
        <v>69.90000000000001</v>
      </c>
      <c r="D12">
        <f>SUM(Quarterly!G12:J12)</f>
        <v/>
      </c>
      <c r="E12">
        <f>Drivers!$C$19</f>
        <v/>
      </c>
      <c r="F12">
        <f>Drivers!$C$19</f>
        <v/>
      </c>
      <c r="G12">
        <f>Drivers!$C$19</f>
        <v/>
      </c>
      <c r="H12">
        <f>Drivers!$C$19</f>
        <v/>
      </c>
    </row>
    <row r="13">
      <c r="A13" t="inlineStr">
        <is>
          <t>Other non-op</t>
        </is>
      </c>
      <c r="C13">
        <f>C14-C11+C12</f>
        <v/>
      </c>
      <c r="D13">
        <f>D14-D11+D12</f>
        <v/>
      </c>
      <c r="E13" t="n">
        <v>3.8</v>
      </c>
      <c r="F13">
        <f>Drivers!$C$20*4</f>
        <v/>
      </c>
      <c r="G13">
        <f>Drivers!$C$20*4</f>
        <v/>
      </c>
      <c r="H13">
        <f>Drivers!$C$20*4</f>
        <v/>
      </c>
    </row>
    <row r="14">
      <c r="A14" t="inlineStr">
        <is>
          <t>EBT</t>
        </is>
      </c>
      <c r="C14" t="n">
        <v>128.2</v>
      </c>
      <c r="D14">
        <f>SUM(Quarterly!G14:J14)</f>
        <v/>
      </c>
      <c r="E14">
        <f>E11-E12+E13</f>
        <v/>
      </c>
      <c r="F14">
        <f>F11-F12+F13</f>
        <v/>
      </c>
      <c r="G14">
        <f>G11-G12+G13</f>
        <v/>
      </c>
      <c r="H14">
        <f>H11-H12+H13</f>
        <v/>
      </c>
    </row>
    <row r="15">
      <c r="A15" t="inlineStr">
        <is>
          <t>Tax</t>
        </is>
      </c>
      <c r="C15" t="n">
        <v>32.4</v>
      </c>
      <c r="D15">
        <f>SUM(Quarterly!G15:J15)</f>
        <v/>
      </c>
      <c r="E15">
        <f>E14*Drivers!$C$14</f>
        <v/>
      </c>
      <c r="F15">
        <f>F14*Drivers!$C$14</f>
        <v/>
      </c>
      <c r="G15">
        <f>G14*Drivers!$C$14</f>
        <v/>
      </c>
      <c r="H15">
        <f>H14*Drivers!$C$14</f>
        <v/>
      </c>
    </row>
    <row r="16">
      <c r="A16" t="inlineStr">
        <is>
          <t>Other after-tax / NCI</t>
        </is>
      </c>
      <c r="C16">
        <f>C17-(C14-C15)</f>
        <v/>
      </c>
      <c r="D16">
        <f>D17-(D14-D15)</f>
        <v/>
      </c>
      <c r="E16">
        <f>Drivers!$C$21*4</f>
        <v/>
      </c>
      <c r="F16">
        <f>Drivers!$C$21*4</f>
        <v/>
      </c>
      <c r="G16">
        <f>Drivers!$C$21*4</f>
        <v/>
      </c>
      <c r="H16">
        <f>Drivers!$C$21*4</f>
        <v/>
      </c>
    </row>
    <row r="17">
      <c r="A17" t="inlineStr">
        <is>
          <t>NI</t>
        </is>
      </c>
      <c r="C17" t="n">
        <v>91.5</v>
      </c>
      <c r="D17">
        <f>SUM(Quarterly!G17:J17)</f>
        <v/>
      </c>
      <c r="E17">
        <f>E14-E15+E16</f>
        <v/>
      </c>
      <c r="F17">
        <f>F14-F15+F16</f>
        <v/>
      </c>
      <c r="G17">
        <f>G14-G15+G16</f>
        <v/>
      </c>
      <c r="H17">
        <f>H14-H15+H16</f>
        <v/>
      </c>
    </row>
    <row r="18">
      <c r="A18" t="inlineStr">
        <is>
          <t>D&amp;A (CF stmt)</t>
        </is>
      </c>
      <c r="C18">
        <f>C67</f>
        <v/>
      </c>
      <c r="D18">
        <f>SUM(Quarterly!G18:J18)</f>
        <v/>
      </c>
      <c r="E18">
        <f>E6*Drivers!$C$12</f>
        <v/>
      </c>
      <c r="F18">
        <f>F6*Drivers!$C$12</f>
        <v/>
      </c>
      <c r="G18">
        <f>G6*Drivers!$C$12</f>
        <v/>
      </c>
      <c r="H18">
        <f>H6*Drivers!$C$12</f>
        <v/>
      </c>
    </row>
    <row r="19">
      <c r="A19" t="inlineStr">
        <is>
          <t>EBITDA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</row>
    <row r="21">
      <c r="A21" t="inlineStr">
        <is>
          <t>Balance sheet</t>
        </is>
      </c>
    </row>
    <row r="22">
      <c r="A22" t="inlineStr">
        <is>
          <t>Cash</t>
        </is>
      </c>
      <c r="C22" t="n">
        <v>167.7</v>
      </c>
      <c r="E22">
        <f>E59</f>
        <v/>
      </c>
      <c r="F22">
        <f>F59</f>
        <v/>
      </c>
      <c r="G22">
        <f>G59</f>
        <v/>
      </c>
      <c r="H22">
        <f>H59</f>
        <v/>
      </c>
    </row>
    <row r="23">
      <c r="A23" t="inlineStr">
        <is>
          <t>AR</t>
        </is>
      </c>
      <c r="C23" t="n">
        <v>357.4</v>
      </c>
      <c r="E23">
        <f>E6*Drivers!$C$15/365</f>
        <v/>
      </c>
      <c r="F23">
        <f>F6*Drivers!$C$15/365</f>
        <v/>
      </c>
      <c r="G23">
        <f>G6*Drivers!$C$15/365</f>
        <v/>
      </c>
      <c r="H23">
        <f>H6*Drivers!$C$15/365</f>
        <v/>
      </c>
    </row>
    <row r="24">
      <c r="A24" t="inlineStr">
        <is>
          <t>Inventory</t>
        </is>
      </c>
      <c r="C24" t="n">
        <v>488.4</v>
      </c>
      <c r="E24">
        <f>E7*Drivers!$C$16/365</f>
        <v/>
      </c>
      <c r="F24">
        <f>F7*Drivers!$C$16/365</f>
        <v/>
      </c>
      <c r="G24">
        <f>G7*Drivers!$C$16/365</f>
        <v/>
      </c>
      <c r="H24">
        <f>H7*Drivers!$C$16/365</f>
        <v/>
      </c>
    </row>
    <row r="25">
      <c r="A25" t="inlineStr">
        <is>
          <t>Other CA</t>
        </is>
      </c>
      <c r="C25">
        <f>C26-C22-C23-C24</f>
        <v/>
      </c>
      <c r="E25">
        <f>Quarterly!J25</f>
        <v/>
      </c>
      <c r="F25">
        <f>E25</f>
        <v/>
      </c>
      <c r="G25">
        <f>F25</f>
        <v/>
      </c>
      <c r="H25">
        <f>G25</f>
        <v/>
      </c>
    </row>
    <row r="26">
      <c r="A26" t="inlineStr">
        <is>
          <t>Total CA</t>
        </is>
      </c>
      <c r="C26" t="n">
        <v>1137.2</v>
      </c>
      <c r="E26">
        <f>E22+E23+E24+E25</f>
        <v/>
      </c>
      <c r="F26">
        <f>F22+F23+F24+F25</f>
        <v/>
      </c>
      <c r="G26">
        <f>G22+G23+G24+G25</f>
        <v/>
      </c>
      <c r="H26">
        <f>H22+H23+H24+H25</f>
        <v/>
      </c>
    </row>
    <row r="27">
      <c r="A27" t="inlineStr">
        <is>
          <t>PP&amp;E</t>
        </is>
      </c>
      <c r="C27" t="n">
        <v>511.3</v>
      </c>
      <c r="E27">
        <f>Quarterly!J27-E52-E18</f>
        <v/>
      </c>
      <c r="F27">
        <f>E27-F52-F18</f>
        <v/>
      </c>
      <c r="G27">
        <f>F27-G52-G18</f>
        <v/>
      </c>
      <c r="H27">
        <f>G27-H52-H18</f>
        <v/>
      </c>
    </row>
    <row r="28">
      <c r="A28" t="inlineStr">
        <is>
          <t>Goodwill</t>
        </is>
      </c>
      <c r="C28" t="n">
        <v>1161.3</v>
      </c>
      <c r="E28">
        <f>Quarterly!J28</f>
        <v/>
      </c>
      <c r="F28">
        <f>E28</f>
        <v/>
      </c>
      <c r="G28">
        <f>F28</f>
        <v/>
      </c>
      <c r="H28">
        <f>G28</f>
        <v/>
      </c>
    </row>
    <row r="29">
      <c r="A29" t="inlineStr">
        <is>
          <t>Intangibles</t>
        </is>
      </c>
      <c r="C29" t="n">
        <v>214</v>
      </c>
      <c r="E29">
        <f>Quarterly!J29</f>
        <v/>
      </c>
      <c r="F29">
        <f>E29</f>
        <v/>
      </c>
      <c r="G29">
        <f>F29</f>
        <v/>
      </c>
      <c r="H29">
        <f>G29</f>
        <v/>
      </c>
    </row>
    <row r="30">
      <c r="A30" t="inlineStr">
        <is>
          <t>Other NCA</t>
        </is>
      </c>
      <c r="C30">
        <f>C31-C26-C27-C28-C29</f>
        <v/>
      </c>
      <c r="E30">
        <f>Quarterly!J30</f>
        <v/>
      </c>
      <c r="F30">
        <f>E30</f>
        <v/>
      </c>
      <c r="G30">
        <f>F30</f>
        <v/>
      </c>
      <c r="H30">
        <f>G30</f>
        <v/>
      </c>
    </row>
    <row r="31">
      <c r="A31" t="inlineStr">
        <is>
          <t>Total assets</t>
        </is>
      </c>
      <c r="C31" t="n">
        <v>4000.5</v>
      </c>
      <c r="E31">
        <f>E26+E27+E28+E29+E30</f>
        <v/>
      </c>
      <c r="F31">
        <f>F26+F27+F28+F29+F30</f>
        <v/>
      </c>
      <c r="G31">
        <f>G26+G27+G28+G29+G30</f>
        <v/>
      </c>
      <c r="H31">
        <f>H26+H27+H28+H29+H30</f>
        <v/>
      </c>
    </row>
    <row r="32">
      <c r="A32" t="inlineStr">
        <is>
          <t>AP</t>
        </is>
      </c>
      <c r="C32" t="n">
        <v>279.1</v>
      </c>
      <c r="E32">
        <f>E7*Drivers!$C$17/365</f>
        <v/>
      </c>
      <c r="F32">
        <f>F7*Drivers!$C$17/365</f>
        <v/>
      </c>
      <c r="G32">
        <f>G7*Drivers!$C$17/365</f>
        <v/>
      </c>
      <c r="H32">
        <f>H7*Drivers!$C$17/365</f>
        <v/>
      </c>
    </row>
    <row r="33">
      <c r="A33" t="inlineStr">
        <is>
          <t>ST debt</t>
        </is>
      </c>
      <c r="C33" t="n">
        <v>0</v>
      </c>
      <c r="E33">
        <f>Quarterly!J33</f>
        <v/>
      </c>
      <c r="F33">
        <f>E33</f>
        <v/>
      </c>
      <c r="G33">
        <f>F33</f>
        <v/>
      </c>
      <c r="H33">
        <f>G33</f>
        <v/>
      </c>
    </row>
    <row r="34">
      <c r="A34" t="inlineStr">
        <is>
          <t>Current LTD</t>
        </is>
      </c>
      <c r="C34" t="n">
        <v>25.1</v>
      </c>
      <c r="E34">
        <f>Quarterly!J34</f>
        <v/>
      </c>
      <c r="F34">
        <f>E34</f>
        <v/>
      </c>
      <c r="G34">
        <f>F34</f>
        <v/>
      </c>
      <c r="H34">
        <f>G34</f>
        <v/>
      </c>
    </row>
    <row r="35">
      <c r="A35" t="inlineStr">
        <is>
          <t>Other CL</t>
        </is>
      </c>
      <c r="C35">
        <f>C36-C32-C33-C34</f>
        <v/>
      </c>
      <c r="E35">
        <f>Quarterly!J35</f>
        <v/>
      </c>
      <c r="F35">
        <f>E35</f>
        <v/>
      </c>
      <c r="G35">
        <f>F35</f>
        <v/>
      </c>
      <c r="H35">
        <f>G35</f>
        <v/>
      </c>
    </row>
    <row r="36">
      <c r="A36" t="inlineStr">
        <is>
          <t>Total CL</t>
        </is>
      </c>
      <c r="C36" t="n">
        <v>721.1</v>
      </c>
      <c r="E36">
        <f>E32+E33+E34+E35</f>
        <v/>
      </c>
      <c r="F36">
        <f>F32+F33+F34+F35</f>
        <v/>
      </c>
      <c r="G36">
        <f>G32+G33+G34+G35</f>
        <v/>
      </c>
      <c r="H36">
        <f>H32+H33+H34+H35</f>
        <v/>
      </c>
    </row>
    <row r="37">
      <c r="A37" t="inlineStr">
        <is>
          <t>LT debt</t>
        </is>
      </c>
      <c r="C37" t="n">
        <v>1260.6</v>
      </c>
      <c r="E37">
        <f>Quarterly!J37</f>
        <v/>
      </c>
      <c r="F37">
        <f>E37</f>
        <v/>
      </c>
      <c r="G37">
        <f>F37</f>
        <v/>
      </c>
      <c r="H37">
        <f>G37</f>
        <v/>
      </c>
    </row>
    <row r="38">
      <c r="A38" t="inlineStr">
        <is>
          <t>Other NCL</t>
        </is>
      </c>
      <c r="C38">
        <f>C44-C36-C37-C40-C41-C42</f>
        <v/>
      </c>
      <c r="E38">
        <f>Quarterly!J38</f>
        <v/>
      </c>
      <c r="F38">
        <f>E38</f>
        <v/>
      </c>
      <c r="G38">
        <f>F38</f>
        <v/>
      </c>
      <c r="H38">
        <f>G38</f>
        <v/>
      </c>
    </row>
    <row r="39">
      <c r="A39" t="inlineStr">
        <is>
          <t>Total liabilities</t>
        </is>
      </c>
      <c r="C39">
        <f>C44-C40-C41-C42</f>
        <v/>
      </c>
      <c r="E39">
        <f>E44-E40-E41-E42</f>
        <v/>
      </c>
      <c r="F39">
        <f>F44-F40-F41-F42</f>
        <v/>
      </c>
      <c r="G39">
        <f>G44-G40-G41-G42</f>
        <v/>
      </c>
      <c r="H39">
        <f>H44-H40-H41-H42</f>
        <v/>
      </c>
    </row>
    <row r="40">
      <c r="A40" t="inlineStr">
        <is>
          <t>Redeemable NCI</t>
        </is>
      </c>
      <c r="C40" t="n">
        <v>63.3</v>
      </c>
      <c r="E40">
        <f>Quarterly!J40</f>
        <v/>
      </c>
      <c r="F40">
        <f>E40</f>
        <v/>
      </c>
      <c r="G40">
        <f>F40</f>
        <v/>
      </c>
      <c r="H40">
        <f>G40</f>
        <v/>
      </c>
    </row>
    <row r="41">
      <c r="A41" t="inlineStr">
        <is>
          <t>Equity</t>
        </is>
      </c>
      <c r="C41" t="n">
        <v>1342.6</v>
      </c>
      <c r="E41">
        <f>Quarterly!J41+E17+E55</f>
        <v/>
      </c>
      <c r="F41">
        <f>E41+F17+F55</f>
        <v/>
      </c>
      <c r="G41">
        <f>F41+G17+G55</f>
        <v/>
      </c>
      <c r="H41">
        <f>G41+H17+H55</f>
        <v/>
      </c>
    </row>
    <row r="42">
      <c r="A42" t="inlineStr">
        <is>
          <t>NCI</t>
        </is>
      </c>
      <c r="C42" t="n">
        <v>0</v>
      </c>
      <c r="E42">
        <f>Quarterly!J42</f>
        <v/>
      </c>
      <c r="F42">
        <f>E42</f>
        <v/>
      </c>
      <c r="G42">
        <f>F42</f>
        <v/>
      </c>
      <c r="H42">
        <f>G42</f>
        <v/>
      </c>
    </row>
    <row r="43">
      <c r="A43" t="inlineStr">
        <is>
          <t>Total equity</t>
        </is>
      </c>
      <c r="C43">
        <f>C41+C42</f>
        <v/>
      </c>
      <c r="E43">
        <f>E41+E42</f>
        <v/>
      </c>
      <c r="F43">
        <f>F41+F42</f>
        <v/>
      </c>
      <c r="G43">
        <f>G41+G42</f>
        <v/>
      </c>
      <c r="H43">
        <f>H41+H42</f>
        <v/>
      </c>
    </row>
    <row r="44">
      <c r="A44" t="inlineStr">
        <is>
          <t>Total L&amp;E</t>
        </is>
      </c>
      <c r="C44" t="n">
        <v>4000.5</v>
      </c>
      <c r="E44">
        <f>E36+E37+E38+E40+E41+E42</f>
        <v/>
      </c>
      <c r="F44">
        <f>F36+F37+F38+F40+F41+F42</f>
        <v/>
      </c>
      <c r="G44">
        <f>G36+G37+G38+G40+G41+G42</f>
        <v/>
      </c>
      <c r="H44">
        <f>H36+H37+H38+H40+H41+H42</f>
        <v/>
      </c>
    </row>
    <row r="45">
      <c r="A45" t="inlineStr">
        <is>
          <t>Check (A - L - E)</t>
        </is>
      </c>
      <c r="C45">
        <f>C31-C44</f>
        <v/>
      </c>
      <c r="E45">
        <f>E31-E44</f>
        <v/>
      </c>
      <c r="F45">
        <f>F31-F44</f>
        <v/>
      </c>
      <c r="G45">
        <f>G31-G44</f>
        <v/>
      </c>
      <c r="H45">
        <f>H31-H44</f>
        <v/>
      </c>
    </row>
    <row r="47">
      <c r="A47" t="inlineStr">
        <is>
          <t>Cash flow</t>
        </is>
      </c>
    </row>
    <row r="48">
      <c r="A48" t="inlineStr">
        <is>
          <t>NI</t>
        </is>
      </c>
      <c r="C48">
        <f>C17</f>
        <v/>
      </c>
      <c r="D48">
        <f>D17</f>
        <v/>
      </c>
      <c r="E48">
        <f>E17</f>
        <v/>
      </c>
      <c r="F48">
        <f>F17</f>
        <v/>
      </c>
      <c r="G48">
        <f>G17</f>
        <v/>
      </c>
      <c r="H48">
        <f>H17</f>
        <v/>
      </c>
    </row>
    <row r="49">
      <c r="A49" t="inlineStr">
        <is>
          <t>D&amp;A</t>
        </is>
      </c>
      <c r="C49">
        <f>C18</f>
        <v/>
      </c>
      <c r="D49">
        <f>D18</f>
        <v/>
      </c>
      <c r="E49">
        <f>E18</f>
        <v/>
      </c>
      <c r="F49">
        <f>F18</f>
        <v/>
      </c>
      <c r="G49">
        <f>G18</f>
        <v/>
      </c>
      <c r="H49">
        <f>H18</f>
        <v/>
      </c>
    </row>
    <row r="50">
      <c r="A50" t="inlineStr">
        <is>
          <t>WC &amp; other</t>
        </is>
      </c>
      <c r="C50">
        <f>C51-C48-C49</f>
        <v/>
      </c>
      <c r="D50">
        <f>SUM(Quarterly!G50:J50)</f>
        <v/>
      </c>
      <c r="E50">
        <f>Quarterly!J23-E23+Quarterly!J24-E24+E32-Quarterly!J32</f>
        <v/>
      </c>
      <c r="F50">
        <f>E23-F23+E24-F24+F32-E32</f>
        <v/>
      </c>
      <c r="G50">
        <f>F23-G23+F24-G24+G32-F32</f>
        <v/>
      </c>
      <c r="H50">
        <f>G23-H23+G24-H24+H32-G32</f>
        <v/>
      </c>
    </row>
    <row r="51">
      <c r="A51" t="inlineStr">
        <is>
          <t>CFO</t>
        </is>
      </c>
      <c r="C51">
        <f>C63</f>
        <v/>
      </c>
      <c r="D51">
        <f>SUM(Quarterly!G51:J51)</f>
        <v/>
      </c>
      <c r="E51">
        <f>E48+E49+E50</f>
        <v/>
      </c>
      <c r="F51">
        <f>F48+F49+F50</f>
        <v/>
      </c>
      <c r="G51">
        <f>G48+G49+G50</f>
        <v/>
      </c>
      <c r="H51">
        <f>H48+H49+H50</f>
        <v/>
      </c>
    </row>
    <row r="52">
      <c r="A52" t="inlineStr">
        <is>
          <t>Capex</t>
        </is>
      </c>
      <c r="C52">
        <f>C64</f>
        <v/>
      </c>
      <c r="D52">
        <f>SUM(Quarterly!G52:J52)</f>
        <v/>
      </c>
      <c r="E52">
        <f>-E6*Drivers!$C$13</f>
        <v/>
      </c>
      <c r="F52">
        <f>-F6*Drivers!$C$13</f>
        <v/>
      </c>
      <c r="G52">
        <f>-G6*Drivers!$C$13</f>
        <v/>
      </c>
      <c r="H52">
        <f>-H6*Drivers!$C$13</f>
        <v/>
      </c>
    </row>
    <row r="53">
      <c r="A53" t="inlineStr">
        <is>
          <t>Other CFI</t>
        </is>
      </c>
      <c r="C53">
        <f>C54-C52</f>
        <v/>
      </c>
      <c r="D53">
        <f>SUM(Quarterly!G53:J53)</f>
        <v/>
      </c>
      <c r="E53">
        <f>Drivers!$C$22*4</f>
        <v/>
      </c>
      <c r="F53">
        <f>Drivers!$C$22*4</f>
        <v/>
      </c>
      <c r="G53">
        <f>Drivers!$C$22*4</f>
        <v/>
      </c>
      <c r="H53">
        <f>Drivers!$C$22*4</f>
        <v/>
      </c>
    </row>
    <row r="54">
      <c r="A54" t="inlineStr">
        <is>
          <t>CFI</t>
        </is>
      </c>
      <c r="C54">
        <f>C65</f>
        <v/>
      </c>
      <c r="D54">
        <f>SUM(Quarterly!G54:J54)</f>
        <v/>
      </c>
      <c r="E54">
        <f>E52+E53</f>
        <v/>
      </c>
      <c r="F54">
        <f>F52+F53</f>
        <v/>
      </c>
      <c r="G54">
        <f>G52+G53</f>
        <v/>
      </c>
      <c r="H54">
        <f>H52+H53</f>
        <v/>
      </c>
    </row>
    <row r="55">
      <c r="A55" t="inlineStr">
        <is>
          <t>CFF</t>
        </is>
      </c>
      <c r="C55">
        <f>C66</f>
        <v/>
      </c>
      <c r="D55">
        <f>SUM(Quarterly!G55:J55)</f>
        <v/>
      </c>
      <c r="E55">
        <f>-E17*Drivers!$C$18</f>
        <v/>
      </c>
      <c r="F55">
        <f>-F17*Drivers!$C$18</f>
        <v/>
      </c>
      <c r="G55">
        <f>-G17*Drivers!$C$18</f>
        <v/>
      </c>
      <c r="H55">
        <f>-H17*Drivers!$C$18</f>
        <v/>
      </c>
    </row>
    <row r="56">
      <c r="A56" t="inlineStr">
        <is>
          <t>FX &amp; other</t>
        </is>
      </c>
      <c r="D56">
        <f>SUM(Quarterly!G56:J56)</f>
        <v/>
      </c>
      <c r="E56">
        <f>Drivers!$C$23*4</f>
        <v/>
      </c>
      <c r="F56">
        <f>Drivers!$C$23*4</f>
        <v/>
      </c>
      <c r="G56">
        <f>Drivers!$C$23*4</f>
        <v/>
      </c>
      <c r="H56">
        <f>Drivers!$C$23*4</f>
        <v/>
      </c>
    </row>
    <row r="57">
      <c r="A57" t="inlineStr">
        <is>
          <t>Net change in cash</t>
        </is>
      </c>
      <c r="D57">
        <f>SUM(Quarterly!G57:J57)</f>
        <v/>
      </c>
      <c r="E57">
        <f>E51+E54+E55+E56</f>
        <v/>
      </c>
      <c r="F57">
        <f>F51+F54+F55+F56</f>
        <v/>
      </c>
      <c r="G57">
        <f>G51+G54+G55+G56</f>
        <v/>
      </c>
      <c r="H57">
        <f>H51+H54+H55+H56</f>
        <v/>
      </c>
    </row>
    <row r="58">
      <c r="A58" t="inlineStr">
        <is>
          <t>Begin cash</t>
        </is>
      </c>
      <c r="D58">
        <f>C22</f>
        <v/>
      </c>
      <c r="E58">
        <f>Quarterly!J22</f>
        <v/>
      </c>
      <c r="F58">
        <f>E22</f>
        <v/>
      </c>
      <c r="G58">
        <f>F22</f>
        <v/>
      </c>
      <c r="H58">
        <f>G22</f>
        <v/>
      </c>
    </row>
    <row r="59">
      <c r="A59" t="inlineStr">
        <is>
          <t>End cash</t>
        </is>
      </c>
      <c r="D59">
        <f>D58+D57</f>
        <v/>
      </c>
      <c r="E59">
        <f>E58+E57</f>
        <v/>
      </c>
      <c r="F59">
        <f>F58+F57</f>
        <v/>
      </c>
      <c r="G59">
        <f>G58+G57</f>
        <v/>
      </c>
      <c r="H59">
        <f>H58+H57</f>
        <v/>
      </c>
    </row>
    <row r="60">
      <c r="A60" t="inlineStr">
        <is>
          <t>FCF</t>
        </is>
      </c>
      <c r="C60">
        <f>C51+C52</f>
        <v/>
      </c>
      <c r="D60">
        <f>D51+D52</f>
        <v/>
      </c>
      <c r="E60">
        <f>E51+E52</f>
        <v/>
      </c>
      <c r="F60">
        <f>F51+F52</f>
        <v/>
      </c>
      <c r="G60">
        <f>G51+G52</f>
        <v/>
      </c>
      <c r="H60">
        <f>H51+H52</f>
        <v/>
      </c>
    </row>
    <row r="62">
      <c r="A62" t="inlineStr">
        <is>
          <t>Reported YTD</t>
        </is>
      </c>
    </row>
    <row r="63">
      <c r="A63" t="inlineStr">
        <is>
          <t>CFO YTD (reported)</t>
        </is>
      </c>
      <c r="C63" t="n">
        <v>199.9</v>
      </c>
    </row>
    <row r="64">
      <c r="A64" t="inlineStr">
        <is>
          <t>Capex YTD (reported)</t>
        </is>
      </c>
      <c r="C64" t="n">
        <v>-122.3</v>
      </c>
    </row>
    <row r="65">
      <c r="A65" t="inlineStr">
        <is>
          <t>CFI YTD (reported)</t>
        </is>
      </c>
      <c r="C65" t="n">
        <v>-115.6</v>
      </c>
    </row>
    <row r="66">
      <c r="A66" t="inlineStr">
        <is>
          <t>CFF YTD (reported)</t>
        </is>
      </c>
      <c r="C66" t="n">
        <v>-117</v>
      </c>
    </row>
    <row r="67">
      <c r="A67" t="inlineStr">
        <is>
          <t>D&amp;A YTD (reported)</t>
        </is>
      </c>
      <c r="C67" t="n">
        <v>148.3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MLKN DCF ($m)</t>
        </is>
      </c>
    </row>
    <row r="2">
      <c r="C2" t="inlineStr">
        <is>
          <t>Q1 FY27</t>
        </is>
      </c>
      <c r="D2" t="inlineStr">
        <is>
          <t>Q2 FY27</t>
        </is>
      </c>
      <c r="E2" t="inlineStr">
        <is>
          <t>Q3 FY27</t>
        </is>
      </c>
      <c r="F2" t="inlineStr">
        <is>
          <t>Q4 FY27</t>
        </is>
      </c>
      <c r="H2" t="inlineStr">
        <is>
          <t>FY28E</t>
        </is>
      </c>
      <c r="I2" t="inlineStr">
        <is>
          <t>FY29E</t>
        </is>
      </c>
      <c r="J2" t="inlineStr">
        <is>
          <t>FY30E</t>
        </is>
      </c>
      <c r="K2" t="inlineStr">
        <is>
          <t>FY31E</t>
        </is>
      </c>
    </row>
    <row r="3">
      <c r="C3">
        <f>IF(1&lt;=Drivers!$C$4,"A","E")</f>
        <v/>
      </c>
      <c r="D3">
        <f>IF(2&lt;=Drivers!$C$4,"A","E")</f>
        <v/>
      </c>
      <c r="E3">
        <f>IF(3&lt;=Drivers!$C$4,"A","E")</f>
        <v/>
      </c>
      <c r="F3">
        <f>IF(4&lt;=Drivers!$C$4,"A","E")</f>
        <v/>
      </c>
      <c r="H3" t="inlineStr">
        <is>
          <t>E</t>
        </is>
      </c>
      <c r="I3" t="inlineStr">
        <is>
          <t>E</t>
        </is>
      </c>
      <c r="J3" t="inlineStr">
        <is>
          <t>E</t>
        </is>
      </c>
      <c r="K3" t="inlineStr">
        <is>
          <t>E</t>
        </is>
      </c>
    </row>
    <row r="5">
      <c r="A5" t="inlineStr">
        <is>
          <t>Fiscal quarter</t>
        </is>
      </c>
      <c r="C5" t="n">
        <v>1</v>
      </c>
      <c r="D5" t="n">
        <v>2</v>
      </c>
      <c r="E5" t="n">
        <v>3</v>
      </c>
      <c r="F5" t="n">
        <v>4</v>
      </c>
    </row>
    <row r="6">
      <c r="A6" t="inlineStr">
        <is>
          <t>EBIT</t>
        </is>
      </c>
      <c r="C6">
        <f>Quarterly!G11</f>
        <v/>
      </c>
      <c r="D6">
        <f>Quarterly!H11</f>
        <v/>
      </c>
      <c r="E6">
        <f>Quarterly!I11</f>
        <v/>
      </c>
      <c r="F6">
        <f>Quarterly!J11</f>
        <v/>
      </c>
      <c r="H6">
        <f>Annual!E11</f>
        <v/>
      </c>
      <c r="I6">
        <f>Annual!F11</f>
        <v/>
      </c>
      <c r="J6">
        <f>Annual!G11</f>
        <v/>
      </c>
      <c r="K6">
        <f>Annual!H11</f>
        <v/>
      </c>
    </row>
    <row r="7">
      <c r="A7" t="inlineStr">
        <is>
          <t>Tax on EBIT</t>
        </is>
      </c>
      <c r="C7">
        <f>-C6*Drivers!$C$14</f>
        <v/>
      </c>
      <c r="D7">
        <f>-D6*Drivers!$C$14</f>
        <v/>
      </c>
      <c r="E7">
        <f>-E6*Drivers!$C$14</f>
        <v/>
      </c>
      <c r="F7">
        <f>-F6*Drivers!$C$14</f>
        <v/>
      </c>
      <c r="H7">
        <f>-H6*Drivers!$C$14</f>
        <v/>
      </c>
      <c r="I7">
        <f>-I6*Drivers!$C$14</f>
        <v/>
      </c>
      <c r="J7">
        <f>-J6*Drivers!$C$14</f>
        <v/>
      </c>
      <c r="K7">
        <f>-K6*Drivers!$C$14</f>
        <v/>
      </c>
    </row>
    <row r="8">
      <c r="A8" t="inlineStr">
        <is>
          <t>NOPAT</t>
        </is>
      </c>
      <c r="C8">
        <f>C6+C7</f>
        <v/>
      </c>
      <c r="D8">
        <f>D6+D7</f>
        <v/>
      </c>
      <c r="E8">
        <f>E6+E7</f>
        <v/>
      </c>
      <c r="F8">
        <f>F6+F7</f>
        <v/>
      </c>
      <c r="H8">
        <f>H6+H7</f>
        <v/>
      </c>
      <c r="I8">
        <f>I6+I7</f>
        <v/>
      </c>
      <c r="J8">
        <f>J6+J7</f>
        <v/>
      </c>
      <c r="K8">
        <f>K6+K7</f>
        <v/>
      </c>
    </row>
    <row r="9">
      <c r="A9" t="inlineStr">
        <is>
          <t>Depreciation and amortization</t>
        </is>
      </c>
      <c r="C9">
        <f>Quarterly!G18</f>
        <v/>
      </c>
      <c r="D9">
        <f>Quarterly!H18</f>
        <v/>
      </c>
      <c r="E9">
        <f>Quarterly!I18</f>
        <v/>
      </c>
      <c r="F9">
        <f>Quarterly!J18</f>
        <v/>
      </c>
      <c r="H9">
        <f>Annual!E18</f>
        <v/>
      </c>
      <c r="I9">
        <f>Annual!F18</f>
        <v/>
      </c>
      <c r="J9">
        <f>Annual!G18</f>
        <v/>
      </c>
      <c r="K9">
        <f>Annual!H18</f>
        <v/>
      </c>
    </row>
    <row r="10">
      <c r="A10" t="inlineStr">
        <is>
          <t>Capital expenditures</t>
        </is>
      </c>
      <c r="C10">
        <f>Quarterly!G52</f>
        <v/>
      </c>
      <c r="D10">
        <f>Quarterly!H52</f>
        <v/>
      </c>
      <c r="E10">
        <f>Quarterly!I52</f>
        <v/>
      </c>
      <c r="F10">
        <f>Quarterly!J52</f>
        <v/>
      </c>
      <c r="H10">
        <f>Annual!E52</f>
        <v/>
      </c>
      <c r="I10">
        <f>Annual!F52</f>
        <v/>
      </c>
      <c r="J10">
        <f>Annual!G52</f>
        <v/>
      </c>
      <c r="K10">
        <f>Annual!H52</f>
        <v/>
      </c>
    </row>
    <row r="11">
      <c r="A11" t="inlineStr">
        <is>
          <t>Working capital and other</t>
        </is>
      </c>
      <c r="C11">
        <f>Quarterly!G50</f>
        <v/>
      </c>
      <c r="D11">
        <f>Quarterly!H50</f>
        <v/>
      </c>
      <c r="E11">
        <f>Quarterly!I50</f>
        <v/>
      </c>
      <c r="F11">
        <f>Quarterly!J50</f>
        <v/>
      </c>
      <c r="H11">
        <f>Annual!E50</f>
        <v/>
      </c>
      <c r="I11">
        <f>Annual!F50</f>
        <v/>
      </c>
      <c r="J11">
        <f>Annual!G50</f>
        <v/>
      </c>
      <c r="K11">
        <f>Annual!H50</f>
        <v/>
      </c>
    </row>
    <row r="12">
      <c r="A12" t="inlineStr">
        <is>
          <t>Unlevered free cash flow</t>
        </is>
      </c>
      <c r="C12">
        <f>C8+C9+C10+C11</f>
        <v/>
      </c>
      <c r="D12">
        <f>D8+D9+D10+D11</f>
        <v/>
      </c>
      <c r="E12">
        <f>E8+E9+E10+E11</f>
        <v/>
      </c>
      <c r="F12">
        <f>F8+F9+F10+F11</f>
        <v/>
      </c>
      <c r="H12">
        <f>H8+H9+H10+H11</f>
        <v/>
      </c>
      <c r="I12">
        <f>I8+I9+I10+I11</f>
        <v/>
      </c>
      <c r="J12">
        <f>J8+J9+J10+J11</f>
        <v/>
      </c>
      <c r="K12">
        <f>K8+K9+K10+K11</f>
        <v/>
      </c>
    </row>
    <row r="13">
      <c r="A13" t="inlineStr">
        <is>
          <t>Discount period (years from the balance sheet date)</t>
        </is>
      </c>
      <c r="H13">
        <f>C19+1</f>
        <v/>
      </c>
      <c r="I13">
        <f>C19+2</f>
        <v/>
      </c>
      <c r="J13">
        <f>C19+3</f>
        <v/>
      </c>
      <c r="K13">
        <f>C19+4</f>
        <v/>
      </c>
    </row>
    <row r="14">
      <c r="A14" t="inlineStr">
        <is>
          <t>Discount factor</t>
        </is>
      </c>
      <c r="H14">
        <f>1/(1+Drivers!$C$25)^H13</f>
        <v/>
      </c>
      <c r="I14">
        <f>1/(1+Drivers!$C$25)^I13</f>
        <v/>
      </c>
      <c r="J14">
        <f>1/(1+Drivers!$C$25)^J13</f>
        <v/>
      </c>
      <c r="K14">
        <f>1/(1+Drivers!$C$25)^K13</f>
        <v/>
      </c>
    </row>
    <row r="15">
      <c r="A15" t="inlineStr">
        <is>
          <t>PV of unlevered free cash flow</t>
        </is>
      </c>
      <c r="H15">
        <f>H12*H14</f>
        <v/>
      </c>
      <c r="I15">
        <f>I12*I14</f>
        <v/>
      </c>
      <c r="J15">
        <f>J12*J14</f>
        <v/>
      </c>
      <c r="K15">
        <f>K12*K14</f>
        <v/>
      </c>
    </row>
    <row r="17">
      <c r="A17" t="inlineStr">
        <is>
          <t>Revenue, last four reported quarters</t>
        </is>
      </c>
      <c r="C17">
        <f>SUM(Quarterly!C6:F6)</f>
        <v/>
      </c>
    </row>
    <row r="18">
      <c r="A18" t="inlineStr">
        <is>
          <t>EBITDA, last four reported quarters</t>
        </is>
      </c>
      <c r="C18">
        <f>SUM(Quarterly!C19:F19)</f>
        <v/>
      </c>
    </row>
    <row r="19">
      <c r="A19" t="inlineStr">
        <is>
          <t>Rest of the current fiscal year (years)</t>
        </is>
      </c>
      <c r="C19">
        <f>(4-Drivers!$C$4)/4</f>
        <v/>
      </c>
    </row>
    <row r="20">
      <c r="A20" t="inlineStr">
        <is>
          <t>Unlevered free cash flow, rest of the current fiscal year</t>
        </is>
      </c>
      <c r="C20">
        <f>SUMPRODUCT((C5:F5&gt;Drivers!$C$4)*C12:F12)</f>
        <v/>
      </c>
    </row>
    <row r="21">
      <c r="A21" t="inlineStr">
        <is>
          <t>Discount factor, rest of the current fiscal year</t>
        </is>
      </c>
      <c r="C21">
        <f>1/(1+Drivers!$C$25)^C19</f>
        <v/>
      </c>
    </row>
    <row r="22">
      <c r="A22" t="inlineStr">
        <is>
          <t>PV, rest of the current fiscal year</t>
        </is>
      </c>
      <c r="C22">
        <f>C20*C21</f>
        <v/>
      </c>
    </row>
    <row r="23">
      <c r="A23" t="inlineStr">
        <is>
          <t>Terminal value (Gordon growth, end of last forecast year)</t>
        </is>
      </c>
      <c r="C23">
        <f>K12*(1+Drivers!$C$26)/(Drivers!$C$25-Drivers!$C$26)</f>
        <v/>
      </c>
    </row>
    <row r="24">
      <c r="A24" t="inlineStr">
        <is>
          <t>PV of terminal value</t>
        </is>
      </c>
      <c r="C24">
        <f>C23*K14</f>
        <v/>
      </c>
    </row>
    <row r="25">
      <c r="A25" t="inlineStr">
        <is>
          <t>Enterprise value</t>
        </is>
      </c>
      <c r="C25">
        <f>C22+SUM(H15:K15)+C24</f>
        <v/>
      </c>
    </row>
    <row r="26">
      <c r="A26" t="inlineStr">
        <is>
          <t>Less: cash and cash equivalents (latest reported balance sheet)</t>
        </is>
      </c>
      <c r="C26">
        <f>Annual!C22</f>
        <v/>
      </c>
    </row>
    <row r="27">
      <c r="A27" t="inlineStr">
        <is>
          <t>Short-term borrowings (latest reported balance sheet)</t>
        </is>
      </c>
      <c r="C27">
        <f>Annual!C33</f>
        <v/>
      </c>
    </row>
    <row r="28">
      <c r="A28" t="inlineStr">
        <is>
          <t>Current portion of long-term debt (latest reported balance sheet)</t>
        </is>
      </c>
      <c r="C28">
        <f>Annual!C34</f>
        <v/>
      </c>
    </row>
    <row r="29">
      <c r="A29" t="inlineStr">
        <is>
          <t>Long-term debt (latest reported balance sheet)</t>
        </is>
      </c>
      <c r="C29">
        <f>Annual!C37</f>
        <v/>
      </c>
    </row>
    <row r="30">
      <c r="A30" t="inlineStr">
        <is>
          <t>Net debt</t>
        </is>
      </c>
      <c r="C30">
        <f>C27+C28+C29-C26</f>
        <v/>
      </c>
    </row>
    <row r="31">
      <c r="A31" t="inlineStr">
        <is>
          <t>Non-controlling interests, incl. redeemable (latest reported balance sheet)</t>
        </is>
      </c>
      <c r="C31">
        <f>Annual!C42+Annual!C40</f>
        <v/>
      </c>
    </row>
    <row r="32">
      <c r="A32" t="inlineStr">
        <is>
          <t>Equity value</t>
        </is>
      </c>
      <c r="C32">
        <f>C25-C30-C31</f>
        <v/>
      </c>
    </row>
    <row r="33">
      <c r="A33" t="inlineStr">
        <is>
          <t>Shares outstanding</t>
        </is>
      </c>
      <c r="C33">
        <f>Drivers!$C$5</f>
        <v/>
      </c>
    </row>
    <row r="34">
      <c r="A34" t="inlineStr">
        <is>
          <t>Equity value per share ($)</t>
        </is>
      </c>
      <c r="C34">
        <f>C32/C33</f>
        <v/>
      </c>
    </row>
    <row r="35">
      <c r="A35" t="inlineStr">
        <is>
          <t>Enterprise value / EBITDA, last four reported quarters (x)</t>
        </is>
      </c>
      <c r="C35">
        <f>C25/C18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2026-10-12T02:09:19Z</dcterms:modified>
</cp:coreProperties>
</file>