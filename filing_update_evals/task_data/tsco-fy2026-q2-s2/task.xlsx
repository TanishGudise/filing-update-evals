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TRACTOR SUPPLY CO /DE/: three-statement model and DCF</t>
        </is>
      </c>
    </row>
    <row r="2">
      <c r="A2" t="inlineStr">
        <is>
          <t>$ in thousands</t>
        </is>
      </c>
    </row>
    <row r="3">
      <c r="C3" t="inlineStr">
        <is>
          <t>Q1 FY25</t>
        </is>
      </c>
      <c r="D3" t="inlineStr">
        <is>
          <t>Q2 FY25</t>
        </is>
      </c>
      <c r="E3" t="inlineStr">
        <is>
          <t>Q3 FY25</t>
        </is>
      </c>
      <c r="F3" t="inlineStr">
        <is>
          <t>Q4 FY25</t>
        </is>
      </c>
      <c r="G3" t="inlineStr">
        <is>
          <t>FY25</t>
        </is>
      </c>
      <c r="H3" t="inlineStr">
        <is>
          <t>Q1 FY26</t>
        </is>
      </c>
      <c r="I3" t="inlineStr">
        <is>
          <t>Q2 FY26</t>
        </is>
      </c>
      <c r="J3" t="inlineStr">
        <is>
          <t>Q3 FY26</t>
        </is>
      </c>
      <c r="K3" t="inlineStr">
        <is>
          <t>Q4 FY26</t>
        </is>
      </c>
      <c r="L3" t="inlineStr">
        <is>
          <t>FY26</t>
        </is>
      </c>
      <c r="M3" t="inlineStr">
        <is>
          <t>FY27E</t>
        </is>
      </c>
      <c r="N3" t="inlineStr">
        <is>
          <t>FY28E</t>
        </is>
      </c>
      <c r="O3" t="inlineStr">
        <is>
          <t>FY29E</t>
        </is>
      </c>
      <c r="P3" t="inlineStr">
        <is>
          <t>FY30E</t>
        </is>
      </c>
    </row>
    <row r="4">
      <c r="C4" t="inlineStr">
        <is>
          <t>Mar 29, 2025</t>
        </is>
      </c>
      <c r="D4" t="inlineStr">
        <is>
          <t>Jun 28, 2025</t>
        </is>
      </c>
      <c r="E4" t="inlineStr">
        <is>
          <t>Sep 27, 2025</t>
        </is>
      </c>
      <c r="F4" t="inlineStr">
        <is>
          <t>Dec 27, 2025</t>
        </is>
      </c>
      <c r="G4" t="inlineStr">
        <is>
          <t>Dec 27, 2025</t>
        </is>
      </c>
      <c r="H4" t="inlineStr">
        <is>
          <t>Mar 28, 2026</t>
        </is>
      </c>
      <c r="I4" t="inlineStr">
        <is>
          <t>Jun 27,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FY2026</t>
        </is>
      </c>
      <c r="C8" t="n">
        <v>1</v>
      </c>
    </row>
    <row r="9">
      <c r="A9" t="inlineStr">
        <is>
          <t>Shares outstanding, latest 10-Q/10-K cover (thousands)</t>
        </is>
      </c>
      <c r="C9" t="n">
        <v>524449.616</v>
      </c>
    </row>
    <row r="11">
      <c r="A11" t="inlineStr">
        <is>
          <t>Revenue growth, FY2026 quarters vs. same quarter of FY2025</t>
        </is>
      </c>
      <c r="C11" t="n">
        <v>0.043</v>
      </c>
    </row>
    <row r="12">
      <c r="A12" t="inlineStr">
        <is>
          <t>Revenue growth by forecast year</t>
        </is>
      </c>
      <c r="M12" t="n">
        <v>0.043</v>
      </c>
      <c r="N12" t="n">
        <v>0.037</v>
      </c>
      <c r="O12" t="n">
        <v>0.03</v>
      </c>
      <c r="P12" t="n">
        <v>0.024</v>
      </c>
    </row>
    <row r="13">
      <c r="A13" t="inlineStr">
        <is>
          <t>Gross margin</t>
        </is>
      </c>
      <c r="C13" t="n">
        <v>0.3657</v>
      </c>
    </row>
    <row r="14">
      <c r="A14" t="inlineStr">
        <is>
          <t>SG&amp;A, % of revenue</t>
        </is>
      </c>
      <c r="C14" t="n">
        <v>0.2451</v>
      </c>
    </row>
    <row r="15">
      <c r="A15" t="inlineStr">
        <is>
          <t>Other operating expenses, % of revenue</t>
        </is>
      </c>
      <c r="C15" t="n">
        <v>0.0331</v>
      </c>
    </row>
    <row r="16">
      <c r="A16" t="inlineStr">
        <is>
          <t>Depreciation and amortization, % of revenue</t>
        </is>
      </c>
      <c r="C16" t="n">
        <v>0.0318</v>
      </c>
    </row>
    <row r="17">
      <c r="A17" t="inlineStr">
        <is>
          <t>Capital expenditures, % of revenue</t>
        </is>
      </c>
      <c r="C17" t="n">
        <v>0.0576</v>
      </c>
    </row>
    <row r="18">
      <c r="A18" t="inlineStr">
        <is>
          <t>Tax rate</t>
        </is>
      </c>
      <c r="C18" t="n">
        <v>0.216</v>
      </c>
    </row>
    <row r="19">
      <c r="A19" t="inlineStr">
        <is>
          <t>Days sales outstanding (on revenue)</t>
        </is>
      </c>
      <c r="C19" t="n">
        <v>0</v>
      </c>
    </row>
    <row r="20">
      <c r="A20" t="inlineStr">
        <is>
          <t>Days inventory outstanding (on cost of revenue)</t>
        </is>
      </c>
      <c r="C20" t="n">
        <v>114.1</v>
      </c>
    </row>
    <row r="21">
      <c r="A21" t="inlineStr">
        <is>
          <t>Days payables outstanding (on cost of revenue)</t>
        </is>
      </c>
      <c r="C21" t="n">
        <v>51.4</v>
      </c>
    </row>
    <row r="22">
      <c r="A22" t="inlineStr">
        <is>
          <t>Shareholder payouts and other financing, % of net income</t>
        </is>
      </c>
      <c r="C22" t="n">
        <v>0.83</v>
      </c>
    </row>
    <row r="23">
      <c r="A23" t="inlineStr">
        <is>
          <t>Interest expense, net, per year ($ in thousands)</t>
        </is>
      </c>
      <c r="C23" t="n">
        <v>69144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Net sales</t>
        </is>
      </c>
      <c r="C33" t="n">
        <v>3466952</v>
      </c>
      <c r="D33" t="n">
        <v>4439729</v>
      </c>
      <c r="E33" t="n">
        <v>3719044</v>
      </c>
      <c r="F33">
        <f>G33-C33-D33-E33</f>
        <v/>
      </c>
      <c r="G33" t="n">
        <v>15524046</v>
      </c>
      <c r="H33" t="n">
        <v>3592046</v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merchandise sold</t>
        </is>
      </c>
      <c r="C34" t="n">
        <v>2211530</v>
      </c>
      <c r="D34" t="n">
        <v>2799755</v>
      </c>
      <c r="E34" t="n">
        <v>2329812</v>
      </c>
      <c r="F34">
        <f>G34-C34-D34-E34</f>
        <v/>
      </c>
      <c r="G34" t="n">
        <v>9869538</v>
      </c>
      <c r="H34" t="n">
        <v>2290861</v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 and administrative expenses</t>
        </is>
      </c>
      <c r="C36" t="n">
        <v>886206</v>
      </c>
      <c r="D36" t="n">
        <v>940063</v>
      </c>
      <c r="E36" t="n">
        <v>922454</v>
      </c>
      <c r="F36">
        <f>G36-C36-D36-E36</f>
        <v/>
      </c>
      <c r="G36" t="n">
        <v>3693108</v>
      </c>
      <c r="H36" t="n">
        <v>941153</v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H35-H36-H38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income</t>
        </is>
      </c>
      <c r="C38" t="n">
        <v>249137</v>
      </c>
      <c r="D38" t="n">
        <v>577812</v>
      </c>
      <c r="E38" t="n">
        <v>342709</v>
      </c>
      <c r="F38">
        <f>G38-C38-D38-E38</f>
        <v/>
      </c>
      <c r="G38" t="n">
        <v>1467389</v>
      </c>
      <c r="H38" t="n">
        <v>233431</v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expense, net</t>
        </is>
      </c>
      <c r="C39" t="n">
        <v>19641</v>
      </c>
      <c r="D39" t="n">
        <v>17983</v>
      </c>
      <c r="E39" t="n">
        <v>14667</v>
      </c>
      <c r="F39">
        <f>G39-C39-D39-E39</f>
        <v/>
      </c>
      <c r="G39" t="n">
        <v>69144</v>
      </c>
      <c r="H39" t="n">
        <v>19108</v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H41-H38+H39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Income before income taxes</t>
        </is>
      </c>
      <c r="C41" t="n">
        <v>229496</v>
      </c>
      <c r="D41" t="n">
        <v>559829</v>
      </c>
      <c r="E41" t="n">
        <v>328042</v>
      </c>
      <c r="F41">
        <f>G41-C41-D41-E41</f>
        <v/>
      </c>
      <c r="G41" t="n">
        <v>1398245</v>
      </c>
      <c r="H41" t="n">
        <v>214323</v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Income tax expense</t>
        </is>
      </c>
      <c r="C42" t="n">
        <v>50127</v>
      </c>
      <c r="D42" t="n">
        <v>129786</v>
      </c>
      <c r="E42" t="n">
        <v>68774</v>
      </c>
      <c r="F42">
        <f>G42-C42-D42-E42</f>
        <v/>
      </c>
      <c r="G42" t="n">
        <v>302158</v>
      </c>
      <c r="H42" t="n">
        <v>49799</v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H44-(H41-H42)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income</t>
        </is>
      </c>
      <c r="C44" t="n">
        <v>179369</v>
      </c>
      <c r="D44" t="n">
        <v>430043</v>
      </c>
      <c r="E44" t="n">
        <v>259268</v>
      </c>
      <c r="F44">
        <f>G44-C44-D44-E44</f>
        <v/>
      </c>
      <c r="G44" t="n">
        <v>1096087</v>
      </c>
      <c r="H44" t="n">
        <v>164524</v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H94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194109</v>
      </c>
      <c r="H49" t="n">
        <v>224269</v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Accounts receivable, net</t>
        </is>
      </c>
      <c r="G50" t="n">
        <v>0</v>
      </c>
      <c r="H50" t="n">
        <v>0</v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Inventories</t>
        </is>
      </c>
      <c r="G51" t="n">
        <v>3084086</v>
      </c>
      <c r="H51" t="n">
        <v>3583601</v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H53-H49-H50-H51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3507797</v>
      </c>
      <c r="H53" t="n">
        <v>4041596</v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Property and equipment, net</t>
        </is>
      </c>
      <c r="G54" t="n">
        <v>3026544</v>
      </c>
      <c r="H54" t="n">
        <v>3132326</v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0</v>
      </c>
      <c r="H55" t="n">
        <v>0</v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Intangible assets, net</t>
        </is>
      </c>
      <c r="G56" t="n">
        <v>0</v>
      </c>
      <c r="H56" t="n">
        <v>0</v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H58-H53-H54-H55-H56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10933679</v>
      </c>
      <c r="H58" t="n">
        <v>11662097</v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1390833</v>
      </c>
      <c r="H59" t="n">
        <v>1760426</v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borrowings</t>
        </is>
      </c>
      <c r="G60" t="n">
        <v>0</v>
      </c>
      <c r="H60" t="n">
        <v>0</v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portion of long-term debt</t>
        </is>
      </c>
      <c r="G61" t="n">
        <v>0</v>
      </c>
      <c r="H61" t="n">
        <v>0</v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H63-H59-H60-H61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2614449</v>
      </c>
      <c r="H63" t="n">
        <v>2929721</v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1764974</v>
      </c>
      <c r="H64" t="n">
        <v>2125726</v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H71-H63-H64-H67-H68-H69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interests</t>
        </is>
      </c>
      <c r="G67" t="n">
        <v>0</v>
      </c>
      <c r="H67" t="n">
        <v>0</v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stockholders’ equity</t>
        </is>
      </c>
      <c r="G68" t="n">
        <v>2581293</v>
      </c>
      <c r="H68" t="n">
        <v>2513749</v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Non-controlling interests</t>
        </is>
      </c>
      <c r="G69" t="n">
        <v>0</v>
      </c>
      <c r="H69" t="n">
        <v>0</v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 and stockholders’ equity</t>
        </is>
      </c>
      <c r="G71" t="n">
        <v>10933679</v>
      </c>
      <c r="H71" t="n">
        <v>11662097</v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H78-H75-H76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H90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H91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H81-H79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H92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H93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H49-G49-H78-H81-H82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provided by operating activities, year to date (as reported)</t>
        </is>
      </c>
      <c r="G90" t="n">
        <v>1635259</v>
      </c>
      <c r="H90" t="n">
        <v>91120</v>
      </c>
    </row>
    <row r="91">
      <c r="A91" t="inlineStr">
        <is>
          <t>Capital expenditures, year to date (as reported)</t>
        </is>
      </c>
      <c r="G91" t="n">
        <v>-894770</v>
      </c>
      <c r="H91" t="n">
        <v>-202610</v>
      </c>
    </row>
    <row r="92">
      <c r="A92" t="inlineStr">
        <is>
          <t>Net cash used in investing activities, year to date (as reported)</t>
        </is>
      </c>
      <c r="G92" t="n">
        <v>-778578</v>
      </c>
      <c r="H92" t="n">
        <v>-171336</v>
      </c>
    </row>
    <row r="93">
      <c r="A93" t="inlineStr">
        <is>
          <t>Net cash used in financing activities, year to date (as reported)</t>
        </is>
      </c>
      <c r="G93" t="n">
        <v>-914063</v>
      </c>
      <c r="H93" t="n">
        <v>110376</v>
      </c>
    </row>
    <row r="94">
      <c r="A94" t="inlineStr">
        <is>
          <t>Depreciation and amortization, year to date (as reported)</t>
        </is>
      </c>
      <c r="C94" t="n">
        <v>120079</v>
      </c>
      <c r="D94" t="n">
        <v>242179</v>
      </c>
      <c r="E94" t="n">
        <v>366248</v>
      </c>
      <c r="G94" t="n">
        <v>494011</v>
      </c>
      <c r="H94" t="n">
        <v>126601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SUM(D33:F33)+SUM(H33:H33)</f>
        <v/>
      </c>
    </row>
    <row r="110">
      <c r="A110" t="inlineStr">
        <is>
          <t>EBITDA, last four reported quarters</t>
        </is>
      </c>
      <c r="C110">
        <f>SUM(D46:F46)+SUM(H46:H46)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H49</f>
        <v/>
      </c>
    </row>
    <row r="119">
      <c r="A119" t="inlineStr">
        <is>
          <t>Short-term borrowings (latest reported balance sheet)</t>
        </is>
      </c>
      <c r="C119">
        <f>H60</f>
        <v/>
      </c>
    </row>
    <row r="120">
      <c r="A120" t="inlineStr">
        <is>
          <t>Current portion of long-term debt (latest reported balance sheet)</t>
        </is>
      </c>
      <c r="C120">
        <f>H61</f>
        <v/>
      </c>
    </row>
    <row r="121">
      <c r="A121" t="inlineStr">
        <is>
          <t>Long-term debt (latest reported balance sheet)</t>
        </is>
      </c>
      <c r="C121">
        <f>H64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H69+H67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2026-10-12T01:55:58Z</dcterms:modified>
</cp:coreProperties>
</file>