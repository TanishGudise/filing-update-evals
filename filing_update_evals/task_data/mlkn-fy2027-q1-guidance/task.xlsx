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68.799795</v>
      </c>
    </row>
    <row r="7">
      <c r="A7" t="inlineStr">
        <is>
          <t>Revenue growth, FY2027 quarters vs. same quarter of FY2026</t>
        </is>
      </c>
      <c r="C7" t="n">
        <v>0.047</v>
      </c>
    </row>
    <row r="8">
      <c r="A8" t="inlineStr">
        <is>
          <t>Revenue growth by forecast year</t>
        </is>
      </c>
      <c r="M8" t="n">
        <v>0.047</v>
      </c>
      <c r="N8" t="n">
        <v>0.04</v>
      </c>
      <c r="O8" t="n">
        <v>0.033</v>
      </c>
      <c r="P8" t="n">
        <v>0.026</v>
      </c>
    </row>
    <row r="9">
      <c r="A9" t="inlineStr">
        <is>
          <t>Gross margin</t>
        </is>
      </c>
      <c r="C9" t="n">
        <v>0.3874</v>
      </c>
    </row>
    <row r="10">
      <c r="A10" t="inlineStr">
        <is>
          <t>SG&amp;A, % of revenue</t>
        </is>
      </c>
      <c r="C10" t="n">
        <v>0.3078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0.0386</v>
      </c>
    </row>
    <row r="13">
      <c r="A13" t="inlineStr">
        <is>
          <t>Capital expenditures, % of revenue</t>
        </is>
      </c>
      <c r="C13" t="n">
        <v>0.0318</v>
      </c>
    </row>
    <row r="14">
      <c r="A14" t="inlineStr">
        <is>
          <t>Tax rate</t>
        </is>
      </c>
      <c r="C14" t="n">
        <v>0.253</v>
      </c>
    </row>
    <row r="15">
      <c r="A15" t="inlineStr">
        <is>
          <t>Days sales outstanding (on revenue)</t>
        </is>
      </c>
      <c r="C15" t="n">
        <v>34</v>
      </c>
    </row>
    <row r="16">
      <c r="A16" t="inlineStr">
        <is>
          <t>Days inventory outstanding (on cost of revenue)</t>
        </is>
      </c>
      <c r="C16" t="n">
        <v>75.8</v>
      </c>
    </row>
    <row r="17">
      <c r="A17" t="inlineStr">
        <is>
          <t>Days payables outstanding (on cost of revenue)</t>
        </is>
      </c>
      <c r="C17" t="n">
        <v>43.3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69.90000000000001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8">
      <c r="A28" t="inlineStr">
        <is>
          <t>Guidance (from the latest earnings release)</t>
        </is>
      </c>
    </row>
    <row r="29">
      <c r="A29" t="inlineStr">
        <is>
          <t>Q2 FY2027 revenue guidance, bottom of range ($ in millions)</t>
        </is>
      </c>
    </row>
    <row r="30">
      <c r="A30" t="inlineStr">
        <is>
          <t>Q2 FY2027 revenue guidance, top of range ($ in millions)</t>
        </is>
      </c>
    </row>
    <row r="31">
      <c r="A31" t="inlineStr">
        <is>
          <t>FY2027 revenue guidance, bottom of range ($ in millions)</t>
        </is>
      </c>
    </row>
    <row r="32">
      <c r="A32" t="inlineStr">
        <is>
          <t>FY2027 revenue guidance, top of range ($ in millions)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955.7</v>
      </c>
      <c r="D6" t="n">
        <v>955.2</v>
      </c>
      <c r="E6" t="n">
        <v>926.6</v>
      </c>
      <c r="F6">
        <f>G6-C6-D6-E6</f>
        <v/>
      </c>
      <c r="G6" t="n">
        <v>3841.7</v>
      </c>
      <c r="H6" t="n">
        <v>923.4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587.6</v>
      </c>
      <c r="D7" t="n">
        <v>583</v>
      </c>
      <c r="E7" t="n">
        <v>573.7</v>
      </c>
      <c r="F7">
        <f>G7-C7-D7-E7</f>
        <v/>
      </c>
      <c r="G7" t="n">
        <v>2352.9</v>
      </c>
      <c r="H7" t="n">
        <v>538.1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293.8</v>
      </c>
      <c r="D9" t="n">
        <v>298.3</v>
      </c>
      <c r="E9" t="n">
        <v>285.5</v>
      </c>
      <c r="F9">
        <f>G9-C9-D9-E9</f>
        <v/>
      </c>
      <c r="G9" t="n">
        <v>1178.3</v>
      </c>
      <c r="H9" t="n">
        <v>302.5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53.5</v>
      </c>
      <c r="D11" t="n">
        <v>48.5</v>
      </c>
      <c r="E11" t="n">
        <v>44.9</v>
      </c>
      <c r="F11">
        <f>G11-C11-D11-E11</f>
        <v/>
      </c>
      <c r="G11" t="n">
        <v>198.3</v>
      </c>
      <c r="H11" t="n">
        <v>51.8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18.4</v>
      </c>
      <c r="D12" t="n">
        <v>17.9</v>
      </c>
      <c r="E12" t="n">
        <v>17.2</v>
      </c>
      <c r="F12">
        <f>G12-C12-D12-E12</f>
        <v/>
      </c>
      <c r="G12" t="n">
        <v>69.90000000000001</v>
      </c>
      <c r="H12" t="n">
        <v>16.2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28.7</v>
      </c>
      <c r="D14" t="n">
        <v>32.5</v>
      </c>
      <c r="E14" t="n">
        <v>29.2</v>
      </c>
      <c r="F14">
        <f>G14-C14-D14-E14</f>
        <v/>
      </c>
      <c r="G14" t="n">
        <v>128.2</v>
      </c>
      <c r="H14" t="n">
        <v>35.2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7.6</v>
      </c>
      <c r="D15" t="n">
        <v>7.3</v>
      </c>
      <c r="E15" t="n">
        <v>5.6</v>
      </c>
      <c r="F15">
        <f>G15-C15-D15-E15</f>
        <v/>
      </c>
      <c r="G15" t="n">
        <v>32.4</v>
      </c>
      <c r="H15" t="n">
        <v>7.6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20.2</v>
      </c>
      <c r="D17" t="n">
        <v>24.2</v>
      </c>
      <c r="E17" t="n">
        <v>23.5</v>
      </c>
      <c r="F17">
        <f>G17-C17-D17-E17</f>
        <v/>
      </c>
      <c r="G17" t="n">
        <v>91.5</v>
      </c>
      <c r="H17" t="n">
        <v>26.6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167.7</v>
      </c>
      <c r="H6" t="n">
        <v>178.6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357.4</v>
      </c>
      <c r="H7" t="n">
        <v>314.3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488.4</v>
      </c>
      <c r="H8" t="n">
        <v>514.7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1137.2</v>
      </c>
      <c r="H10" t="n">
        <v>1140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511.3</v>
      </c>
      <c r="H11" t="n">
        <v>515.4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1161.3</v>
      </c>
      <c r="H12" t="n">
        <v>1159.4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214</v>
      </c>
      <c r="H13" t="n">
        <v>205.2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4000.5</v>
      </c>
      <c r="H15" t="n">
        <v>4002.9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279.1</v>
      </c>
      <c r="H16" t="n">
        <v>253.5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25.1</v>
      </c>
      <c r="H18" t="n">
        <v>28.4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721.1</v>
      </c>
      <c r="H20" t="n">
        <v>692.3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1260.6</v>
      </c>
      <c r="H21" t="n">
        <v>1270.4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63.3</v>
      </c>
      <c r="H24" t="n">
        <v>63.8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1342.6</v>
      </c>
      <c r="H25" t="n">
        <v>1356.2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4000.5</v>
      </c>
      <c r="H28" t="n">
        <v>4002.9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199.9</v>
      </c>
      <c r="H21" t="n">
        <v>49.1</v>
      </c>
    </row>
    <row r="22">
      <c r="A22" t="inlineStr">
        <is>
          <t>Capital expenditures, year to date (as reported)</t>
        </is>
      </c>
      <c r="G22" t="n">
        <v>-122.3</v>
      </c>
      <c r="H22" t="n">
        <v>-32.5</v>
      </c>
    </row>
    <row r="23">
      <c r="A23" t="inlineStr">
        <is>
          <t>Cash from investing activities, year to date (as reported)</t>
        </is>
      </c>
      <c r="G23" t="n">
        <v>-115.6</v>
      </c>
      <c r="H23" t="n">
        <v>-32.1</v>
      </c>
    </row>
    <row r="24">
      <c r="A24" t="inlineStr">
        <is>
          <t>Cash from financing activities, year to date (as reported)</t>
        </is>
      </c>
      <c r="G24" t="n">
        <v>-117</v>
      </c>
      <c r="H24" t="n">
        <v>-4.8</v>
      </c>
    </row>
    <row r="25">
      <c r="A25" t="inlineStr">
        <is>
          <t>Depreciation and amortization, year to date (as reported)</t>
        </is>
      </c>
      <c r="C25" t="n">
        <v>35.4</v>
      </c>
      <c r="D25" t="n">
        <v>72</v>
      </c>
      <c r="E25" t="n">
        <v>110.1</v>
      </c>
      <c r="G25" t="n">
        <v>148.3</v>
      </c>
      <c r="H25" t="n">
        <v>34.5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2026-10-12T02:09:29Z</dcterms:modified>
</cp:coreProperties>
</file>