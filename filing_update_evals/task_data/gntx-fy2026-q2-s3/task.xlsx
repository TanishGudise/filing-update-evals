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212.951848</v>
      </c>
    </row>
    <row r="7">
      <c r="A7" t="inlineStr">
        <is>
          <t>Revenue growth, FY2026 quarters vs. same quarter of FY2025</t>
        </is>
      </c>
      <c r="C7" t="n">
        <v>0.096</v>
      </c>
    </row>
    <row r="8">
      <c r="A8" t="inlineStr">
        <is>
          <t>Revenue growth by forecast year</t>
        </is>
      </c>
      <c r="E8" t="n">
        <v>0.096</v>
      </c>
      <c r="F8" t="n">
        <v>0.082</v>
      </c>
      <c r="G8" t="n">
        <v>0.067</v>
      </c>
      <c r="H8" t="n">
        <v>0.053</v>
      </c>
    </row>
    <row r="9">
      <c r="A9" t="inlineStr">
        <is>
          <t>Gross margin</t>
        </is>
      </c>
      <c r="C9" t="n">
        <v>0.3431</v>
      </c>
    </row>
    <row r="10">
      <c r="A10" t="inlineStr">
        <is>
          <t>SG&amp;A, % of revenue</t>
        </is>
      </c>
      <c r="C10" t="n">
        <v>0.07480000000000001</v>
      </c>
    </row>
    <row r="11">
      <c r="A11" t="inlineStr">
        <is>
          <t>Other operating expenses, % of revenue</t>
        </is>
      </c>
      <c r="C11" t="n">
        <v>0.0847</v>
      </c>
    </row>
    <row r="12">
      <c r="A12" t="inlineStr">
        <is>
          <t>Depreciation and amortization, % of revenue</t>
        </is>
      </c>
      <c r="C12" t="n">
        <v>0.0411</v>
      </c>
    </row>
    <row r="13">
      <c r="A13" t="inlineStr">
        <is>
          <t>Capital expenditures, % of revenue</t>
        </is>
      </c>
      <c r="C13" t="n">
        <v>0.0509</v>
      </c>
    </row>
    <row r="14">
      <c r="A14" t="inlineStr">
        <is>
          <t>Tax rate</t>
        </is>
      </c>
      <c r="C14" t="n">
        <v>0.166</v>
      </c>
    </row>
    <row r="15">
      <c r="A15" t="inlineStr">
        <is>
          <t>Days sales outstanding (on revenue)</t>
        </is>
      </c>
      <c r="C15" t="n">
        <v>53.1</v>
      </c>
    </row>
    <row r="16">
      <c r="A16" t="inlineStr">
        <is>
          <t>Days inventory outstanding (on cost of revenue)</t>
        </is>
      </c>
      <c r="C16" t="n">
        <v>113</v>
      </c>
    </row>
    <row r="17">
      <c r="A17" t="inlineStr">
        <is>
          <t>Days payables outstanding (on cost of revenue)</t>
        </is>
      </c>
      <c r="C17" t="n">
        <v>54.5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0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0.3481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576.77309</v>
      </c>
      <c r="D6" t="n">
        <v>657.85821</v>
      </c>
      <c r="E6" t="n">
        <v>655.236055</v>
      </c>
      <c r="F6">
        <f>Annual!C6-C6-D6-E6</f>
        <v/>
      </c>
      <c r="G6" t="n">
        <v>675.443125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385.039503</v>
      </c>
      <c r="D7" t="n">
        <v>432.567307</v>
      </c>
      <c r="E7" t="n">
        <v>430.069318</v>
      </c>
      <c r="F7">
        <f>Annual!C7-C7-D7-E7</f>
        <v/>
      </c>
      <c r="G7" t="n">
        <v>446.816212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29.933005</v>
      </c>
      <c r="D9" t="n">
        <v>48.515355</v>
      </c>
      <c r="E9" t="n">
        <v>49.686902</v>
      </c>
      <c r="F9">
        <f>Annual!C9-C9-D9-E9</f>
        <v/>
      </c>
      <c r="G9" t="n">
        <v>49.791834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112.987106</v>
      </c>
      <c r="D11" t="n">
        <v>118.520135</v>
      </c>
      <c r="E11" t="n">
        <v>122.326938</v>
      </c>
      <c r="F11">
        <f>Annual!C11-C11-D11-E11</f>
        <v/>
      </c>
      <c r="G11" t="n">
        <v>123.659919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0</v>
      </c>
      <c r="D12" t="n">
        <v>0</v>
      </c>
      <c r="E12" t="n">
        <v>0</v>
      </c>
      <c r="F12">
        <f>Annual!C12-C12-D12-E12</f>
        <v/>
      </c>
      <c r="G12" t="n">
        <v>0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113.627582</v>
      </c>
      <c r="D14" t="n">
        <v>115.470139</v>
      </c>
      <c r="E14" t="n">
        <v>120.570708</v>
      </c>
      <c r="F14">
        <f>Annual!C14-C14-D14-E14</f>
        <v/>
      </c>
      <c r="G14" t="n">
        <v>118.047562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18.753537</v>
      </c>
      <c r="D15" t="n">
        <v>19.819689</v>
      </c>
      <c r="E15" t="n">
        <v>19.684004</v>
      </c>
      <c r="F15">
        <f>Annual!C15-C15-D15-E15</f>
        <v/>
      </c>
      <c r="G15" t="n">
        <v>19.626503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94.874045</v>
      </c>
      <c r="D17" t="n">
        <v>96.039584</v>
      </c>
      <c r="E17" t="n">
        <v>100.96791</v>
      </c>
      <c r="F17">
        <f>Annual!C17-C17-D17-E17</f>
        <v/>
      </c>
      <c r="G17" t="n">
        <v>98.45514300000001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164.761633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419.468925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523.509606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1208.193001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786.333204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360.924307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185.598287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2997.636194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276.649198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3.840654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0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444.57926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0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3.02149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2502.585166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2997.636194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137.083229</v>
      </c>
    </row>
    <row r="64">
      <c r="A64" t="inlineStr">
        <is>
          <t>Capex YTD (reported)</t>
        </is>
      </c>
      <c r="G64" t="n">
        <v>-17.042162</v>
      </c>
    </row>
    <row r="65">
      <c r="A65" t="inlineStr">
        <is>
          <t>CFI YTD (reported)</t>
        </is>
      </c>
      <c r="G65" t="n">
        <v>-25.574035</v>
      </c>
    </row>
    <row r="66">
      <c r="A66" t="inlineStr">
        <is>
          <t>CFF YTD (reported)</t>
        </is>
      </c>
      <c r="G66" t="n">
        <v>-92.393276</v>
      </c>
    </row>
    <row r="67">
      <c r="A67" t="inlineStr">
        <is>
          <t>D&amp;A YTD (reported)</t>
        </is>
      </c>
      <c r="C67" t="n">
        <v>25.509069</v>
      </c>
      <c r="D67" t="n">
        <v>52.880443</v>
      </c>
      <c r="E67" t="n">
        <v>78.808967</v>
      </c>
      <c r="G67" t="n">
        <v>25.656252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2534.268965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1667.560025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177.868692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473.935754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0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2.5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461.062415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76.38033799999999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384.841367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145.645715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368.517569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516.253617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1128.434468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790.935378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357.211919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189.341387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2928.592834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248.983498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3.795925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0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387.542969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0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3.102213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2487.829724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2928.592834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587.126291</v>
      </c>
    </row>
    <row r="64">
      <c r="A64" t="inlineStr">
        <is>
          <t>Capex YTD (reported)</t>
        </is>
      </c>
      <c r="C64" t="n">
        <v>-129.088778</v>
      </c>
    </row>
    <row r="65">
      <c r="A65" t="inlineStr">
        <is>
          <t>CFI YTD (reported)</t>
        </is>
      </c>
      <c r="C65" t="n">
        <v>-266.899521</v>
      </c>
    </row>
    <row r="66">
      <c r="A66" t="inlineStr">
        <is>
          <t>CFF YTD (reported)</t>
        </is>
      </c>
      <c r="C66" t="n">
        <v>-407.899821</v>
      </c>
    </row>
    <row r="67">
      <c r="A67" t="inlineStr">
        <is>
          <t>D&amp;A YTD (reported)</t>
        </is>
      </c>
      <c r="C67" t="n">
        <v>104.041764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GNTX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2026-10-12T02:09:06Z</dcterms:modified>
</cp:coreProperties>
</file>