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533.708396</v>
      </c>
    </row>
    <row r="7">
      <c r="A7" t="inlineStr">
        <is>
          <t>Revenue growth, FY2027 quarters vs. same quarter of FY2026</t>
        </is>
      </c>
      <c r="C7" t="n">
        <v>-0.054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0.3436</v>
      </c>
    </row>
    <row r="10">
      <c r="A10" t="inlineStr">
        <is>
          <t>SG&amp;A, % of revenue</t>
        </is>
      </c>
      <c r="C10" t="n">
        <v>0.1851</v>
      </c>
    </row>
    <row r="11">
      <c r="A11" t="inlineStr">
        <is>
          <t>Other operating expenses, % of revenue</t>
        </is>
      </c>
      <c r="C11" t="n">
        <v>0.0159</v>
      </c>
    </row>
    <row r="12">
      <c r="A12" t="inlineStr">
        <is>
          <t>Depreciation and amortization, % of revenue</t>
        </is>
      </c>
      <c r="C12" t="n">
        <v>0.0301</v>
      </c>
    </row>
    <row r="13">
      <c r="A13" t="inlineStr">
        <is>
          <t>Capital expenditures, % of revenue</t>
        </is>
      </c>
      <c r="C13" t="n">
        <v>0.0293</v>
      </c>
    </row>
    <row r="14">
      <c r="A14" t="inlineStr">
        <is>
          <t>Tax rate</t>
        </is>
      </c>
      <c r="C14" t="n">
        <v>0.3</v>
      </c>
    </row>
    <row r="15">
      <c r="A15" t="inlineStr">
        <is>
          <t>Days sales outstanding (on revenue)</t>
        </is>
      </c>
      <c r="C15" t="n">
        <v>32.6</v>
      </c>
    </row>
    <row r="16">
      <c r="A16" t="inlineStr">
        <is>
          <t>Days inventory outstanding (on cost of revenue)</t>
        </is>
      </c>
      <c r="C16" t="n">
        <v>57.2</v>
      </c>
    </row>
    <row r="17">
      <c r="A17" t="inlineStr">
        <is>
          <t>Days payables outstanding (on cost of revenue)</t>
        </is>
      </c>
      <c r="C17" t="n">
        <v>111.3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($m)</t>
        </is>
      </c>
      <c r="C19" t="n">
        <v>538.6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4517.5</v>
      </c>
      <c r="D6" t="n">
        <v>4860.8</v>
      </c>
      <c r="E6" t="n">
        <v>4436.7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2984.7</v>
      </c>
      <c r="D7" t="n">
        <v>3168.3</v>
      </c>
      <c r="E7" t="n">
        <v>3069.8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845.1</v>
      </c>
      <c r="D9" t="n">
        <v>842.4</v>
      </c>
      <c r="E9" t="n">
        <v>812.9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1725.8</v>
      </c>
      <c r="D11" t="n">
        <v>728</v>
      </c>
      <c r="E11" t="n">
        <v>524.6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132.8</v>
      </c>
      <c r="D12" t="n">
        <v>125.9</v>
      </c>
      <c r="E12" t="n">
        <v>128.4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1608.1</v>
      </c>
      <c r="D14" t="n">
        <v>617.8</v>
      </c>
      <c r="E14" t="n">
        <v>411.5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410.9</v>
      </c>
      <c r="D15" t="n">
        <v>143.9</v>
      </c>
      <c r="E15" t="n">
        <v>99.90000000000001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1204.2</v>
      </c>
      <c r="D17" t="n">
        <v>413</v>
      </c>
      <c r="E17" t="n">
        <v>303.1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G59</f>
        <v/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Annual!C27-G52-G18</f>
        <v/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>
        <f>Annual!C40</f>
        <v/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>
        <f>Annual!C41+G17+G55</f>
        <v/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>
        <f>Annual!C42</f>
        <v/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>
        <f>G36+G37+G38+G40+G41+G42</f>
        <v/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Annual!C23-G23+Annual!C24-G24+G32-Annual!C32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G48+G49+G50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-G6*Drivers!$C$13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Drivers!$C$22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G52+G53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-G17*Drivers!$C$18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Drivers!$C$23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</row>
    <row r="64">
      <c r="A64" t="inlineStr">
        <is>
          <t>Capex YTD (reported)</t>
        </is>
      </c>
    </row>
    <row r="65">
      <c r="A65" t="inlineStr">
        <is>
          <t>CFI YTD (reported)</t>
        </is>
      </c>
    </row>
    <row r="66">
      <c r="A66" t="inlineStr">
        <is>
          <t>CFF YTD (reported)</t>
        </is>
      </c>
    </row>
    <row r="67">
      <c r="A67" t="inlineStr">
        <is>
          <t>D&amp;A YTD (reported)</t>
        </is>
      </c>
      <c r="C67" t="n">
        <v>138.7</v>
      </c>
      <c r="D67" t="n">
        <v>276.7</v>
      </c>
      <c r="E67" t="n">
        <v>416.1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18424.6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12228.9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3388.5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885.8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538.6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18.4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405.5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414.3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-87.59999999999999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453.8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1646.8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1917.9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4618.3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3443.4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14122.4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6716.9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30016.7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3729.5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68.40000000000001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1053.6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6774.1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12416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7368.4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12.2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30016.7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2166.2</v>
      </c>
    </row>
    <row r="64">
      <c r="A64" t="inlineStr">
        <is>
          <t>Capex YTD (reported)</t>
        </is>
      </c>
      <c r="C64" t="n">
        <v>-539.9</v>
      </c>
    </row>
    <row r="65">
      <c r="A65" t="inlineStr">
        <is>
          <t>CFI YTD (reported)</t>
        </is>
      </c>
      <c r="C65" t="n">
        <v>1258.2</v>
      </c>
    </row>
    <row r="66">
      <c r="A66" t="inlineStr">
        <is>
          <t>CFF YTD (reported)</t>
        </is>
      </c>
      <c r="C66" t="n">
        <v>-3315</v>
      </c>
    </row>
    <row r="67">
      <c r="A67" t="inlineStr">
        <is>
          <t>D&amp;A YTD (reported)</t>
        </is>
      </c>
      <c r="C67" t="n">
        <v>555.2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Annual!C42+Annual!C40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2026-10-12T17:11:57Z</dcterms:modified>
</cp:coreProperties>
</file>