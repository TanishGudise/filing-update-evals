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GIS drivers</t>
        </is>
      </c>
    </row>
    <row r="2">
      <c r="A2" t="inlineStr">
        <is>
          <t>$m; rates as decimals</t>
        </is>
      </c>
    </row>
    <row r="3">
      <c r="E3" t="inlineStr">
        <is>
          <t>FY28E</t>
        </is>
      </c>
      <c r="F3" t="inlineStr">
        <is>
          <t>FY29E</t>
        </is>
      </c>
      <c r="G3" t="inlineStr">
        <is>
          <t>FY30E</t>
        </is>
      </c>
      <c r="H3" t="inlineStr">
        <is>
          <t>FY31E</t>
        </is>
      </c>
    </row>
    <row r="4">
      <c r="A4" t="inlineStr">
        <is>
          <t>Last reported quarter of FY2027</t>
        </is>
      </c>
      <c r="C4" t="n">
        <v>0</v>
      </c>
    </row>
    <row r="5">
      <c r="A5" t="inlineStr">
        <is>
          <t>Shares outstanding, latest 10-Q/10-K cover (m)</t>
        </is>
      </c>
      <c r="C5" t="n">
        <v>533.708396</v>
      </c>
    </row>
    <row r="7">
      <c r="A7" t="inlineStr">
        <is>
          <t>Revenue growth, FY2027 quarters vs. same quarter of FY2026</t>
        </is>
      </c>
      <c r="C7" t="n">
        <v>-0.054</v>
      </c>
    </row>
    <row r="8">
      <c r="A8" t="inlineStr">
        <is>
          <t>Revenue growth by forecast year</t>
        </is>
      </c>
      <c r="E8" t="n">
        <v>0.02</v>
      </c>
      <c r="F8" t="n">
        <v>0.02</v>
      </c>
      <c r="G8" t="n">
        <v>0.02</v>
      </c>
      <c r="H8" t="n">
        <v>0.02</v>
      </c>
    </row>
    <row r="9">
      <c r="A9" t="inlineStr">
        <is>
          <t>Gross margin</t>
        </is>
      </c>
      <c r="C9" t="n">
        <v>0.3436</v>
      </c>
    </row>
    <row r="10">
      <c r="A10" t="inlineStr">
        <is>
          <t>SG&amp;A, % of revenue</t>
        </is>
      </c>
      <c r="C10" t="n">
        <v>0.1851</v>
      </c>
    </row>
    <row r="11">
      <c r="A11" t="inlineStr">
        <is>
          <t>Other operating expenses, % of revenue</t>
        </is>
      </c>
      <c r="C11" t="n">
        <v>0.0159</v>
      </c>
    </row>
    <row r="12">
      <c r="A12" t="inlineStr">
        <is>
          <t>Depreciation and amortization, % of revenue</t>
        </is>
      </c>
      <c r="C12" t="n">
        <v>0.0301</v>
      </c>
    </row>
    <row r="13">
      <c r="A13" t="inlineStr">
        <is>
          <t>Capital expenditures, % of revenue</t>
        </is>
      </c>
      <c r="C13" t="n">
        <v>0.0293</v>
      </c>
    </row>
    <row r="14">
      <c r="A14" t="inlineStr">
        <is>
          <t>Tax rate</t>
        </is>
      </c>
      <c r="C14" t="n">
        <v>0.3</v>
      </c>
    </row>
    <row r="15">
      <c r="A15" t="inlineStr">
        <is>
          <t>Days sales outstanding (on revenue)</t>
        </is>
      </c>
      <c r="C15" t="n">
        <v>32.6</v>
      </c>
    </row>
    <row r="16">
      <c r="A16" t="inlineStr">
        <is>
          <t>Days inventory outstanding (on cost of revenue)</t>
        </is>
      </c>
      <c r="C16" t="n">
        <v>57.2</v>
      </c>
    </row>
    <row r="17">
      <c r="A17" t="inlineStr">
        <is>
          <t>Days payables outstanding (on cost of revenue)</t>
        </is>
      </c>
      <c r="C17" t="n">
        <v>111.3</v>
      </c>
    </row>
    <row r="18">
      <c r="A18" t="inlineStr">
        <is>
          <t>Shareholder payouts and other financing, % of net income</t>
        </is>
      </c>
      <c r="C18" t="n">
        <v>0.5</v>
      </c>
    </row>
    <row r="19">
      <c r="A19" t="inlineStr">
        <is>
          <t>Interest expense, net, per year ($m)</t>
        </is>
      </c>
      <c r="C19" t="n">
        <v>0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0.3486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GIS quarterly model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G2" t="inlineStr">
        <is>
          <t>Q1 FY27</t>
        </is>
      </c>
      <c r="H2" t="inlineStr">
        <is>
          <t>Q2 FY27</t>
        </is>
      </c>
      <c r="I2" t="inlineStr">
        <is>
          <t>Q3 FY27</t>
        </is>
      </c>
      <c r="J2" t="inlineStr">
        <is>
          <t>Q4 FY27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4517.5</v>
      </c>
      <c r="D6" t="n">
        <v>4860.8</v>
      </c>
      <c r="E6" t="n">
        <v>4436.7</v>
      </c>
      <c r="F6">
        <f>Annual!C6-C6-D6-E6</f>
        <v/>
      </c>
      <c r="G6">
        <f>C6*(1+Drivers!$C$7)</f>
        <v/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2984.7</v>
      </c>
      <c r="D7" t="n">
        <v>3168.3</v>
      </c>
      <c r="E7" t="n">
        <v>3069.8</v>
      </c>
      <c r="F7">
        <f>Annual!C7-C7-D7-E7</f>
        <v/>
      </c>
      <c r="G7">
        <f>G6*(1-Drivers!$C$9)</f>
        <v/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845.1</v>
      </c>
      <c r="D9" t="n">
        <v>842.4</v>
      </c>
      <c r="E9" t="n">
        <v>812.9</v>
      </c>
      <c r="F9">
        <f>Annual!C9-C9-D9-E9</f>
        <v/>
      </c>
      <c r="G9">
        <f>G6*Drivers!$C$10</f>
        <v/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G6*Drivers!$C$11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1725.8</v>
      </c>
      <c r="D11" t="n">
        <v>728</v>
      </c>
      <c r="E11" t="n">
        <v>524.6</v>
      </c>
      <c r="F11">
        <f>Annual!C11-C11-D11-E11</f>
        <v/>
      </c>
      <c r="G11">
        <f>G8-G9-G10</f>
        <v/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0</v>
      </c>
      <c r="D12" t="n">
        <v>0</v>
      </c>
      <c r="E12" t="n">
        <v>0</v>
      </c>
      <c r="F12">
        <f>Annual!C12-C12-D12-E12</f>
        <v/>
      </c>
      <c r="G12">
        <f>Drivers!$C$19/4</f>
        <v/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Drivers!$C$20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1608.1</v>
      </c>
      <c r="D14" t="n">
        <v>617.8</v>
      </c>
      <c r="E14" t="n">
        <v>411.5</v>
      </c>
      <c r="F14">
        <f>Annual!C14-C14-D14-E14</f>
        <v/>
      </c>
      <c r="G14">
        <f>G11-G12+G13</f>
        <v/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410.9</v>
      </c>
      <c r="D15" t="n">
        <v>143.9</v>
      </c>
      <c r="E15" t="n">
        <v>99.90000000000001</v>
      </c>
      <c r="F15">
        <f>Annual!C15-C15-D15-E15</f>
        <v/>
      </c>
      <c r="G15">
        <f>G14*Drivers!$C$14</f>
        <v/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Drivers!$C$21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1204.2</v>
      </c>
      <c r="D17" t="n">
        <v>413</v>
      </c>
      <c r="E17" t="n">
        <v>303.1</v>
      </c>
      <c r="F17">
        <f>Annual!C17-C17-D17-E17</f>
        <v/>
      </c>
      <c r="G17">
        <f>G14-G15+G16</f>
        <v/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G6*Drivers!$C$12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>
        <f>G59</f>
        <v/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>
        <f>G6*Drivers!$C$15/91.25</f>
        <v/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>
        <f>G7*Drivers!$C$16/91.25</f>
        <v/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Annual!C25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>
        <f>G22+G23+G24+G25</f>
        <v/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>
        <f>Annual!C27-G52-G18</f>
        <v/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>
        <f>Annual!C28</f>
        <v/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>
        <f>Annual!C29</f>
        <v/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Annual!C30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>
        <f>G26+G27+G28+G29+G30</f>
        <v/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>
        <f>G7*Drivers!$C$17/91.25</f>
        <v/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>
        <f>Annual!C33</f>
        <v/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>
        <f>Annual!C34</f>
        <v/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Annual!C35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>
        <f>G32+G33+G34+G35</f>
        <v/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>
        <f>Annual!C37</f>
        <v/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Annual!C38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>
        <f>Annual!C40</f>
        <v/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>
        <f>Annual!C41+G17+G55</f>
        <v/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>
        <f>Annual!C42</f>
        <v/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>
        <f>G36+G37+G38+G40+G41+G42</f>
        <v/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Annual!C23-G23+Annual!C24-G24+G32-Annual!C32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G48+G49+G50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-G6*Drivers!$C$13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Drivers!$C$22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G52+G53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-G17*Drivers!$C$18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Drivers!$C$23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</row>
    <row r="64">
      <c r="A64" t="inlineStr">
        <is>
          <t>Capex YTD (reported)</t>
        </is>
      </c>
    </row>
    <row r="65">
      <c r="A65" t="inlineStr">
        <is>
          <t>CFI YTD (reported)</t>
        </is>
      </c>
    </row>
    <row r="66">
      <c r="A66" t="inlineStr">
        <is>
          <t>CFF YTD (reported)</t>
        </is>
      </c>
    </row>
    <row r="67">
      <c r="A67" t="inlineStr">
        <is>
          <t>D&amp;A YTD (reported)</t>
        </is>
      </c>
      <c r="C67" t="n">
        <v>138.7</v>
      </c>
      <c r="D67" t="n">
        <v>276.7</v>
      </c>
      <c r="E67" t="n">
        <v>416.1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GIS annual model ($m)</t>
        </is>
      </c>
    </row>
    <row r="2">
      <c r="C2" t="inlineStr">
        <is>
          <t>FY26</t>
        </is>
      </c>
      <c r="D2" t="inlineStr">
        <is>
          <t>FY27</t>
        </is>
      </c>
      <c r="E2" t="inlineStr">
        <is>
          <t>FY28E</t>
        </is>
      </c>
      <c r="F2" t="inlineStr">
        <is>
          <t>FY29E</t>
        </is>
      </c>
      <c r="G2" t="inlineStr">
        <is>
          <t>FY30E</t>
        </is>
      </c>
      <c r="H2" t="inlineStr">
        <is>
          <t>FY31E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18424.6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12228.9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3388.5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885.8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0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18.4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405.5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414.3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-87.59999999999999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453.8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1646.8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1917.9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4618.3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3443.4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14122.4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6716.9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30016.7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3729.5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68.40000000000001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1053.6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6774.1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12416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0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7368.4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12.2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30016.7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2166.2</v>
      </c>
    </row>
    <row r="64">
      <c r="A64" t="inlineStr">
        <is>
          <t>Capex YTD (reported)</t>
        </is>
      </c>
      <c r="C64" t="n">
        <v>-539.9</v>
      </c>
    </row>
    <row r="65">
      <c r="A65" t="inlineStr">
        <is>
          <t>CFI YTD (reported)</t>
        </is>
      </c>
      <c r="C65" t="n">
        <v>1258.2</v>
      </c>
    </row>
    <row r="66">
      <c r="A66" t="inlineStr">
        <is>
          <t>CFF YTD (reported)</t>
        </is>
      </c>
      <c r="C66" t="n">
        <v>-3315</v>
      </c>
    </row>
    <row r="67">
      <c r="A67" t="inlineStr">
        <is>
          <t>D&amp;A YTD (reported)</t>
        </is>
      </c>
      <c r="C67" t="n">
        <v>555.2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GIS DCF ($m)</t>
        </is>
      </c>
    </row>
    <row r="2">
      <c r="C2" t="inlineStr">
        <is>
          <t>Q1 FY27</t>
        </is>
      </c>
      <c r="D2" t="inlineStr">
        <is>
          <t>Q2 FY27</t>
        </is>
      </c>
      <c r="E2" t="inlineStr">
        <is>
          <t>Q3 FY27</t>
        </is>
      </c>
      <c r="F2" t="inlineStr">
        <is>
          <t>Q4 FY27</t>
        </is>
      </c>
      <c r="H2" t="inlineStr">
        <is>
          <t>FY28E</t>
        </is>
      </c>
      <c r="I2" t="inlineStr">
        <is>
          <t>FY29E</t>
        </is>
      </c>
      <c r="J2" t="inlineStr">
        <is>
          <t>FY30E</t>
        </is>
      </c>
      <c r="K2" t="inlineStr">
        <is>
          <t>FY31E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SUM(Quarterly!C6:F6)</f>
        <v/>
      </c>
    </row>
    <row r="18">
      <c r="A18" t="inlineStr">
        <is>
          <t>EBITDA, last four reported quarters</t>
        </is>
      </c>
      <c r="C18">
        <f>SUM(Quarterly!C19:F19)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Annual!C22</f>
        <v/>
      </c>
    </row>
    <row r="27">
      <c r="A27" t="inlineStr">
        <is>
          <t>Short-term borrowings (latest reported balance sheet)</t>
        </is>
      </c>
      <c r="C27">
        <f>Annual!C33</f>
        <v/>
      </c>
    </row>
    <row r="28">
      <c r="A28" t="inlineStr">
        <is>
          <t>Current portion of long-term debt (latest reported balance sheet)</t>
        </is>
      </c>
      <c r="C28">
        <f>Annual!C34</f>
        <v/>
      </c>
    </row>
    <row r="29">
      <c r="A29" t="inlineStr">
        <is>
          <t>Long-term debt (latest reported balance sheet)</t>
        </is>
      </c>
      <c r="C29">
        <f>Annual!C37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Annual!C42+Annual!C40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2026-10-12T01:56:10Z</dcterms:modified>
</cp:coreProperties>
</file>