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BBY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(m)</t>
        </is>
      </c>
      <c r="C5" t="n">
        <v>210.767126</v>
      </c>
    </row>
    <row r="7">
      <c r="A7" t="inlineStr">
        <is>
          <t>Revenue growth, FY2027 quarters vs. same quarter of FY2026</t>
        </is>
      </c>
      <c r="C7" t="n">
        <v>0.004</v>
      </c>
    </row>
    <row r="8">
      <c r="A8" t="inlineStr">
        <is>
          <t>Revenue growth by forecast year</t>
        </is>
      </c>
      <c r="E8" t="n">
        <v>0.02</v>
      </c>
      <c r="F8" t="n">
        <v>0.02</v>
      </c>
      <c r="G8" t="n">
        <v>0.02</v>
      </c>
      <c r="H8" t="n">
        <v>0.02</v>
      </c>
    </row>
    <row r="9">
      <c r="A9" t="inlineStr">
        <is>
          <t>Gross margin</t>
        </is>
      </c>
      <c r="C9" t="n">
        <v>0.2324</v>
      </c>
    </row>
    <row r="10">
      <c r="A10" t="inlineStr">
        <is>
          <t>SG&amp;A, % of revenue</t>
        </is>
      </c>
      <c r="C10" t="n">
        <v>0.1943</v>
      </c>
    </row>
    <row r="11">
      <c r="A11" t="inlineStr">
        <is>
          <t>Other operating expenses, % of revenue</t>
        </is>
      </c>
      <c r="C11" t="n">
        <v>0.0123</v>
      </c>
    </row>
    <row r="12">
      <c r="A12" t="inlineStr">
        <is>
          <t>Depreciation and amortization, % of revenue</t>
        </is>
      </c>
      <c r="C12" t="n">
        <v>0.0199</v>
      </c>
    </row>
    <row r="13">
      <c r="A13" t="inlineStr">
        <is>
          <t>Capital expenditures, % of revenue</t>
        </is>
      </c>
      <c r="C13" t="n">
        <v>0.0169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9.1</v>
      </c>
    </row>
    <row r="16">
      <c r="A16" t="inlineStr">
        <is>
          <t>Days inventory outstanding (on cost of revenue)</t>
        </is>
      </c>
      <c r="C16" t="n">
        <v>59.1</v>
      </c>
    </row>
    <row r="17">
      <c r="A17" t="inlineStr">
        <is>
          <t>Days payables outstanding (on cost of revenue)</t>
        </is>
      </c>
      <c r="C17" t="n">
        <v>53.6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47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BBY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8767</v>
      </c>
      <c r="D6" t="n">
        <v>9438</v>
      </c>
      <c r="E6" t="n">
        <v>9672</v>
      </c>
      <c r="F6">
        <f>Annual!C6-C6-D6-E6</f>
        <v/>
      </c>
      <c r="G6" t="n">
        <v>8936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6718</v>
      </c>
      <c r="D7" t="n">
        <v>7244</v>
      </c>
      <c r="E7" t="n">
        <v>7424</v>
      </c>
      <c r="F7">
        <f>Annual!C7-C7-D7-E7</f>
        <v/>
      </c>
      <c r="G7" t="n">
        <v>6834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1721</v>
      </c>
      <c r="D9" t="n">
        <v>1829</v>
      </c>
      <c r="E9" t="n">
        <v>1884</v>
      </c>
      <c r="F9">
        <f>Annual!C9-C9-D9-E9</f>
        <v/>
      </c>
      <c r="G9" t="n">
        <v>1741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219</v>
      </c>
      <c r="D11" t="n">
        <v>251</v>
      </c>
      <c r="E11" t="n">
        <v>198</v>
      </c>
      <c r="F11">
        <f>Annual!C11-C11-D11-E11</f>
        <v/>
      </c>
      <c r="G11" t="n">
        <v>370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</t>
        </is>
      </c>
      <c r="C12" t="n">
        <v>12</v>
      </c>
      <c r="D12" t="n">
        <v>12</v>
      </c>
      <c r="E12" t="n">
        <v>12</v>
      </c>
      <c r="F12">
        <f>Annual!C12-C12-D12-E12</f>
        <v/>
      </c>
      <c r="G12" t="n">
        <v>11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222</v>
      </c>
      <c r="D14" t="n">
        <v>253</v>
      </c>
      <c r="E14" t="n">
        <v>205</v>
      </c>
      <c r="F14">
        <f>Annual!C14-C14-D14-E14</f>
        <v/>
      </c>
      <c r="G14" t="n">
        <v>378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19</v>
      </c>
      <c r="D15" t="n">
        <v>68</v>
      </c>
      <c r="E15" t="n">
        <v>64</v>
      </c>
      <c r="F15">
        <f>Annual!C15-C15-D15-E15</f>
        <v/>
      </c>
      <c r="G15" t="n">
        <v>102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202</v>
      </c>
      <c r="D17" t="n">
        <v>186</v>
      </c>
      <c r="E17" t="n">
        <v>140</v>
      </c>
      <c r="F17">
        <f>Annual!C17-C17-D17-E17</f>
        <v/>
      </c>
      <c r="G17" t="n">
        <v>276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1749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906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5598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8740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1987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790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0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14890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5118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0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11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7797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1158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0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3083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14890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375</v>
      </c>
    </row>
    <row r="64">
      <c r="A64" t="inlineStr">
        <is>
          <t>Capex YTD (reported)</t>
        </is>
      </c>
      <c r="G64" t="n">
        <v>-160</v>
      </c>
    </row>
    <row r="65">
      <c r="A65" t="inlineStr">
        <is>
          <t>CFI YTD (reported)</t>
        </is>
      </c>
      <c r="G65" t="n">
        <v>-160</v>
      </c>
    </row>
    <row r="66">
      <c r="A66" t="inlineStr">
        <is>
          <t>CFF YTD (reported)</t>
        </is>
      </c>
      <c r="G66" t="n">
        <v>-202</v>
      </c>
    </row>
    <row r="67">
      <c r="A67" t="inlineStr">
        <is>
          <t>D&amp;A YTD (reported)</t>
        </is>
      </c>
      <c r="C67" t="n">
        <v>211</v>
      </c>
      <c r="D67" t="n">
        <v>422</v>
      </c>
      <c r="E67" t="n">
        <v>628</v>
      </c>
      <c r="G67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BBY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41691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32318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7623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1389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</t>
        </is>
      </c>
      <c r="C12" t="n">
        <v>47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41.7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1404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337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1069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1738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1043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5230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8504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1986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790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0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14670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4745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11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7679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1165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2964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14670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1962</v>
      </c>
    </row>
    <row r="64">
      <c r="A64" t="inlineStr">
        <is>
          <t>Capex YTD (reported)</t>
        </is>
      </c>
      <c r="C64" t="n">
        <v>-704</v>
      </c>
    </row>
    <row r="65">
      <c r="A65" t="inlineStr">
        <is>
          <t>CFI YTD (reported)</t>
        </is>
      </c>
      <c r="C65" t="n">
        <v>-730</v>
      </c>
    </row>
    <row r="66">
      <c r="A66" t="inlineStr">
        <is>
          <t>CFF YTD (reported)</t>
        </is>
      </c>
      <c r="C66" t="n">
        <v>-1083</v>
      </c>
    </row>
    <row r="67">
      <c r="A67" t="inlineStr">
        <is>
          <t>D&amp;A YTD (reported)</t>
        </is>
      </c>
      <c r="C67" t="n">
        <v>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BBY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2026-10-12T17:11:42Z</dcterms:modified>
</cp:coreProperties>
</file>