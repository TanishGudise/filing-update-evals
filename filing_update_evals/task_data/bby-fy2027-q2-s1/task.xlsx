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BEST BUY CO INC: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1</v>
      </c>
    </row>
    <row r="5">
      <c r="A5" t="inlineStr">
        <is>
          <t>Shares outstanding, latest 10-Q/10-K cover (millions)</t>
        </is>
      </c>
      <c r="C5" t="n">
        <v>210.767126</v>
      </c>
    </row>
    <row r="7">
      <c r="A7" t="inlineStr">
        <is>
          <t>Revenue growth, FY2027 quarters vs. same quarter of FY2026</t>
        </is>
      </c>
      <c r="C7" t="n">
        <v>0.004</v>
      </c>
    </row>
    <row r="8">
      <c r="A8" t="inlineStr">
        <is>
          <t>Revenue growth by forecast year</t>
        </is>
      </c>
      <c r="M8" t="n">
        <v>0.02</v>
      </c>
      <c r="N8" t="n">
        <v>0.02</v>
      </c>
      <c r="O8" t="n">
        <v>0.02</v>
      </c>
      <c r="P8" t="n">
        <v>0.02</v>
      </c>
    </row>
    <row r="9">
      <c r="A9" t="inlineStr">
        <is>
          <t>Gross margin</t>
        </is>
      </c>
      <c r="C9" t="n">
        <v>0.2324</v>
      </c>
    </row>
    <row r="10">
      <c r="A10" t="inlineStr">
        <is>
          <t>SG&amp;A, % of revenue</t>
        </is>
      </c>
      <c r="C10" t="n">
        <v>0.1943</v>
      </c>
    </row>
    <row r="11">
      <c r="A11" t="inlineStr">
        <is>
          <t>Other operating expenses, % of revenue</t>
        </is>
      </c>
      <c r="C11" t="n">
        <v>0.0123</v>
      </c>
    </row>
    <row r="12">
      <c r="A12" t="inlineStr">
        <is>
          <t>Depreciation and amortization, % of revenue</t>
        </is>
      </c>
      <c r="C12" t="n">
        <v>0.0199</v>
      </c>
    </row>
    <row r="13">
      <c r="A13" t="inlineStr">
        <is>
          <t>Capital expenditures, % of revenue</t>
        </is>
      </c>
      <c r="C13" t="n">
        <v>0.0169</v>
      </c>
    </row>
    <row r="14">
      <c r="A14" t="inlineStr">
        <is>
          <t>Tax rate</t>
        </is>
      </c>
      <c r="C14" t="n">
        <v>0.24</v>
      </c>
    </row>
    <row r="15">
      <c r="A15" t="inlineStr">
        <is>
          <t>Days sales outstanding (on revenue)</t>
        </is>
      </c>
      <c r="C15" t="n">
        <v>9.1</v>
      </c>
    </row>
    <row r="16">
      <c r="A16" t="inlineStr">
        <is>
          <t>Days inventory outstanding (on cost of revenue)</t>
        </is>
      </c>
      <c r="C16" t="n">
        <v>59.1</v>
      </c>
    </row>
    <row r="17">
      <c r="A17" t="inlineStr">
        <is>
          <t>Days payables outstanding (on cost of revenue)</t>
        </is>
      </c>
      <c r="C17" t="n">
        <v>53.6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 in millions)</t>
        </is>
      </c>
      <c r="C19" t="n">
        <v>47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BEST BUY CO INC: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8767</v>
      </c>
      <c r="D6" t="n">
        <v>9438</v>
      </c>
      <c r="E6" t="n">
        <v>9672</v>
      </c>
      <c r="F6">
        <f>G6-C6-D6-E6</f>
        <v/>
      </c>
      <c r="G6" t="n">
        <v>41691</v>
      </c>
      <c r="H6" t="n">
        <v>8936</v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6718</v>
      </c>
      <c r="D7" t="n">
        <v>7244</v>
      </c>
      <c r="E7" t="n">
        <v>7424</v>
      </c>
      <c r="F7">
        <f>G7-C7-D7-E7</f>
        <v/>
      </c>
      <c r="G7" t="n">
        <v>32318</v>
      </c>
      <c r="H7" t="n">
        <v>6834</v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1721</v>
      </c>
      <c r="D9" t="n">
        <v>1829</v>
      </c>
      <c r="E9" t="n">
        <v>1884</v>
      </c>
      <c r="F9">
        <f>G9-C9-D9-E9</f>
        <v/>
      </c>
      <c r="G9" t="n">
        <v>7623</v>
      </c>
      <c r="H9" t="n">
        <v>1741</v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219</v>
      </c>
      <c r="D11" t="n">
        <v>251</v>
      </c>
      <c r="E11" t="n">
        <v>198</v>
      </c>
      <c r="F11">
        <f>G11-C11-D11-E11</f>
        <v/>
      </c>
      <c r="G11" t="n">
        <v>1389</v>
      </c>
      <c r="H11" t="n">
        <v>370</v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12</v>
      </c>
      <c r="D12" t="n">
        <v>12</v>
      </c>
      <c r="E12" t="n">
        <v>12</v>
      </c>
      <c r="F12">
        <f>G12-C12-D12-E12</f>
        <v/>
      </c>
      <c r="G12" t="n">
        <v>47</v>
      </c>
      <c r="H12" t="n">
        <v>11</v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222</v>
      </c>
      <c r="D14" t="n">
        <v>253</v>
      </c>
      <c r="E14" t="n">
        <v>205</v>
      </c>
      <c r="F14">
        <f>G14-C14-D14-E14</f>
        <v/>
      </c>
      <c r="G14" t="n">
        <v>1404</v>
      </c>
      <c r="H14" t="n">
        <v>378</v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19</v>
      </c>
      <c r="D15" t="n">
        <v>68</v>
      </c>
      <c r="E15" t="n">
        <v>64</v>
      </c>
      <c r="F15">
        <f>G15-C15-D15-E15</f>
        <v/>
      </c>
      <c r="G15" t="n">
        <v>337</v>
      </c>
      <c r="H15" t="n">
        <v>102</v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202</v>
      </c>
      <c r="D17" t="n">
        <v>186</v>
      </c>
      <c r="E17" t="n">
        <v>140</v>
      </c>
      <c r="F17">
        <f>G17-C17-D17-E17</f>
        <v/>
      </c>
      <c r="G17" t="n">
        <v>1069</v>
      </c>
      <c r="H17" t="n">
        <v>276</v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BEST BUY CO INC: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1738</v>
      </c>
      <c r="H6" t="n">
        <v>1749</v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1043</v>
      </c>
      <c r="H7" t="n">
        <v>906</v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5230</v>
      </c>
      <c r="H8" t="n">
        <v>5598</v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8504</v>
      </c>
      <c r="H10" t="n">
        <v>8740</v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1986</v>
      </c>
      <c r="H11" t="n">
        <v>1987</v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790</v>
      </c>
      <c r="H12" t="n">
        <v>790</v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0</v>
      </c>
      <c r="H13" t="n">
        <v>0</v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14670</v>
      </c>
      <c r="H15" t="n">
        <v>14890</v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4745</v>
      </c>
      <c r="H16" t="n">
        <v>5118</v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0</v>
      </c>
      <c r="H17" t="n">
        <v>0</v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11</v>
      </c>
      <c r="H18" t="n">
        <v>11</v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7679</v>
      </c>
      <c r="H20" t="n">
        <v>7797</v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1165</v>
      </c>
      <c r="H21" t="n">
        <v>1158</v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 t="n">
        <v>0</v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2964</v>
      </c>
      <c r="H25" t="n">
        <v>3083</v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 t="n">
        <v>0</v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14670</v>
      </c>
      <c r="H28" t="n">
        <v>14890</v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BEST BUY CO INC: cash flow statement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1962</v>
      </c>
      <c r="H21" t="n">
        <v>375</v>
      </c>
    </row>
    <row r="22">
      <c r="A22" t="inlineStr">
        <is>
          <t>Capital expenditures, year to date (as reported)</t>
        </is>
      </c>
      <c r="G22" t="n">
        <v>-704</v>
      </c>
      <c r="H22" t="n">
        <v>-160</v>
      </c>
    </row>
    <row r="23">
      <c r="A23" t="inlineStr">
        <is>
          <t>Cash from investing activities, year to date (as reported)</t>
        </is>
      </c>
      <c r="G23" t="n">
        <v>-730</v>
      </c>
      <c r="H23" t="n">
        <v>-160</v>
      </c>
    </row>
    <row r="24">
      <c r="A24" t="inlineStr">
        <is>
          <t>Cash from financing activities, year to date (as reported)</t>
        </is>
      </c>
      <c r="G24" t="n">
        <v>-1083</v>
      </c>
      <c r="H24" t="n">
        <v>-202</v>
      </c>
    </row>
    <row r="25">
      <c r="A25" t="inlineStr">
        <is>
          <t>Depreciation and amortization, year to date (as reported)</t>
        </is>
      </c>
      <c r="C25" t="n">
        <v>211</v>
      </c>
      <c r="D25" t="n">
        <v>422</v>
      </c>
      <c r="E25" t="n">
        <v>628</v>
      </c>
      <c r="G25" t="n">
        <v>831</v>
      </c>
      <c r="H25" t="n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BEST BUY CO INC: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SUM(IS!D6:F6)+SUM(IS!H6:H6)</f>
        <v/>
      </c>
    </row>
    <row r="19">
      <c r="A19" t="inlineStr">
        <is>
          <t>EBITDA, last four reported quarters</t>
        </is>
      </c>
      <c r="C19">
        <f>SUM(IS!D19:F19)+SUM(IS!H19:H19)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BS!H6</f>
        <v/>
      </c>
    </row>
    <row r="28">
      <c r="A28" t="inlineStr">
        <is>
          <t>Short-term borrowings (latest reported balance sheet)</t>
        </is>
      </c>
      <c r="C28">
        <f>BS!H17</f>
        <v/>
      </c>
    </row>
    <row r="29">
      <c r="A29" t="inlineStr">
        <is>
          <t>Current portion of long-term debt (latest reported balance sheet)</t>
        </is>
      </c>
      <c r="C29">
        <f>BS!H18</f>
        <v/>
      </c>
    </row>
    <row r="30">
      <c r="A30" t="inlineStr">
        <is>
          <t>Long-term debt (latest reported balance sheet)</t>
        </is>
      </c>
      <c r="C30">
        <f>BS!H21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BS!H26+BS!H24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2026-10-12T02:09:10Z</dcterms:modified>
</cp:coreProperties>
</file>