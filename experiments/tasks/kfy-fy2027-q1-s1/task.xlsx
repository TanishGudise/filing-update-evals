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KORN FERRY: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A4" t="inlineStr">
        <is>
          <t>Last reported quarter of FY2027</t>
        </is>
      </c>
      <c r="C4" t="n">
        <v>0</v>
      </c>
    </row>
    <row r="5">
      <c r="A5" t="inlineStr">
        <is>
          <t>Shares outstanding, latest 10-Q/10-K cover (millions)</t>
        </is>
      </c>
      <c r="C5" t="n">
        <v>50.857</v>
      </c>
    </row>
    <row r="7">
      <c r="A7" t="inlineStr">
        <is>
          <t>Revenue growth, FY2027 quarters vs. same quarter of FY2026</t>
        </is>
      </c>
      <c r="C7" t="n">
        <v>0.064</v>
      </c>
    </row>
    <row r="8">
      <c r="A8" t="inlineStr">
        <is>
          <t>Revenue growth by forecast year</t>
        </is>
      </c>
      <c r="M8" t="n">
        <v>0.064</v>
      </c>
      <c r="N8" t="n">
        <v>0.054</v>
      </c>
      <c r="O8" t="n">
        <v>0.045</v>
      </c>
      <c r="P8" t="n">
        <v>0.035</v>
      </c>
    </row>
    <row r="9">
      <c r="A9" t="inlineStr">
        <is>
          <t>Gross margin</t>
        </is>
      </c>
      <c r="C9" t="n">
        <v>1</v>
      </c>
    </row>
    <row r="10">
      <c r="A10" t="inlineStr">
        <is>
          <t>SG&amp;A, % of revenue</t>
        </is>
      </c>
      <c r="C10" t="n">
        <v>0</v>
      </c>
    </row>
    <row r="11">
      <c r="A11" t="inlineStr">
        <is>
          <t>Other operating expenses, % of revenue</t>
        </is>
      </c>
      <c r="C11" t="n">
        <v>0.8712</v>
      </c>
    </row>
    <row r="12">
      <c r="A12" t="inlineStr">
        <is>
          <t>Depreciation and amortization, % of revenue</t>
        </is>
      </c>
      <c r="C12" t="n">
        <v>0.0336</v>
      </c>
    </row>
    <row r="13">
      <c r="A13" t="inlineStr">
        <is>
          <t>Capital expenditures, % of revenue</t>
        </is>
      </c>
      <c r="C13" t="n">
        <v>0.0306</v>
      </c>
    </row>
    <row r="14">
      <c r="A14" t="inlineStr">
        <is>
          <t>Tax rate</t>
        </is>
      </c>
      <c r="C14" t="n">
        <v>0.277</v>
      </c>
    </row>
    <row r="15">
      <c r="A15" t="inlineStr">
        <is>
          <t>Days sales outstanding (on revenue)</t>
        </is>
      </c>
      <c r="C15" t="n">
        <v>71.2</v>
      </c>
    </row>
    <row r="16">
      <c r="A16" t="inlineStr">
        <is>
          <t>Days inventory outstanding (on cost of revenue)</t>
        </is>
      </c>
      <c r="C16" t="n">
        <v>0</v>
      </c>
    </row>
    <row r="17">
      <c r="A17" t="inlineStr">
        <is>
          <t>Days payables outstanding (on cost of revenue)</t>
        </is>
      </c>
      <c r="C17" t="n">
        <v>0</v>
      </c>
    </row>
    <row r="18">
      <c r="A18" t="inlineStr">
        <is>
          <t>Shareholder payouts and other financing, % of net income</t>
        </is>
      </c>
      <c r="C18" t="n">
        <v>0.86</v>
      </c>
    </row>
    <row r="19">
      <c r="A19" t="inlineStr">
        <is>
          <t>Interest expense, net, per year ($ in millions)</t>
        </is>
      </c>
      <c r="C19" t="n">
        <v>19.998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2">
      <c r="A22" t="inlineStr">
        <is>
          <t>Other investing cash flow, per quarter ($ in millions)</t>
        </is>
      </c>
      <c r="C22" t="n">
        <v>0</v>
      </c>
    </row>
    <row r="23">
      <c r="A23" t="inlineStr">
        <is>
          <t>Exchange rate effect and other cash flow, per quarter ($ in millions)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KORN FERRY: income statement</t>
        </is>
      </c>
    </row>
    <row r="2">
      <c r="A2" t="inlineStr">
        <is>
          <t>$ in millions</t>
        </is>
      </c>
    </row>
    <row r="3">
      <c r="C3" t="inlineStr">
        <is>
          <t>Q1 FY2026</t>
        </is>
      </c>
      <c r="D3" t="inlineStr">
        <is>
          <t>Q2 FY2026</t>
        </is>
      </c>
      <c r="E3" t="inlineStr">
        <is>
          <t>Q3 FY2026</t>
        </is>
      </c>
      <c r="F3" t="inlineStr">
        <is>
          <t>Q4 FY2026</t>
        </is>
      </c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715.543</v>
      </c>
      <c r="D6" t="n">
        <v>729.8</v>
      </c>
      <c r="E6" t="n">
        <v>725.042</v>
      </c>
      <c r="F6">
        <f>G6-C6-D6-E6</f>
        <v/>
      </c>
      <c r="G6" t="n">
        <v>2938.641</v>
      </c>
      <c r="H6">
        <f>C6*(1+Inputs!$C$7)</f>
        <v/>
      </c>
      <c r="I6">
        <f>D6*(1+Inputs!$C$7)</f>
        <v/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0</v>
      </c>
      <c r="D7" t="n">
        <v>0</v>
      </c>
      <c r="E7" t="n">
        <v>0</v>
      </c>
      <c r="F7">
        <f>G7-C7-D7-E7</f>
        <v/>
      </c>
      <c r="G7" t="n">
        <v>0</v>
      </c>
      <c r="H7">
        <f>H6*(1-Inputs!$C$9)</f>
        <v/>
      </c>
      <c r="I7">
        <f>I6*(1-Inputs!$C$9)</f>
        <v/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0</v>
      </c>
      <c r="D9" t="n">
        <v>0</v>
      </c>
      <c r="E9" t="n">
        <v>0</v>
      </c>
      <c r="F9">
        <f>G9-C9-D9-E9</f>
        <v/>
      </c>
      <c r="G9" t="n">
        <v>0</v>
      </c>
      <c r="H9">
        <f>H6*Inputs!$C$10</f>
        <v/>
      </c>
      <c r="I9">
        <f>I6*Inputs!$C$10</f>
        <v/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H6*Inputs!$C$11</f>
        <v/>
      </c>
      <c r="I10">
        <f>I6*Inputs!$C$11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83.44799999999999</v>
      </c>
      <c r="D11" t="n">
        <v>98.755</v>
      </c>
      <c r="E11" t="n">
        <v>91.017</v>
      </c>
      <c r="F11">
        <f>G11-C11-D11-E11</f>
        <v/>
      </c>
      <c r="G11" t="n">
        <v>374.743</v>
      </c>
      <c r="H11">
        <f>H8-H9-H10</f>
        <v/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3.516</v>
      </c>
      <c r="D12" t="n">
        <v>5.763</v>
      </c>
      <c r="E12" t="n">
        <v>5.663</v>
      </c>
      <c r="F12">
        <f>G12-C12-D12-E12</f>
        <v/>
      </c>
      <c r="G12" t="n">
        <v>19.998</v>
      </c>
      <c r="H12">
        <f>Inputs!$C$19/4</f>
        <v/>
      </c>
      <c r="I12">
        <f>Inputs!$C$19/4</f>
        <v/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Inputs!$C$20</f>
        <v/>
      </c>
      <c r="I13">
        <f>Inputs!$C$20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92.684</v>
      </c>
      <c r="D14" t="n">
        <v>100.067</v>
      </c>
      <c r="E14" t="n">
        <v>92.822</v>
      </c>
      <c r="F14">
        <f>G14-C14-D14-E14</f>
        <v/>
      </c>
      <c r="G14" t="n">
        <v>388.45</v>
      </c>
      <c r="H14">
        <f>H11-H12+H13</f>
        <v/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25.25</v>
      </c>
      <c r="D15" t="n">
        <v>26.645</v>
      </c>
      <c r="E15" t="n">
        <v>26.683</v>
      </c>
      <c r="F15">
        <f>G15-C15-D15-E15</f>
        <v/>
      </c>
      <c r="G15" t="n">
        <v>107.63</v>
      </c>
      <c r="H15">
        <f>H14*Inputs!$C$14</f>
        <v/>
      </c>
      <c r="I15">
        <f>I14*Inputs!$C$14</f>
        <v/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Inputs!$C$21</f>
        <v/>
      </c>
      <c r="I16">
        <f>Inputs!$C$21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66.636</v>
      </c>
      <c r="D17" t="n">
        <v>72.399</v>
      </c>
      <c r="E17" t="n">
        <v>65.265</v>
      </c>
      <c r="F17">
        <f>G17-C17-D17-E17</f>
        <v/>
      </c>
      <c r="G17" t="n">
        <v>277.434</v>
      </c>
      <c r="H17">
        <f>H14-H15+H16</f>
        <v/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H6*Inputs!$C$12</f>
        <v/>
      </c>
      <c r="I18">
        <f>I6*Inputs!$C$12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KORN FERRY: balance sheet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1095.445</v>
      </c>
      <c r="H6">
        <f>CF!H17</f>
        <v/>
      </c>
      <c r="I6">
        <f>CF!I17</f>
        <v/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573.35</v>
      </c>
      <c r="H7">
        <f>IS!H6*Inputs!$C$15/91.25</f>
        <v/>
      </c>
      <c r="I7">
        <f>IS!I6*Inputs!$C$15/91.25</f>
        <v/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0</v>
      </c>
      <c r="H8">
        <f>IS!H7*Inputs!$C$16/91.25</f>
        <v/>
      </c>
      <c r="I8">
        <f>IS!I7*Inputs!$C$16/91.25</f>
        <v/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G9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1905.977</v>
      </c>
      <c r="H10">
        <f>H6+H7+H8+H9</f>
        <v/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191.531</v>
      </c>
      <c r="H11">
        <f>G11-CF!H10-IS!H18</f>
        <v/>
      </c>
      <c r="I11">
        <f>H11-CF!I10-IS!I18</f>
        <v/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950.636</v>
      </c>
      <c r="H12">
        <f>G12</f>
        <v/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45.858</v>
      </c>
      <c r="H13">
        <f>G13</f>
        <v/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G14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4064.776</v>
      </c>
      <c r="H15">
        <f>H10+H11+H12+H13+H14</f>
        <v/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49.682</v>
      </c>
      <c r="H16">
        <f>IS!H7*Inputs!$C$17/91.25</f>
        <v/>
      </c>
      <c r="I16">
        <f>IS!I7*Inputs!$C$17/91.25</f>
        <v/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0</v>
      </c>
      <c r="H17">
        <f>G17</f>
        <v/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0</v>
      </c>
      <c r="H18">
        <f>G18</f>
        <v/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G19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982.01</v>
      </c>
      <c r="H20">
        <f>H16+H17+H18+H19</f>
        <v/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398.565</v>
      </c>
      <c r="H21">
        <f>G21</f>
        <v/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G22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>
        <f>G24</f>
        <v/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1972.606</v>
      </c>
      <c r="H25">
        <f>G25+IS!H17+CF!H13</f>
        <v/>
      </c>
      <c r="I25">
        <f>H25+IS!I17+CF!I13</f>
        <v/>
      </c>
      <c r="J25">
        <f>I25+IS!J17+CF!J13</f>
        <v/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6.297</v>
      </c>
      <c r="H26">
        <f>G26</f>
        <v/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4064.776</v>
      </c>
      <c r="H28">
        <f>H20+H21+H22+H24+H25+H26</f>
        <v/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KORN FERRY: cash flow statement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BS!G7-BS!H7+BS!G8-BS!H8+BS!H16-BS!G16</f>
        <v/>
      </c>
      <c r="I8">
        <f>BS!H7-BS!I7+BS!H8-BS!I8+BS!I16-BS!H16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H6+H7+H8</f>
        <v/>
      </c>
      <c r="I9">
        <f>I6+I7+I8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-IS!H6*Inputs!$C$13</f>
        <v/>
      </c>
      <c r="I10">
        <f>-IS!I6*Inputs!$C$13</f>
        <v/>
      </c>
      <c r="J10">
        <f>-IS!J6*Inputs!$C$13</f>
        <v/>
      </c>
      <c r="K10">
        <f>-IS!K6*Inputs!$C$13</f>
        <v/>
      </c>
      <c r="L10">
        <f>SUM(H10:K10)</f>
        <v/>
      </c>
      <c r="M10">
        <f>-IS!M6*Inputs!$C$13</f>
        <v/>
      </c>
      <c r="N10">
        <f>-IS!N6*Inputs!$C$13</f>
        <v/>
      </c>
      <c r="O10">
        <f>-IS!O6*Inputs!$C$13</f>
        <v/>
      </c>
      <c r="P10">
        <f>-IS!P6*Inputs!$C$13</f>
        <v/>
      </c>
    </row>
    <row r="11">
      <c r="A11" t="inlineStr">
        <is>
          <t>Other investing activities</t>
        </is>
      </c>
      <c r="G11">
        <f>G12-G10</f>
        <v/>
      </c>
      <c r="H11">
        <f>Inputs!$C$22</f>
        <v/>
      </c>
      <c r="I11">
        <f>Inputs!$C$22</f>
        <v/>
      </c>
      <c r="J11">
        <f>Inputs!$C$22</f>
        <v/>
      </c>
      <c r="K11">
        <f>Inputs!$C$22</f>
        <v/>
      </c>
      <c r="L11">
        <f>SUM(H11:K11)</f>
        <v/>
      </c>
      <c r="M11">
        <f>Inputs!$C$22*4</f>
        <v/>
      </c>
      <c r="N11">
        <f>Inputs!$C$22*4</f>
        <v/>
      </c>
      <c r="O11">
        <f>Inputs!$C$22*4</f>
        <v/>
      </c>
      <c r="P11">
        <f>Inputs!$C$22*4</f>
        <v/>
      </c>
    </row>
    <row r="12">
      <c r="A12" t="inlineStr">
        <is>
          <t>Cash from investing activities</t>
        </is>
      </c>
      <c r="G12">
        <f>G23</f>
        <v/>
      </c>
      <c r="H12">
        <f>H10+H11</f>
        <v/>
      </c>
      <c r="I12">
        <f>I10+I11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-IS!H17*Inputs!$C$18</f>
        <v/>
      </c>
      <c r="I13">
        <f>-IS!I17*Inputs!$C$18</f>
        <v/>
      </c>
      <c r="J13">
        <f>-IS!J17*Inputs!$C$18</f>
        <v/>
      </c>
      <c r="K13">
        <f>-IS!K17*Inputs!$C$18</f>
        <v/>
      </c>
      <c r="L13">
        <f>SUM(H13:K13)</f>
        <v/>
      </c>
      <c r="M13">
        <f>-IS!M17*Inputs!$C$18</f>
        <v/>
      </c>
      <c r="N13">
        <f>-IS!N17*Inputs!$C$18</f>
        <v/>
      </c>
      <c r="O13">
        <f>-IS!O17*Inputs!$C$18</f>
        <v/>
      </c>
      <c r="P13">
        <f>-IS!P17*Inputs!$C$18</f>
        <v/>
      </c>
    </row>
    <row r="14">
      <c r="A14" t="inlineStr">
        <is>
          <t>Exchange rate effect, restricted cash and other</t>
        </is>
      </c>
      <c r="H14">
        <f>Inputs!$C$23</f>
        <v/>
      </c>
      <c r="I14">
        <f>Inputs!$C$23</f>
        <v/>
      </c>
      <c r="J14">
        <f>Inputs!$C$23</f>
        <v/>
      </c>
      <c r="K14">
        <f>Inputs!$C$23</f>
        <v/>
      </c>
      <c r="L14">
        <f>SUM(H14:K14)</f>
        <v/>
      </c>
      <c r="M14">
        <f>Inputs!$C$23*4</f>
        <v/>
      </c>
      <c r="N14">
        <f>Inputs!$C$23*4</f>
        <v/>
      </c>
      <c r="O14">
        <f>Inputs!$C$23*4</f>
        <v/>
      </c>
      <c r="P14">
        <f>Inputs!$C$23*4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414.192</v>
      </c>
    </row>
    <row r="22">
      <c r="A22" t="inlineStr">
        <is>
          <t>Capital expenditures, year to date (as reported)</t>
        </is>
      </c>
      <c r="G22" t="n">
        <v>-89.899</v>
      </c>
    </row>
    <row r="23">
      <c r="A23" t="inlineStr">
        <is>
          <t>Cash from investing activities, year to date (as reported)</t>
        </is>
      </c>
      <c r="G23" t="n">
        <v>-98.718</v>
      </c>
    </row>
    <row r="24">
      <c r="A24" t="inlineStr">
        <is>
          <t>Cash from financing activities, year to date (as reported)</t>
        </is>
      </c>
      <c r="G24" t="n">
        <v>-238.425</v>
      </c>
    </row>
    <row r="25">
      <c r="A25" t="inlineStr">
        <is>
          <t>Depreciation and amortization, year to date (as reported)</t>
        </is>
      </c>
      <c r="C25" t="n">
        <v>22.686</v>
      </c>
      <c r="D25" t="n">
        <v>54.259</v>
      </c>
      <c r="E25" t="n">
        <v>77.253</v>
      </c>
      <c r="G25" t="n">
        <v>98.84399999999999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KORN FERRY: unlevered DCF and valuation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1/(1+Inputs!$C$25)^M14</f>
        <v/>
      </c>
      <c r="N15">
        <f>1/(1+Inputs!$C$25)^N14</f>
        <v/>
      </c>
      <c r="O15">
        <f>1/(1+Inputs!$C$25)^O14</f>
        <v/>
      </c>
      <c r="P15">
        <f>1/(1+Inputs!$C$25)^P14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SUM(IS!C6:F6)</f>
        <v/>
      </c>
    </row>
    <row r="19">
      <c r="A19" t="inlineStr">
        <is>
          <t>EBITDA, last four reported quarters</t>
        </is>
      </c>
      <c r="C19">
        <f>SUM(IS!C19:F19)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1/(1+Inputs!$C$25)^C20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P13*(1+Inputs!$C$26)/(Inputs!$C$25-Inputs!$C$26)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BS!G6</f>
        <v/>
      </c>
    </row>
    <row r="28">
      <c r="A28" t="inlineStr">
        <is>
          <t>Short-term borrowings (latest reported balance sheet)</t>
        </is>
      </c>
      <c r="C28">
        <f>BS!G17</f>
        <v/>
      </c>
    </row>
    <row r="29">
      <c r="A29" t="inlineStr">
        <is>
          <t>Current portion of long-term debt (latest reported balance sheet)</t>
        </is>
      </c>
      <c r="C29">
        <f>BS!G18</f>
        <v/>
      </c>
    </row>
    <row r="30">
      <c r="A30" t="inlineStr">
        <is>
          <t>Long-term debt (latest reported balance sheet)</t>
        </is>
      </c>
      <c r="C30">
        <f>BS!G21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BS!G26+BS!G24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2026-10-14T03:51:18Z</dcterms:modified>
</cp:coreProperties>
</file>