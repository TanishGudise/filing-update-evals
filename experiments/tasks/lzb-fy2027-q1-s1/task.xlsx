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39.897378</v>
      </c>
    </row>
    <row r="7">
      <c r="A7" t="inlineStr">
        <is>
          <t>Revenue growth, FY2027 quarters vs. same quarter of FY2026</t>
        </is>
      </c>
      <c r="C7" t="n">
        <v>0.008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0.4368</v>
      </c>
    </row>
    <row r="10">
      <c r="A10" t="inlineStr">
        <is>
          <t>SG&amp;A, % of revenue</t>
        </is>
      </c>
      <c r="C10" t="n">
        <v>0.3746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0.0223</v>
      </c>
    </row>
    <row r="13">
      <c r="A13" t="inlineStr">
        <is>
          <t>Capital expenditures, % of revenue</t>
        </is>
      </c>
      <c r="C13" t="n">
        <v>0.0359</v>
      </c>
    </row>
    <row r="14">
      <c r="A14" t="inlineStr">
        <is>
          <t>Tax rate</t>
        </is>
      </c>
      <c r="C14" t="n">
        <v>0.259</v>
      </c>
    </row>
    <row r="15">
      <c r="A15" t="inlineStr">
        <is>
          <t>Days sales outstanding (on revenue)</t>
        </is>
      </c>
      <c r="C15" t="n">
        <v>22.5</v>
      </c>
    </row>
    <row r="16">
      <c r="A16" t="inlineStr">
        <is>
          <t>Days inventory outstanding (on cost of revenue)</t>
        </is>
      </c>
      <c r="C16" t="n">
        <v>67</v>
      </c>
    </row>
    <row r="17">
      <c r="A17" t="inlineStr">
        <is>
          <t>Days payables outstanding (on cost of revenue)</t>
        </is>
      </c>
      <c r="C17" t="n">
        <v>31.2</v>
      </c>
    </row>
    <row r="18">
      <c r="A18" t="inlineStr">
        <is>
          <t>Shareholder payouts and other financing, % of net income</t>
        </is>
      </c>
      <c r="C18" t="n">
        <v>0.89</v>
      </c>
    </row>
    <row r="19">
      <c r="A19" t="inlineStr">
        <is>
          <t>Interest expense, net, per year ($ in millions)</t>
        </is>
      </c>
      <c r="C19" t="n">
        <v>0.524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492.229</v>
      </c>
      <c r="D6" t="n">
        <v>522.48</v>
      </c>
      <c r="E6" t="n">
        <v>541.588</v>
      </c>
      <c r="F6">
        <f>G6-C6-D6-E6</f>
        <v/>
      </c>
      <c r="G6" t="n">
        <v>2126.635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283.032</v>
      </c>
      <c r="D7" t="n">
        <v>291.342</v>
      </c>
      <c r="E7" t="n">
        <v>308.077</v>
      </c>
      <c r="F7">
        <f>G7-C7-D7-E7</f>
        <v/>
      </c>
      <c r="G7" t="n">
        <v>1190.034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187.21</v>
      </c>
      <c r="D9" t="n">
        <v>194.959</v>
      </c>
      <c r="E9" t="n">
        <v>203.7</v>
      </c>
      <c r="F9">
        <f>G9-C9-D9-E9</f>
        <v/>
      </c>
      <c r="G9" t="n">
        <v>787.427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21.987</v>
      </c>
      <c r="D11" t="n">
        <v>36.179</v>
      </c>
      <c r="E11" t="n">
        <v>29.811</v>
      </c>
      <c r="F11">
        <f>G11-C11-D11-E11</f>
        <v/>
      </c>
      <c r="G11" t="n">
        <v>129.207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0.12</v>
      </c>
      <c r="D12" t="n">
        <v>0.11</v>
      </c>
      <c r="E12" t="n">
        <v>0.159</v>
      </c>
      <c r="F12">
        <f>G12-C12-D12-E12</f>
        <v/>
      </c>
      <c r="G12" t="n">
        <v>0.524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24.39</v>
      </c>
      <c r="D14" t="n">
        <v>39.564</v>
      </c>
      <c r="E14" t="n">
        <v>31.751</v>
      </c>
      <c r="F14">
        <f>G14-C14-D14-E14</f>
        <v/>
      </c>
      <c r="G14" t="n">
        <v>138.805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6.093</v>
      </c>
      <c r="D15" t="n">
        <v>10.574</v>
      </c>
      <c r="E15" t="n">
        <v>9.951000000000001</v>
      </c>
      <c r="F15">
        <f>G15-C15-D15-E15</f>
        <v/>
      </c>
      <c r="G15" t="n">
        <v>35.894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18.204</v>
      </c>
      <c r="D17" t="n">
        <v>28.858</v>
      </c>
      <c r="E17" t="n">
        <v>21.65</v>
      </c>
      <c r="F17">
        <f>G17-C17-D17-E17</f>
        <v/>
      </c>
      <c r="G17" t="n">
        <v>101.985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303.213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131.039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218.445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773.914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356.717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243.3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77.58199999999999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2042.335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101.875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429.895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0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1049.997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12.677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2042.335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-IS!H6*Inputs!$C$13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Inputs!$C$22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-IS!H17*Inputs!$C$18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Inputs!$C$23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204.106</v>
      </c>
    </row>
    <row r="22">
      <c r="A22" t="inlineStr">
        <is>
          <t>Capital expenditures, year to date (as reported)</t>
        </is>
      </c>
      <c r="G22" t="n">
        <v>-76.306</v>
      </c>
    </row>
    <row r="23">
      <c r="A23" t="inlineStr">
        <is>
          <t>Cash from investing activities, year to date (as reported)</t>
        </is>
      </c>
      <c r="G23" t="n">
        <v>-138.608</v>
      </c>
    </row>
    <row r="24">
      <c r="A24" t="inlineStr">
        <is>
          <t>Cash from financing activities, year to date (as reported)</t>
        </is>
      </c>
      <c r="G24" t="n">
        <v>-91.146</v>
      </c>
    </row>
    <row r="25">
      <c r="A25" t="inlineStr">
        <is>
          <t>Depreciation and amortization, year to date (as reported)</t>
        </is>
      </c>
      <c r="C25" t="n">
        <v>11.329</v>
      </c>
      <c r="D25" t="n">
        <v>23.099</v>
      </c>
      <c r="E25" t="n">
        <v>35.624</v>
      </c>
      <c r="G25" t="n">
        <v>47.44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2026-10-14T03:48:35Z</dcterms:modified>
</cp:coreProperties>
</file>