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  <sheet name="Scr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METHODE ELECTRONICS INC: model inputs</t>
        </is>
      </c>
    </row>
    <row r="2">
      <c r="A2" t="inlineStr">
        <is>
          <t>$ in millions unless noted; rates as decimals</t>
        </is>
      </c>
    </row>
    <row r="3"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35.471806</v>
      </c>
    </row>
    <row r="7">
      <c r="A7" t="inlineStr">
        <is>
          <t>Revenue growth, FY2027 quarters vs. same quarter of FY2026</t>
        </is>
      </c>
      <c r="C7" t="n">
        <v>-0.028</v>
      </c>
    </row>
    <row r="8">
      <c r="A8" t="inlineStr">
        <is>
          <t>Revenue growth by forecast year</t>
        </is>
      </c>
      <c r="M8" t="n">
        <v>0.02</v>
      </c>
      <c r="N8" t="n">
        <v>0.02</v>
      </c>
      <c r="O8" t="n">
        <v>0.02</v>
      </c>
      <c r="P8" t="n">
        <v>0.02</v>
      </c>
    </row>
    <row r="9">
      <c r="A9" t="inlineStr">
        <is>
          <t>Gross margin</t>
        </is>
      </c>
      <c r="C9" t="n">
        <v>0.187</v>
      </c>
    </row>
    <row r="10">
      <c r="A10" t="inlineStr">
        <is>
          <t>SG&amp;A, % of revenue</t>
        </is>
      </c>
      <c r="C10" t="n">
        <v>0.1626</v>
      </c>
    </row>
    <row r="11">
      <c r="A11" t="inlineStr">
        <is>
          <t>Other operating expenses, % of revenue</t>
        </is>
      </c>
      <c r="C11" t="n">
        <v>0.0238</v>
      </c>
    </row>
    <row r="12">
      <c r="A12" t="inlineStr">
        <is>
          <t>Depreciation and amortization, % of revenue</t>
        </is>
      </c>
      <c r="C12" t="n">
        <v>0.0577</v>
      </c>
    </row>
    <row r="13">
      <c r="A13" t="inlineStr">
        <is>
          <t>Capital expenditures, % of revenue</t>
        </is>
      </c>
      <c r="C13" t="n">
        <v>0.022</v>
      </c>
    </row>
    <row r="14">
      <c r="A14" t="inlineStr">
        <is>
          <t>Tax rate</t>
        </is>
      </c>
      <c r="C14" t="n">
        <v>0.24</v>
      </c>
    </row>
    <row r="15">
      <c r="A15" t="inlineStr">
        <is>
          <t>Days sales outstanding (on revenue)</t>
        </is>
      </c>
      <c r="C15" t="n">
        <v>92.09999999999999</v>
      </c>
    </row>
    <row r="16">
      <c r="A16" t="inlineStr">
        <is>
          <t>Days inventory outstanding (on cost of revenue)</t>
        </is>
      </c>
      <c r="C16" t="n">
        <v>79.8</v>
      </c>
    </row>
    <row r="17">
      <c r="A17" t="inlineStr">
        <is>
          <t>Days payables outstanding (on cost of revenue)</t>
        </is>
      </c>
      <c r="C17" t="n">
        <v>59.9</v>
      </c>
    </row>
    <row r="18">
      <c r="A18" t="inlineStr">
        <is>
          <t>Shareholder payouts and other financing, % of net income</t>
        </is>
      </c>
      <c r="C18" t="n">
        <v>0.5</v>
      </c>
    </row>
    <row r="19">
      <c r="A19" t="inlineStr">
        <is>
          <t>Interest expense, net, per year ($ in millions)</t>
        </is>
      </c>
      <c r="C19" t="n">
        <v>23.3</v>
      </c>
    </row>
    <row r="20">
      <c r="A20" t="inlineStr">
        <is>
          <t>Other non-operating income, per quarter ($ in millions)</t>
        </is>
      </c>
      <c r="C20" t="n">
        <v>0</v>
      </c>
    </row>
    <row r="21">
      <c r="A21" t="inlineStr">
        <is>
          <t>Other items after tax, per quarter ($ in millions)</t>
        </is>
      </c>
      <c r="C21" t="n">
        <v>0</v>
      </c>
    </row>
    <row r="22">
      <c r="A22" t="inlineStr">
        <is>
          <t>Other investing cash flow, per quarter ($ in millions)</t>
        </is>
      </c>
      <c r="C22" t="n">
        <v>0</v>
      </c>
    </row>
    <row r="23">
      <c r="A23" t="inlineStr">
        <is>
          <t>Exchange rate effect and other cash flow, per quarter ($ in millions)</t>
        </is>
      </c>
      <c r="C23" t="n">
        <v>0</v>
      </c>
    </row>
    <row r="25">
      <c r="A25" t="inlineStr">
        <is>
          <t>WACC</t>
        </is>
      </c>
      <c r="C25" t="n">
        <v>0.09</v>
      </c>
    </row>
    <row r="26">
      <c r="A26" t="inlineStr">
        <is>
          <t>Terminal growth rate</t>
        </is>
      </c>
      <c r="C26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METHODE ELECTRONICS INC: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 t="n">
        <v>240.5</v>
      </c>
      <c r="D6" t="n">
        <v>246.9</v>
      </c>
      <c r="E6" t="n">
        <v>233.7</v>
      </c>
      <c r="F6">
        <f>G6-C6-D6-E6</f>
        <v/>
      </c>
      <c r="G6" t="n">
        <v>1019.2</v>
      </c>
      <c r="H6">
        <f>C6*(1+Inputs!$C$7)</f>
        <v/>
      </c>
      <c r="I6">
        <f>D6*(1+Inputs!$C$7)</f>
        <v/>
      </c>
      <c r="J6">
        <f>E6*(1+Inputs!$C$7)</f>
        <v/>
      </c>
      <c r="K6">
        <f>F6*(1+Inputs!$C$7)</f>
        <v/>
      </c>
      <c r="L6">
        <f>SUM(H6:K6)</f>
        <v/>
      </c>
      <c r="M6">
        <f>L6*(1+Inputs!M8)</f>
        <v/>
      </c>
      <c r="N6">
        <f>M6*(1+Inputs!N8)</f>
        <v/>
      </c>
      <c r="O6">
        <f>N6*(1+Inputs!O8)</f>
        <v/>
      </c>
      <c r="P6">
        <f>O6*(1+Inputs!P8)</f>
        <v/>
      </c>
    </row>
    <row r="7">
      <c r="A7" t="inlineStr">
        <is>
          <t>Cost of revenue</t>
        </is>
      </c>
      <c r="C7" t="n">
        <v>197</v>
      </c>
      <c r="D7" t="n">
        <v>199.2</v>
      </c>
      <c r="E7" t="n">
        <v>194.9</v>
      </c>
      <c r="F7">
        <f>G7-C7-D7-E7</f>
        <v/>
      </c>
      <c r="G7" t="n">
        <v>817</v>
      </c>
      <c r="H7">
        <f>H6*(1-Inputs!$C$9)</f>
        <v/>
      </c>
      <c r="I7">
        <f>I6*(1-Inputs!$C$9)</f>
        <v/>
      </c>
      <c r="J7">
        <f>J6*(1-Inputs!$C$9)</f>
        <v/>
      </c>
      <c r="K7">
        <f>K6*(1-Inputs!$C$9)</f>
        <v/>
      </c>
      <c r="L7">
        <f>SUM(H7:K7)</f>
        <v/>
      </c>
      <c r="M7">
        <f>M6*(1-Inputs!$C$9)</f>
        <v/>
      </c>
      <c r="N7">
        <f>N6*(1-Inputs!$C$9)</f>
        <v/>
      </c>
      <c r="O7">
        <f>O6*(1-Inputs!$C$9)</f>
        <v/>
      </c>
      <c r="P7">
        <f>P6*(1-Inputs!$C$9)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36.6</v>
      </c>
      <c r="D9" t="n">
        <v>39</v>
      </c>
      <c r="E9" t="n">
        <v>39.1</v>
      </c>
      <c r="F9">
        <f>G9-C9-D9-E9</f>
        <v/>
      </c>
      <c r="G9" t="n">
        <v>170.3</v>
      </c>
      <c r="H9">
        <f>H6*Inputs!$C$10</f>
        <v/>
      </c>
      <c r="I9">
        <f>I6*Inputs!$C$10</f>
        <v/>
      </c>
      <c r="J9">
        <f>J6*Inputs!$C$10</f>
        <v/>
      </c>
      <c r="K9">
        <f>K6*Inputs!$C$10</f>
        <v/>
      </c>
      <c r="L9">
        <f>SUM(H9:K9)</f>
        <v/>
      </c>
      <c r="M9">
        <f>M6*Inputs!$C$10</f>
        <v/>
      </c>
      <c r="N9">
        <f>N6*Inputs!$C$10</f>
        <v/>
      </c>
      <c r="O9">
        <f>O6*Inputs!$C$10</f>
        <v/>
      </c>
      <c r="P9">
        <f>P6*Inputs!$C$10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H6*Inputs!$C$11</f>
        <v/>
      </c>
      <c r="I10">
        <f>I6*Inputs!$C$11</f>
        <v/>
      </c>
      <c r="J10">
        <f>J6*Inputs!$C$11</f>
        <v/>
      </c>
      <c r="K10">
        <f>K6*Inputs!$C$11</f>
        <v/>
      </c>
      <c r="L10">
        <f>L8-L9-L11</f>
        <v/>
      </c>
      <c r="M10">
        <f>M6*Inputs!$C$11</f>
        <v/>
      </c>
      <c r="N10">
        <f>N6*Inputs!$C$11</f>
        <v/>
      </c>
      <c r="O10">
        <f>O6*Inputs!$C$11</f>
        <v/>
      </c>
      <c r="P10">
        <f>P6*Inputs!$C$11</f>
        <v/>
      </c>
    </row>
    <row r="11">
      <c r="A11" t="inlineStr">
        <is>
          <t>Operating income</t>
        </is>
      </c>
      <c r="C11" t="n">
        <v>1.1</v>
      </c>
      <c r="D11" t="n">
        <v>2.9</v>
      </c>
      <c r="E11" t="n">
        <v>-6.1</v>
      </c>
      <c r="F11">
        <f>G11-C11-D11-E11</f>
        <v/>
      </c>
      <c r="G11" t="n">
        <v>8.800000000000001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expense, net</t>
        </is>
      </c>
      <c r="C12" t="n">
        <v>5.9</v>
      </c>
      <c r="D12" t="n">
        <v>5.7</v>
      </c>
      <c r="E12" t="n">
        <v>5.4</v>
      </c>
      <c r="F12">
        <f>G12-C12-D12-E12</f>
        <v/>
      </c>
      <c r="G12" t="n">
        <v>23.3</v>
      </c>
      <c r="H12">
        <f>Inputs!$C$19/4</f>
        <v/>
      </c>
      <c r="I12">
        <f>Inputs!$C$19/4</f>
        <v/>
      </c>
      <c r="J12">
        <f>Inputs!$C$19/4</f>
        <v/>
      </c>
      <c r="K12">
        <f>Inputs!$C$19/4</f>
        <v/>
      </c>
      <c r="L12">
        <f>SUM(H12:K12)</f>
        <v/>
      </c>
      <c r="M12">
        <f>Inputs!$C$19</f>
        <v/>
      </c>
      <c r="N12">
        <f>Inputs!$C$19</f>
        <v/>
      </c>
      <c r="O12">
        <f>Inputs!$C$19</f>
        <v/>
      </c>
      <c r="P12">
        <f>Inputs!$C$19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Inputs!$C$20</f>
        <v/>
      </c>
      <c r="I13">
        <f>Inputs!$C$20</f>
        <v/>
      </c>
      <c r="J13">
        <f>Inputs!$C$20</f>
        <v/>
      </c>
      <c r="K13">
        <f>Inputs!$C$20</f>
        <v/>
      </c>
      <c r="L13">
        <f>L14-L11+L12</f>
        <v/>
      </c>
      <c r="M13">
        <f>Inputs!$C$20*4</f>
        <v/>
      </c>
      <c r="N13">
        <f>Inputs!$C$20*4</f>
        <v/>
      </c>
      <c r="O13">
        <f>Inputs!$C$20*4</f>
        <v/>
      </c>
      <c r="P13">
        <f>Inputs!$C$20*4</f>
        <v/>
      </c>
    </row>
    <row r="14">
      <c r="A14" t="inlineStr">
        <is>
          <t>Income before income taxes</t>
        </is>
      </c>
      <c r="C14" t="n">
        <v>-6.1</v>
      </c>
      <c r="D14" t="n">
        <v>-4.2</v>
      </c>
      <c r="E14" t="n">
        <v>-13.1</v>
      </c>
      <c r="F14">
        <f>G14-C14-D14-E14</f>
        <v/>
      </c>
      <c r="G14" t="n">
        <v>-10.7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4.2</v>
      </c>
      <c r="D15" t="n">
        <v>5.7</v>
      </c>
      <c r="E15" t="n">
        <v>2.8</v>
      </c>
      <c r="F15">
        <f>G15-C15-D15-E15</f>
        <v/>
      </c>
      <c r="G15" t="n">
        <v>25</v>
      </c>
      <c r="H15">
        <f>H14*Inputs!$C$14</f>
        <v/>
      </c>
      <c r="I15">
        <f>I14*Inputs!$C$14</f>
        <v/>
      </c>
      <c r="J15">
        <f>J14*Inputs!$C$14</f>
        <v/>
      </c>
      <c r="K15">
        <f>K14*Inputs!$C$14</f>
        <v/>
      </c>
      <c r="L15">
        <f>SUM(H15:K15)</f>
        <v/>
      </c>
      <c r="M15">
        <f>M14*Inputs!$C$14</f>
        <v/>
      </c>
      <c r="N15">
        <f>N14*Inputs!$C$14</f>
        <v/>
      </c>
      <c r="O15">
        <f>O14*Inputs!$C$14</f>
        <v/>
      </c>
      <c r="P15">
        <f>P14*Inputs!$C$14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Inputs!$C$21</f>
        <v/>
      </c>
      <c r="I16">
        <f>Inputs!$C$21</f>
        <v/>
      </c>
      <c r="J16">
        <f>Inputs!$C$21</f>
        <v/>
      </c>
      <c r="K16">
        <f>Inputs!$C$21</f>
        <v/>
      </c>
      <c r="L16">
        <f>L17-(L14-L15)</f>
        <v/>
      </c>
      <c r="M16">
        <f>Inputs!$C$21*4</f>
        <v/>
      </c>
      <c r="N16">
        <f>Inputs!$C$21*4</f>
        <v/>
      </c>
      <c r="O16">
        <f>Inputs!$C$21*4</f>
        <v/>
      </c>
      <c r="P16">
        <f>Inputs!$C$21*4</f>
        <v/>
      </c>
    </row>
    <row r="17">
      <c r="A17" t="inlineStr">
        <is>
          <t>Net income attributable to the company</t>
        </is>
      </c>
      <c r="C17" t="n">
        <v>-10.3</v>
      </c>
      <c r="D17" t="n">
        <v>-9.9</v>
      </c>
      <c r="E17" t="n">
        <v>-15.9</v>
      </c>
      <c r="F17">
        <f>G17-C17-D17-E17</f>
        <v/>
      </c>
      <c r="G17" t="n">
        <v>-35.7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H6*Inputs!$C$12</f>
        <v/>
      </c>
      <c r="I18">
        <f>I6*Inputs!$C$12</f>
        <v/>
      </c>
      <c r="J18">
        <f>J6*Inputs!$C$12</f>
        <v/>
      </c>
      <c r="K18">
        <f>K6*Inputs!$C$12</f>
        <v/>
      </c>
      <c r="L18">
        <f>SUM(H18:K18)</f>
        <v/>
      </c>
      <c r="M18">
        <f>M6*Inputs!$C$12</f>
        <v/>
      </c>
      <c r="N18">
        <f>N6*Inputs!$C$12</f>
        <v/>
      </c>
      <c r="O18">
        <f>O6*Inputs!$C$12</f>
        <v/>
      </c>
      <c r="P18">
        <f>P6*Inputs!$C$12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METHODE ELECTRONICS INC: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139.6</v>
      </c>
      <c r="H6">
        <f>CF!H17</f>
        <v/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257.3</v>
      </c>
      <c r="H7">
        <f>IS!H6*Inputs!$C$15/91.25</f>
        <v/>
      </c>
      <c r="I7">
        <f>IS!I6*Inputs!$C$15/91.25</f>
        <v/>
      </c>
      <c r="J7">
        <f>IS!J6*Inputs!$C$15/91.25</f>
        <v/>
      </c>
      <c r="K7">
        <f>IS!K6*Inputs!$C$15/91.25</f>
        <v/>
      </c>
      <c r="M7">
        <f>IS!M6*Inputs!$C$15/365</f>
        <v/>
      </c>
      <c r="N7">
        <f>IS!N6*Inputs!$C$15/365</f>
        <v/>
      </c>
      <c r="O7">
        <f>IS!O6*Inputs!$C$15/365</f>
        <v/>
      </c>
      <c r="P7">
        <f>IS!P6*Inputs!$C$15/365</f>
        <v/>
      </c>
    </row>
    <row r="8">
      <c r="A8" t="inlineStr">
        <is>
          <t>Inventories</t>
        </is>
      </c>
      <c r="G8" t="n">
        <v>178.7</v>
      </c>
      <c r="H8">
        <f>IS!H7*Inputs!$C$16/91.25</f>
        <v/>
      </c>
      <c r="I8">
        <f>IS!I7*Inputs!$C$16/91.25</f>
        <v/>
      </c>
      <c r="J8">
        <f>IS!J7*Inputs!$C$16/91.25</f>
        <v/>
      </c>
      <c r="K8">
        <f>IS!K7*Inputs!$C$16/91.25</f>
        <v/>
      </c>
      <c r="M8">
        <f>IS!M7*Inputs!$C$16/365</f>
        <v/>
      </c>
      <c r="N8">
        <f>IS!N7*Inputs!$C$16/365</f>
        <v/>
      </c>
      <c r="O8">
        <f>IS!O7*Inputs!$C$16/365</f>
        <v/>
      </c>
      <c r="P8">
        <f>IS!P7*Inputs!$C$16/365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600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209.3</v>
      </c>
      <c r="H11">
        <f>G11-CF!H10-IS!H18</f>
        <v/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174.9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Intangible assets, net</t>
        </is>
      </c>
      <c r="G13" t="n">
        <v>218.9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1306.1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134.1</v>
      </c>
      <c r="H16">
        <f>IS!H7*Inputs!$C$17/91.25</f>
        <v/>
      </c>
      <c r="I16">
        <f>IS!I7*Inputs!$C$17/91.25</f>
        <v/>
      </c>
      <c r="J16">
        <f>IS!J7*Inputs!$C$17/91.25</f>
        <v/>
      </c>
      <c r="K16">
        <f>IS!K7*Inputs!$C$17/91.25</f>
        <v/>
      </c>
      <c r="M16">
        <f>IS!M7*Inputs!$C$17/365</f>
        <v/>
      </c>
      <c r="N16">
        <f>IS!N7*Inputs!$C$17/365</f>
        <v/>
      </c>
      <c r="O16">
        <f>IS!O7*Inputs!$C$17/365</f>
        <v/>
      </c>
      <c r="P16">
        <f>IS!P7*Inputs!$C$17/365</f>
        <v/>
      </c>
    </row>
    <row r="17">
      <c r="A17" t="inlineStr">
        <is>
          <t>Short-term borrowings</t>
        </is>
      </c>
      <c r="G17" t="n">
        <v>0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Current portion of long-term debt</t>
        </is>
      </c>
      <c r="G18" t="n">
        <v>0.2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253.5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324.8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0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677.5</v>
      </c>
      <c r="H25">
        <f>G25+IS!H17+CF!H13</f>
        <v/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1306.1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METHODE ELECTRONICS INC: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BS!G7-BS!H7+BS!G8-BS!H8+BS!H16-BS!G16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-IS!H6*Inputs!$C$13</f>
        <v/>
      </c>
      <c r="I10">
        <f>-IS!I6*Inputs!$C$13</f>
        <v/>
      </c>
      <c r="J10">
        <f>-IS!J6*Inputs!$C$13</f>
        <v/>
      </c>
      <c r="K10">
        <f>-IS!K6*Inputs!$C$13</f>
        <v/>
      </c>
      <c r="L10">
        <f>SUM(H10:K10)</f>
        <v/>
      </c>
      <c r="M10">
        <f>-IS!M6*Inputs!$C$13</f>
        <v/>
      </c>
      <c r="N10">
        <f>-IS!N6*Inputs!$C$13</f>
        <v/>
      </c>
      <c r="O10">
        <f>-IS!O6*Inputs!$C$13</f>
        <v/>
      </c>
      <c r="P10">
        <f>-IS!P6*Inputs!$C$13</f>
        <v/>
      </c>
    </row>
    <row r="11">
      <c r="A11" t="inlineStr">
        <is>
          <t>Other investing activities</t>
        </is>
      </c>
      <c r="G11">
        <f>G12-G10</f>
        <v/>
      </c>
      <c r="H11">
        <f>Inputs!$C$22</f>
        <v/>
      </c>
      <c r="I11">
        <f>Inputs!$C$22</f>
        <v/>
      </c>
      <c r="J11">
        <f>Inputs!$C$22</f>
        <v/>
      </c>
      <c r="K11">
        <f>Inputs!$C$22</f>
        <v/>
      </c>
      <c r="L11">
        <f>SUM(H11:K11)</f>
        <v/>
      </c>
      <c r="M11">
        <f>Inputs!$C$22*4</f>
        <v/>
      </c>
      <c r="N11">
        <f>Inputs!$C$22*4</f>
        <v/>
      </c>
      <c r="O11">
        <f>Inputs!$C$22*4</f>
        <v/>
      </c>
      <c r="P11">
        <f>Inputs!$C$22*4</f>
        <v/>
      </c>
    </row>
    <row r="12">
      <c r="A12" t="inlineStr">
        <is>
          <t>Cash from investing activities</t>
        </is>
      </c>
      <c r="G12">
        <f>G23</f>
        <v/>
      </c>
      <c r="H12">
        <f>H10+H11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-IS!H17*Inputs!$C$18</f>
        <v/>
      </c>
      <c r="I13">
        <f>-IS!I17*Inputs!$C$18</f>
        <v/>
      </c>
      <c r="J13">
        <f>-IS!J17*Inputs!$C$18</f>
        <v/>
      </c>
      <c r="K13">
        <f>-IS!K17*Inputs!$C$18</f>
        <v/>
      </c>
      <c r="L13">
        <f>SUM(H13:K13)</f>
        <v/>
      </c>
      <c r="M13">
        <f>-IS!M17*Inputs!$C$18</f>
        <v/>
      </c>
      <c r="N13">
        <f>-IS!N17*Inputs!$C$18</f>
        <v/>
      </c>
      <c r="O13">
        <f>-IS!O17*Inputs!$C$18</f>
        <v/>
      </c>
      <c r="P13">
        <f>-IS!P17*Inputs!$C$18</f>
        <v/>
      </c>
    </row>
    <row r="14">
      <c r="A14" t="inlineStr">
        <is>
          <t>Exchange rate effect, restricted cash and other</t>
        </is>
      </c>
      <c r="H14">
        <f>Inputs!$C$23</f>
        <v/>
      </c>
      <c r="I14">
        <f>Inputs!$C$23</f>
        <v/>
      </c>
      <c r="J14">
        <f>Inputs!$C$23</f>
        <v/>
      </c>
      <c r="K14">
        <f>Inputs!$C$23</f>
        <v/>
      </c>
      <c r="L14">
        <f>SUM(H14:K14)</f>
        <v/>
      </c>
      <c r="M14">
        <f>Inputs!$C$23*4</f>
        <v/>
      </c>
      <c r="N14">
        <f>Inputs!$C$23*4</f>
        <v/>
      </c>
      <c r="O14">
        <f>Inputs!$C$23*4</f>
        <v/>
      </c>
      <c r="P14">
        <f>Inputs!$C$23*4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38</v>
      </c>
    </row>
    <row r="22">
      <c r="A22" t="inlineStr">
        <is>
          <t>Capital expenditures, year to date (as reported)</t>
        </is>
      </c>
      <c r="G22" t="n">
        <v>-22.4</v>
      </c>
    </row>
    <row r="23">
      <c r="A23" t="inlineStr">
        <is>
          <t>Cash from investing activities, year to date (as reported)</t>
        </is>
      </c>
      <c r="G23" t="n">
        <v>1.3</v>
      </c>
    </row>
    <row r="24">
      <c r="A24" t="inlineStr">
        <is>
          <t>Cash from financing activities, year to date (as reported)</t>
        </is>
      </c>
      <c r="G24" t="n">
        <v>-14.2</v>
      </c>
    </row>
    <row r="25">
      <c r="A25" t="inlineStr">
        <is>
          <t>Depreciation and amortization, year to date (as reported)</t>
        </is>
      </c>
      <c r="C25" t="n">
        <v>14.9</v>
      </c>
      <c r="D25" t="n">
        <v>29.9</v>
      </c>
      <c r="E25" t="n">
        <v>44.5</v>
      </c>
      <c r="G25" t="n">
        <v>58.8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METHODE ELECTRONICS INC: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-H7*Inputs!$C$14</f>
        <v/>
      </c>
      <c r="I8">
        <f>-I7*Inputs!$C$14</f>
        <v/>
      </c>
      <c r="J8">
        <f>-J7*Inputs!$C$14</f>
        <v/>
      </c>
      <c r="K8">
        <f>-K7*Inputs!$C$14</f>
        <v/>
      </c>
      <c r="M8">
        <f>-M7*Inputs!$C$14</f>
        <v/>
      </c>
      <c r="N8">
        <f>-N7*Inputs!$C$14</f>
        <v/>
      </c>
      <c r="O8">
        <f>-O7*Inputs!$C$14</f>
        <v/>
      </c>
      <c r="P8">
        <f>-P7*Inputs!$C$14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1/(1+Inputs!$C$25)^M14</f>
        <v/>
      </c>
      <c r="N15">
        <f>1/(1+Inputs!$C$25)^N14</f>
        <v/>
      </c>
      <c r="O15">
        <f>1/(1+Inputs!$C$25)^O14</f>
        <v/>
      </c>
      <c r="P15">
        <f>1/(1+Inputs!$C$25)^P14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1/(1+Inputs!$C$25)^C20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P13*(1+Inputs!$C$26)/(Inputs!$C$25-Inputs!$C$26)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2026-10-14T03:48:46Z</dcterms:modified>
</cp:coreProperties>
</file>