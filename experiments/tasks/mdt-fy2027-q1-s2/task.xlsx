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Jul 25, 2025</t>
        </is>
      </c>
      <c r="D4" t="inlineStr">
        <is>
          <t>Oct 24, 2025</t>
        </is>
      </c>
      <c r="E4" t="inlineStr">
        <is>
          <t>Jan 23, 2026</t>
        </is>
      </c>
      <c r="F4" t="inlineStr">
        <is>
          <t>Apr 24, 2026</t>
        </is>
      </c>
      <c r="G4" t="inlineStr">
        <is>
          <t>Apr 24, 2026</t>
        </is>
      </c>
      <c r="H4" t="inlineStr">
        <is>
          <t>Jul 31,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0</v>
      </c>
    </row>
    <row r="9">
      <c r="A9" t="inlineStr">
        <is>
          <t>Shares outstanding, latest 10-Q/10-K cover (thousands)</t>
        </is>
      </c>
      <c r="C9" t="n">
        <v>1280045.19</v>
      </c>
    </row>
    <row r="11">
      <c r="A11" t="inlineStr">
        <is>
          <t>Revenue growth, FY2027 quarters vs. same quarter of FY2026</t>
        </is>
      </c>
      <c r="C11" t="n">
        <v>0.08400000000000001</v>
      </c>
    </row>
    <row r="12">
      <c r="A12" t="inlineStr">
        <is>
          <t>Revenue growth by forecast year</t>
        </is>
      </c>
      <c r="M12" t="n">
        <v>0.08400000000000001</v>
      </c>
      <c r="N12" t="n">
        <v>0.07099999999999999</v>
      </c>
      <c r="O12" t="n">
        <v>0.059</v>
      </c>
      <c r="P12" t="n">
        <v>0.046</v>
      </c>
    </row>
    <row r="13">
      <c r="A13" t="inlineStr">
        <is>
          <t>Gross margin</t>
        </is>
      </c>
      <c r="C13" t="n">
        <v>0.6518</v>
      </c>
    </row>
    <row r="14">
      <c r="A14" t="inlineStr">
        <is>
          <t>SG&amp;A, % of revenue</t>
        </is>
      </c>
      <c r="C14" t="n">
        <v>0.3275</v>
      </c>
    </row>
    <row r="15">
      <c r="A15" t="inlineStr">
        <is>
          <t>Other operating expenses, % of revenue</t>
        </is>
      </c>
      <c r="C15" t="n">
        <v>0.1496</v>
      </c>
    </row>
    <row r="16">
      <c r="A16" t="inlineStr">
        <is>
          <t>Depreciation and amortization, % of revenue</t>
        </is>
      </c>
      <c r="C16" t="n">
        <v>0.0813</v>
      </c>
    </row>
    <row r="17">
      <c r="A17" t="inlineStr">
        <is>
          <t>Capital expenditures, % of revenue</t>
        </is>
      </c>
      <c r="C17" t="n">
        <v>0.0524</v>
      </c>
    </row>
    <row r="18">
      <c r="A18" t="inlineStr">
        <is>
          <t>Tax rate</t>
        </is>
      </c>
      <c r="C18" t="n">
        <v>0.212</v>
      </c>
    </row>
    <row r="19">
      <c r="A19" t="inlineStr">
        <is>
          <t>Days sales outstanding (on revenue)</t>
        </is>
      </c>
      <c r="C19" t="n">
        <v>66.7</v>
      </c>
    </row>
    <row r="20">
      <c r="A20" t="inlineStr">
        <is>
          <t>Days inventory outstanding (on cost of revenue)</t>
        </is>
      </c>
      <c r="C20" t="n">
        <v>170.8</v>
      </c>
    </row>
    <row r="21">
      <c r="A21" t="inlineStr">
        <is>
          <t>Days payables outstanding (on cost of revenue)</t>
        </is>
      </c>
      <c r="C21" t="n">
        <v>75.90000000000001</v>
      </c>
    </row>
    <row r="22">
      <c r="A22" t="inlineStr">
        <is>
          <t>Shareholder payouts and other financing, % of net income</t>
        </is>
      </c>
      <c r="C22" t="n">
        <v>0.99</v>
      </c>
    </row>
    <row r="23">
      <c r="A23" t="inlineStr">
        <is>
          <t>Interest expense, net, per year ($ in thousands)</t>
        </is>
      </c>
      <c r="C23" t="n">
        <v>715000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8578000</v>
      </c>
      <c r="D33" t="n">
        <v>8961000</v>
      </c>
      <c r="E33" t="n">
        <v>9017000</v>
      </c>
      <c r="F33">
        <f>G33-C33-D33-E33</f>
        <v/>
      </c>
      <c r="G33" t="n">
        <v>36364000</v>
      </c>
      <c r="H33">
        <f>C33*(1+$C$11)</f>
        <v/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products sold, excluding amortization of intangible assets</t>
        </is>
      </c>
      <c r="C34" t="n">
        <v>3001000</v>
      </c>
      <c r="D34" t="n">
        <v>3061000</v>
      </c>
      <c r="E34" t="n">
        <v>3261000</v>
      </c>
      <c r="F34">
        <f>G34-C34-D34-E34</f>
        <v/>
      </c>
      <c r="G34" t="n">
        <v>12721000</v>
      </c>
      <c r="H34">
        <f>H33*(1-$C$13)</f>
        <v/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general, and administrative expense</t>
        </is>
      </c>
      <c r="C36" t="n">
        <v>2806000</v>
      </c>
      <c r="D36" t="n">
        <v>2965000</v>
      </c>
      <c r="E36" t="n">
        <v>2956000</v>
      </c>
      <c r="F36">
        <f>G36-C36-D36-E36</f>
        <v/>
      </c>
      <c r="G36" t="n">
        <v>11784000</v>
      </c>
      <c r="H36">
        <f>H33*$C$14</f>
        <v/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H33*$C$15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profit</t>
        </is>
      </c>
      <c r="C38" t="n">
        <v>1445000</v>
      </c>
      <c r="D38" t="n">
        <v>1686000</v>
      </c>
      <c r="E38" t="n">
        <v>1464000</v>
      </c>
      <c r="F38">
        <f>G38-C38-D38-E38</f>
        <v/>
      </c>
      <c r="G38" t="n">
        <v>6467000</v>
      </c>
      <c r="H38">
        <f>H35-H36-H37</f>
        <v/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expense, net</t>
        </is>
      </c>
      <c r="C39" t="n">
        <v>176000</v>
      </c>
      <c r="D39" t="n">
        <v>181000</v>
      </c>
      <c r="E39" t="n">
        <v>181000</v>
      </c>
      <c r="F39">
        <f>G39-C39-D39-E39</f>
        <v/>
      </c>
      <c r="G39" t="n">
        <v>715000</v>
      </c>
      <c r="H39">
        <f>$C$23/4</f>
        <v/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$C$24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Income before income taxes</t>
        </is>
      </c>
      <c r="C41" t="n">
        <v>1302000</v>
      </c>
      <c r="D41" t="n">
        <v>1597000</v>
      </c>
      <c r="E41" t="n">
        <v>1404000</v>
      </c>
      <c r="F41">
        <f>G41-C41-D41-E41</f>
        <v/>
      </c>
      <c r="G41" t="n">
        <v>6136000</v>
      </c>
      <c r="H41">
        <f>H38-H39+H40</f>
        <v/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 provision</t>
        </is>
      </c>
      <c r="C42" t="n">
        <v>255000</v>
      </c>
      <c r="D42" t="n">
        <v>215000</v>
      </c>
      <c r="E42" t="n">
        <v>254000</v>
      </c>
      <c r="F42">
        <f>G42-C42-D42-E42</f>
        <v/>
      </c>
      <c r="G42" t="n">
        <v>1299000</v>
      </c>
      <c r="H42">
        <f>H41*$C$18</f>
        <v/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$C$25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income attributable to Medtronic</t>
        </is>
      </c>
      <c r="C44" t="n">
        <v>1040000</v>
      </c>
      <c r="D44" t="n">
        <v>1374000</v>
      </c>
      <c r="E44" t="n">
        <v>1143000</v>
      </c>
      <c r="F44">
        <f>G44-C44-D44-E44</f>
        <v/>
      </c>
      <c r="G44" t="n">
        <v>4801000</v>
      </c>
      <c r="H44">
        <f>H41-H42+H43</f>
        <v/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H33*$C$16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1949000</v>
      </c>
      <c r="H49">
        <f>H86</f>
        <v/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Accounts receivable, less allowances for credit losses of $203 and $190, respectively</t>
        </is>
      </c>
      <c r="G50" t="n">
        <v>6643000</v>
      </c>
      <c r="H50">
        <f>H33*$C$19/91.25</f>
        <v/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</t>
        </is>
      </c>
      <c r="G51" t="n">
        <v>5951000</v>
      </c>
      <c r="H51">
        <f>H34*$C$20/91.25</f>
        <v/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G52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24787000</v>
      </c>
      <c r="H53">
        <f>H49+H50+H51+H52</f>
        <v/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Property, plant, and equipment, net</t>
        </is>
      </c>
      <c r="G54" t="n">
        <v>7417000</v>
      </c>
      <c r="H54">
        <f>G54-H79-H45</f>
        <v/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42587000</v>
      </c>
      <c r="H55">
        <f>G55</f>
        <v/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Other intangible assets, net</t>
        </is>
      </c>
      <c r="G56" t="n">
        <v>10146000</v>
      </c>
      <c r="H56">
        <f>G56</f>
        <v/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G57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93028000</v>
      </c>
      <c r="H58">
        <f>H53+H54+H55+H56+H57</f>
        <v/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2644000</v>
      </c>
      <c r="H59">
        <f>H34*$C$21/91.25</f>
        <v/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0</v>
      </c>
      <c r="H60">
        <f>G60</f>
        <v/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debt obligations</t>
        </is>
      </c>
      <c r="G61" t="n">
        <v>1788000</v>
      </c>
      <c r="H61">
        <f>G61</f>
        <v/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G62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11658000</v>
      </c>
      <c r="H63">
        <f>H59+H60+H61+H62</f>
        <v/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26173000</v>
      </c>
      <c r="H64">
        <f>G64</f>
        <v/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G65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>
        <f>G67</f>
        <v/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shareholders’ equity</t>
        </is>
      </c>
      <c r="G68" t="n">
        <v>49463000</v>
      </c>
      <c r="H68">
        <f>G68+H44+H82</f>
        <v/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Noncontrolling interests</t>
        </is>
      </c>
      <c r="G69" t="n">
        <v>609000</v>
      </c>
      <c r="H69">
        <f>G69</f>
        <v/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equity</t>
        </is>
      </c>
      <c r="G71" t="n">
        <v>93028000</v>
      </c>
      <c r="H71">
        <f>H63+H64+H65+H67+H68+H69</f>
        <v/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G50-H50+G51-H51+H59-G59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H75+H76+H77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-H33*$C$17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$C$26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H79+H80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-H44*$C$22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$C$27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7330000</v>
      </c>
    </row>
    <row r="91">
      <c r="A91" t="inlineStr">
        <is>
          <t>Additions to property, plant, and equipment, year to date (as reported)</t>
        </is>
      </c>
      <c r="G91" t="n">
        <v>-1904000</v>
      </c>
    </row>
    <row r="92">
      <c r="A92" t="inlineStr">
        <is>
          <t>Net cash used in investing activities, year to date (as reported)</t>
        </is>
      </c>
      <c r="G92" t="n">
        <v>-2934000</v>
      </c>
    </row>
    <row r="93">
      <c r="A93" t="inlineStr">
        <is>
          <t>Net cash used in financing activities, year to date (as reported)</t>
        </is>
      </c>
      <c r="G93" t="n">
        <v>-4751000</v>
      </c>
    </row>
    <row r="94">
      <c r="A94" t="inlineStr">
        <is>
          <t>Depreciation and amortization, year to date (as reported)</t>
        </is>
      </c>
      <c r="C94" t="n">
        <v>748000</v>
      </c>
      <c r="D94" t="n">
        <v>1493000</v>
      </c>
      <c r="E94" t="n">
        <v>2242000</v>
      </c>
      <c r="G94" t="n">
        <v>2958000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SUM(C33:F33)</f>
        <v/>
      </c>
    </row>
    <row r="110">
      <c r="A110" t="inlineStr">
        <is>
          <t>EBITDA, last four reported quarters</t>
        </is>
      </c>
      <c r="C110">
        <f>SUM(C46:F46)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G49</f>
        <v/>
      </c>
    </row>
    <row r="119">
      <c r="A119" t="inlineStr">
        <is>
          <t>Short-term borrowings (latest reported balance sheet)</t>
        </is>
      </c>
      <c r="C119">
        <f>G60</f>
        <v/>
      </c>
    </row>
    <row r="120">
      <c r="A120" t="inlineStr">
        <is>
          <t>Current portion of long-term debt (latest reported balance sheet)</t>
        </is>
      </c>
      <c r="C120">
        <f>G61</f>
        <v/>
      </c>
    </row>
    <row r="121">
      <c r="A121" t="inlineStr">
        <is>
          <t>Long-term debt (latest reported balance sheet)</t>
        </is>
      </c>
      <c r="C121">
        <f>G64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G69+G67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2026-10-14T03:48:43Z</dcterms:modified>
</cp:coreProperties>
</file>