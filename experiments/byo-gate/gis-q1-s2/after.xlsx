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Aug 24, 2025</t>
        </is>
      </c>
      <c r="D4" t="inlineStr">
        <is>
          <t>Nov 23, 2025</t>
        </is>
      </c>
      <c r="E4" t="inlineStr">
        <is>
          <t>Feb 22, 2026</t>
        </is>
      </c>
      <c r="F4" t="inlineStr">
        <is>
          <t>May 31, 2026</t>
        </is>
      </c>
      <c r="G4" t="inlineStr">
        <is>
          <t>May 31, 2026</t>
        </is>
      </c>
      <c r="H4" t="inlineStr">
        <is>
          <t>Aug 30,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1</v>
      </c>
    </row>
    <row r="9">
      <c r="A9" t="inlineStr">
        <is>
          <t>Shares outstanding, latest 10-Q/10-K cover (thousands)</t>
        </is>
      </c>
      <c r="C9" t="n">
        <v>534687.144</v>
      </c>
    </row>
    <row r="11">
      <c r="A11" t="inlineStr">
        <is>
          <t>Revenue growth, FY2027 quarters vs. same quarter of FY2026</t>
        </is>
      </c>
      <c r="C11" t="n">
        <v>-0.054</v>
      </c>
    </row>
    <row r="12">
      <c r="A12" t="inlineStr">
        <is>
          <t>Revenue growth by forecast year</t>
        </is>
      </c>
      <c r="M12" t="n">
        <v>0.02</v>
      </c>
      <c r="N12" t="n">
        <v>0.02</v>
      </c>
      <c r="O12" t="n">
        <v>0.02</v>
      </c>
      <c r="P12" t="n">
        <v>0.02</v>
      </c>
    </row>
    <row r="13">
      <c r="A13" t="inlineStr">
        <is>
          <t>Gross margin</t>
        </is>
      </c>
      <c r="C13" t="n">
        <v>0.3436</v>
      </c>
    </row>
    <row r="14">
      <c r="A14" t="inlineStr">
        <is>
          <t>SG&amp;A, % of revenue</t>
        </is>
      </c>
      <c r="C14" t="n">
        <v>0.1851</v>
      </c>
    </row>
    <row r="15">
      <c r="A15" t="inlineStr">
        <is>
          <t>Other operating expenses, % of revenue</t>
        </is>
      </c>
      <c r="C15" t="n">
        <v>0.0159</v>
      </c>
    </row>
    <row r="16">
      <c r="A16" t="inlineStr">
        <is>
          <t>Depreciation and amortization, % of revenue</t>
        </is>
      </c>
      <c r="C16" t="n">
        <v>0.0301</v>
      </c>
    </row>
    <row r="17">
      <c r="A17" t="inlineStr">
        <is>
          <t>Capital expenditures, % of revenue</t>
        </is>
      </c>
      <c r="C17" t="n">
        <v>0.0293</v>
      </c>
    </row>
    <row r="18">
      <c r="A18" t="inlineStr">
        <is>
          <t>Tax rate</t>
        </is>
      </c>
      <c r="C18" t="n">
        <v>0.3</v>
      </c>
    </row>
    <row r="19">
      <c r="A19" t="inlineStr">
        <is>
          <t>Days sales outstanding (on revenue)</t>
        </is>
      </c>
      <c r="C19" t="n">
        <v>32.6</v>
      </c>
    </row>
    <row r="20">
      <c r="A20" t="inlineStr">
        <is>
          <t>Days inventory outstanding (on cost of revenue)</t>
        </is>
      </c>
      <c r="C20" t="n">
        <v>57.2</v>
      </c>
    </row>
    <row r="21">
      <c r="A21" t="inlineStr">
        <is>
          <t>Days payables outstanding (on cost of revenue)</t>
        </is>
      </c>
      <c r="C21" t="n">
        <v>111.3</v>
      </c>
    </row>
    <row r="22">
      <c r="A22" t="inlineStr">
        <is>
          <t>Shareholder payouts and other financing, % of net income</t>
        </is>
      </c>
      <c r="C22" t="n">
        <v>0.5</v>
      </c>
    </row>
    <row r="23">
      <c r="A23" t="inlineStr">
        <is>
          <t>Interest expense, net, per year ($ in thousands)</t>
        </is>
      </c>
      <c r="C23" t="n">
        <v>538600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4517500</v>
      </c>
      <c r="D33" t="n">
        <v>4860800</v>
      </c>
      <c r="E33" t="n">
        <v>4436700</v>
      </c>
      <c r="F33">
        <f>G33-C33-D33-E33</f>
        <v/>
      </c>
      <c r="G33" t="n">
        <v>18424600</v>
      </c>
      <c r="H33" t="n">
        <v>4389500</v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sales</t>
        </is>
      </c>
      <c r="C34" t="n">
        <v>2984700</v>
      </c>
      <c r="D34" t="n">
        <v>3168300</v>
      </c>
      <c r="E34" t="n">
        <v>3069800</v>
      </c>
      <c r="F34">
        <f>G34-C34-D34-E34</f>
        <v/>
      </c>
      <c r="G34" t="n">
        <v>12228900</v>
      </c>
      <c r="H34" t="n">
        <v>2902300</v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general, and administrative expenses</t>
        </is>
      </c>
      <c r="C36" t="n">
        <v>845100</v>
      </c>
      <c r="D36" t="n">
        <v>842400</v>
      </c>
      <c r="E36" t="n">
        <v>812900</v>
      </c>
      <c r="F36">
        <f>G36-C36-D36-E36</f>
        <v/>
      </c>
      <c r="G36" t="n">
        <v>3388500</v>
      </c>
      <c r="H36" t="n">
        <v>832200</v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H35-H36-H38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profit</t>
        </is>
      </c>
      <c r="C38" t="n">
        <v>1725800</v>
      </c>
      <c r="D38" t="n">
        <v>728000</v>
      </c>
      <c r="E38" t="n">
        <v>524600</v>
      </c>
      <c r="F38">
        <f>G38-C38-D38-E38</f>
        <v/>
      </c>
      <c r="G38" t="n">
        <v>885800</v>
      </c>
      <c r="H38" t="n">
        <v>633600</v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Interest, net</t>
        </is>
      </c>
      <c r="C39" t="n">
        <v>132800</v>
      </c>
      <c r="D39" t="n">
        <v>125900</v>
      </c>
      <c r="E39" t="n">
        <v>128400</v>
      </c>
      <c r="F39">
        <f>G39-C39-D39-E39</f>
        <v/>
      </c>
      <c r="G39" t="n">
        <v>538600</v>
      </c>
      <c r="H39" t="n">
        <v>142200</v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H41-H38+H39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Earnings before income taxes and after-tax earnings from joint ventures</t>
        </is>
      </c>
      <c r="C41" t="n">
        <v>1608100</v>
      </c>
      <c r="D41" t="n">
        <v>617800</v>
      </c>
      <c r="E41" t="n">
        <v>411500</v>
      </c>
      <c r="F41">
        <f>G41-C41-D41-E41</f>
        <v/>
      </c>
      <c r="G41" t="n">
        <v>405500</v>
      </c>
      <c r="H41" t="n">
        <v>502000</v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taxes</t>
        </is>
      </c>
      <c r="C42" t="n">
        <v>410900</v>
      </c>
      <c r="D42" t="n">
        <v>143900</v>
      </c>
      <c r="E42" t="n">
        <v>99900</v>
      </c>
      <c r="F42">
        <f>G42-C42-D42-E42</f>
        <v/>
      </c>
      <c r="G42" t="n">
        <v>414300</v>
      </c>
      <c r="H42" t="n">
        <v>122800</v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H44-(H41-H42)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earnings attributable to General Mills</t>
        </is>
      </c>
      <c r="C44" t="n">
        <v>1204200</v>
      </c>
      <c r="D44" t="n">
        <v>413000</v>
      </c>
      <c r="E44" t="n">
        <v>303100</v>
      </c>
      <c r="F44">
        <f>G44-C44-D44-E44</f>
        <v/>
      </c>
      <c r="G44" t="n">
        <v>-87600</v>
      </c>
      <c r="H44" t="n">
        <v>397000</v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H94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453800</v>
      </c>
      <c r="H49" t="n">
        <v>433100</v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Receivables</t>
        </is>
      </c>
      <c r="G50" t="n">
        <v>1646800</v>
      </c>
      <c r="H50" t="n">
        <v>1775200</v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</t>
        </is>
      </c>
      <c r="G51" t="n">
        <v>1917900</v>
      </c>
      <c r="H51" t="n">
        <v>2163200</v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H53-H49-H50-H51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4618300</v>
      </c>
      <c r="H53" t="n">
        <v>4884300</v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Land, buildings, and equipment</t>
        </is>
      </c>
      <c r="G54" t="n">
        <v>3443400</v>
      </c>
      <c r="H54" t="n">
        <v>3383400</v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14122400</v>
      </c>
      <c r="H55" t="n">
        <v>14113100</v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Other intangible assets</t>
        </is>
      </c>
      <c r="G56" t="n">
        <v>6716900</v>
      </c>
      <c r="H56" t="n">
        <v>6710200</v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H58-H53-H54-H55-H56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30016700</v>
      </c>
      <c r="H58" t="n">
        <v>30273400</v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3729500</v>
      </c>
      <c r="H59" t="n">
        <v>3715200</v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Notes payable</t>
        </is>
      </c>
      <c r="G60" t="n">
        <v>68400</v>
      </c>
      <c r="H60" t="n">
        <v>201600</v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1053600</v>
      </c>
      <c r="H61" t="n">
        <v>1046800</v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H63-H59-H60-H61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6774100</v>
      </c>
      <c r="H63" t="n">
        <v>6940000</v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12416000</v>
      </c>
      <c r="H64" t="n">
        <v>12367200</v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H71-H63-H64-H67-H68-H69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 t="n">
        <v>0</v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stockholders’ equity</t>
        </is>
      </c>
      <c r="G68" t="n">
        <v>7368400</v>
      </c>
      <c r="H68" t="n">
        <v>7450400</v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Noncontrolling interests</t>
        </is>
      </c>
      <c r="G69" t="n">
        <v>12200</v>
      </c>
      <c r="H69" t="n">
        <v>13400</v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equity</t>
        </is>
      </c>
      <c r="G71" t="n">
        <v>30016700</v>
      </c>
      <c r="H71" t="n">
        <v>30273400</v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H78-H75-H76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H90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H91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H81-H79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H92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H93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H49-G49-H78-H81-H82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2166200</v>
      </c>
      <c r="H90" t="n">
        <v>297800</v>
      </c>
    </row>
    <row r="91">
      <c r="A91" t="inlineStr">
        <is>
          <t>Purchases of land, buildings, and equipment, year to date (as reported)</t>
        </is>
      </c>
      <c r="G91" t="n">
        <v>-539900</v>
      </c>
      <c r="H91" t="n">
        <v>-90500</v>
      </c>
    </row>
    <row r="92">
      <c r="A92" t="inlineStr">
        <is>
          <t>Net cash (used) provided by investing activities, year to date (as reported)</t>
        </is>
      </c>
      <c r="G92" t="n">
        <v>1258200</v>
      </c>
      <c r="H92" t="n">
        <v>-115900</v>
      </c>
    </row>
    <row r="93">
      <c r="A93" t="inlineStr">
        <is>
          <t>Net cash used by financing activities, year to date (as reported)</t>
        </is>
      </c>
      <c r="G93" t="n">
        <v>-3315000</v>
      </c>
      <c r="H93" t="n">
        <v>-209600</v>
      </c>
    </row>
    <row r="94">
      <c r="A94" t="inlineStr">
        <is>
          <t>Depreciation and amortization, year to date (as reported)</t>
        </is>
      </c>
      <c r="C94" t="n">
        <v>138700</v>
      </c>
      <c r="D94" t="n">
        <v>276700</v>
      </c>
      <c r="E94" t="n">
        <v>416100</v>
      </c>
      <c r="G94" t="n">
        <v>555200</v>
      </c>
      <c r="H94" t="n">
        <v>139800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SUM(D33:F33)+SUM(H33:H33)</f>
        <v/>
      </c>
    </row>
    <row r="110">
      <c r="A110" t="inlineStr">
        <is>
          <t>EBITDA, last four reported quarters</t>
        </is>
      </c>
      <c r="C110">
        <f>SUM(D46:F46)+SUM(H46:H46)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H49</f>
        <v/>
      </c>
    </row>
    <row r="119">
      <c r="A119" t="inlineStr">
        <is>
          <t>Short-term borrowings (latest reported balance sheet)</t>
        </is>
      </c>
      <c r="C119">
        <f>H60</f>
        <v/>
      </c>
    </row>
    <row r="120">
      <c r="A120" t="inlineStr">
        <is>
          <t>Current portion of long-term debt (latest reported balance sheet)</t>
        </is>
      </c>
      <c r="C120">
        <f>H61</f>
        <v/>
      </c>
    </row>
    <row r="121">
      <c r="A121" t="inlineStr">
        <is>
          <t>Long-term debt (latest reported balance sheet)</t>
        </is>
      </c>
      <c r="C121">
        <f>H64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H69+H67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2026-10-14T07:15:08Z</dcterms:modified>
</cp:coreProperties>
</file>