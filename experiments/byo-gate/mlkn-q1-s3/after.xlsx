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(m)</t>
        </is>
      </c>
      <c r="C5" t="n">
        <v>68.799795</v>
      </c>
    </row>
    <row r="7">
      <c r="A7" t="inlineStr">
        <is>
          <t>Revenue growth, FY2027 quarters vs. same quarter of FY2026</t>
        </is>
      </c>
      <c r="C7" t="n">
        <v>0.047</v>
      </c>
    </row>
    <row r="8">
      <c r="A8" t="inlineStr">
        <is>
          <t>Revenue growth by forecast year</t>
        </is>
      </c>
      <c r="E8" t="n">
        <v>0.047</v>
      </c>
      <c r="F8" t="n">
        <v>0.04</v>
      </c>
      <c r="G8" t="n">
        <v>0.033</v>
      </c>
      <c r="H8" t="n">
        <v>0.026</v>
      </c>
    </row>
    <row r="9">
      <c r="A9" t="inlineStr">
        <is>
          <t>Gross margin</t>
        </is>
      </c>
      <c r="C9" t="n">
        <v>0.3874</v>
      </c>
    </row>
    <row r="10">
      <c r="A10" t="inlineStr">
        <is>
          <t>SG&amp;A, % of revenue</t>
        </is>
      </c>
      <c r="C10" t="n">
        <v>0.3078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0.0386</v>
      </c>
    </row>
    <row r="13">
      <c r="A13" t="inlineStr">
        <is>
          <t>Capital expenditures, % of revenue</t>
        </is>
      </c>
      <c r="C13" t="n">
        <v>0.0318</v>
      </c>
    </row>
    <row r="14">
      <c r="A14" t="inlineStr">
        <is>
          <t>Tax rate</t>
        </is>
      </c>
      <c r="C14" t="n">
        <v>0.253</v>
      </c>
    </row>
    <row r="15">
      <c r="A15" t="inlineStr">
        <is>
          <t>Days sales outstanding (on revenue)</t>
        </is>
      </c>
      <c r="C15" t="n">
        <v>34</v>
      </c>
    </row>
    <row r="16">
      <c r="A16" t="inlineStr">
        <is>
          <t>Days inventory outstanding (on cost of revenue)</t>
        </is>
      </c>
      <c r="C16" t="n">
        <v>75.8</v>
      </c>
    </row>
    <row r="17">
      <c r="A17" t="inlineStr">
        <is>
          <t>Days payables outstanding (on cost of revenue)</t>
        </is>
      </c>
      <c r="C17" t="n">
        <v>43.3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69.90000000000001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955.7</v>
      </c>
      <c r="D6" t="n">
        <v>955.2</v>
      </c>
      <c r="E6" t="n">
        <v>926.6</v>
      </c>
      <c r="F6">
        <f>Annual!C6-C6-D6-E6</f>
        <v/>
      </c>
      <c r="G6" t="n">
        <v>923.4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587.6</v>
      </c>
      <c r="D7" t="n">
        <v>583</v>
      </c>
      <c r="E7" t="n">
        <v>573.7</v>
      </c>
      <c r="F7">
        <f>Annual!C7-C7-D7-E7</f>
        <v/>
      </c>
      <c r="G7" t="n">
        <v>538.1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293.8</v>
      </c>
      <c r="D9" t="n">
        <v>298.3</v>
      </c>
      <c r="E9" t="n">
        <v>285.5</v>
      </c>
      <c r="F9">
        <f>Annual!C9-C9-D9-E9</f>
        <v/>
      </c>
      <c r="G9" t="n">
        <v>302.5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53.5</v>
      </c>
      <c r="D11" t="n">
        <v>48.5</v>
      </c>
      <c r="E11" t="n">
        <v>44.9</v>
      </c>
      <c r="F11">
        <f>Annual!C11-C11-D11-E11</f>
        <v/>
      </c>
      <c r="G11" t="n">
        <v>51.8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</t>
        </is>
      </c>
      <c r="C12" t="n">
        <v>18.4</v>
      </c>
      <c r="D12" t="n">
        <v>17.9</v>
      </c>
      <c r="E12" t="n">
        <v>17.2</v>
      </c>
      <c r="F12">
        <f>Annual!C12-C12-D12-E12</f>
        <v/>
      </c>
      <c r="G12" t="n">
        <v>16.2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28.7</v>
      </c>
      <c r="D14" t="n">
        <v>32.5</v>
      </c>
      <c r="E14" t="n">
        <v>29.2</v>
      </c>
      <c r="F14">
        <f>Annual!C14-C14-D14-E14</f>
        <v/>
      </c>
      <c r="G14" t="n">
        <v>35.2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7.6</v>
      </c>
      <c r="D15" t="n">
        <v>7.3</v>
      </c>
      <c r="E15" t="n">
        <v>5.6</v>
      </c>
      <c r="F15">
        <f>Annual!C15-C15-D15-E15</f>
        <v/>
      </c>
      <c r="G15" t="n">
        <v>7.6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20.2</v>
      </c>
      <c r="D17" t="n">
        <v>24.2</v>
      </c>
      <c r="E17" t="n">
        <v>23.5</v>
      </c>
      <c r="F17">
        <f>Annual!C17-C17-D17-E17</f>
        <v/>
      </c>
      <c r="G17" t="n">
        <v>26.6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G67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178.6</v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 t="n">
        <v>314.3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514.7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1140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515.4</v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 t="n">
        <v>1159.4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Amortizable intangibles</t>
        </is>
      </c>
      <c r="G29" t="n">
        <v>205.2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4002.9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253.5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0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ST borrowings &amp; current LTD</t>
        </is>
      </c>
      <c r="G34" t="n">
        <v>28.4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692.3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1270.4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G44-G36-G37-G40-G41-G42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 t="n">
        <v>63.8</v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 t="n">
        <v>1356.2</v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 t="n">
        <v>0</v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 t="n">
        <v>4002.9</v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G51-G48-G49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G63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G64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G54-G52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G65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G66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G22-Annual!C22-G51-G54-G55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G63" t="n">
        <v>49.1</v>
      </c>
    </row>
    <row r="64">
      <c r="A64" t="inlineStr">
        <is>
          <t>Capex YTD (reported)</t>
        </is>
      </c>
      <c r="G64" t="n">
        <v>-32.5</v>
      </c>
    </row>
    <row r="65">
      <c r="A65" t="inlineStr">
        <is>
          <t>CFI YTD (reported)</t>
        </is>
      </c>
      <c r="G65" t="n">
        <v>-32.1</v>
      </c>
    </row>
    <row r="66">
      <c r="A66" t="inlineStr">
        <is>
          <t>CFF YTD (reported)</t>
        </is>
      </c>
      <c r="G66" t="n">
        <v>-4.8</v>
      </c>
    </row>
    <row r="67">
      <c r="A67" t="inlineStr">
        <is>
          <t>D&amp;A YTD (reported)</t>
        </is>
      </c>
      <c r="C67" t="n">
        <v>35.4</v>
      </c>
      <c r="D67" t="n">
        <v>72</v>
      </c>
      <c r="E67" t="n">
        <v>110.1</v>
      </c>
      <c r="G67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3841.7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2352.9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1178.3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198.3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</t>
        </is>
      </c>
      <c r="C12" t="n">
        <v>69.90000000000001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3.8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128.2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32.4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91.5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167.7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357.4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488.4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1137.2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511.3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1161.3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Amortizable intangibles</t>
        </is>
      </c>
      <c r="C29" t="n">
        <v>214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4000.5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279.1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ST borrowings &amp; current LTD</t>
        </is>
      </c>
      <c r="C34" t="n">
        <v>25.1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721.1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1260.6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63.3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1342.6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4000.5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199.9</v>
      </c>
    </row>
    <row r="64">
      <c r="A64" t="inlineStr">
        <is>
          <t>Capex YTD (reported)</t>
        </is>
      </c>
      <c r="C64" t="n">
        <v>-122.3</v>
      </c>
    </row>
    <row r="65">
      <c r="A65" t="inlineStr">
        <is>
          <t>CFI YTD (reported)</t>
        </is>
      </c>
      <c r="C65" t="n">
        <v>-115.6</v>
      </c>
    </row>
    <row r="66">
      <c r="A66" t="inlineStr">
        <is>
          <t>CFF YTD (reported)</t>
        </is>
      </c>
      <c r="C66" t="n">
        <v>-117</v>
      </c>
    </row>
    <row r="67">
      <c r="A67" t="inlineStr">
        <is>
          <t>D&amp;A YTD (reported)</t>
        </is>
      </c>
      <c r="C67" t="n">
        <v>148.3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Quarterly!G42+Quarterly!G40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2026-10-14T07:15:09Z</dcterms:modified>
</cp:coreProperties>
</file>