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Revenue" sheetId="2" state="visible" r:id="rId2"/>
    <sheet name="IS" sheetId="3" state="visible" r:id="rId3"/>
    <sheet name="BS" sheetId="4" state="visible" r:id="rId4"/>
    <sheet name="CF" sheetId="5" state="visible" r:id="rId5"/>
    <sheet name="DCF" sheetId="6" state="visible" r:id="rId6"/>
    <sheet name="Scratc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GENTEX CORP: model inputs</t>
        </is>
      </c>
    </row>
    <row r="2">
      <c r="A2" t="inlineStr">
        <is>
          <t>$ in millions unless noted; rates as decimals</t>
        </is>
      </c>
    </row>
    <row r="4">
      <c r="A4" t="inlineStr">
        <is>
          <t>Last reported quarter of FY2026</t>
        </is>
      </c>
      <c r="C4" t="n">
        <v>1</v>
      </c>
    </row>
    <row r="5">
      <c r="A5" t="inlineStr">
        <is>
          <t>Shares outstanding, latest 10-Q/10-K cover (millions)</t>
        </is>
      </c>
      <c r="C5" t="n">
        <v>212.951848</v>
      </c>
    </row>
    <row r="7">
      <c r="A7" t="inlineStr">
        <is>
          <t>Gross margin</t>
        </is>
      </c>
      <c r="C7" t="n">
        <v>0.3431</v>
      </c>
    </row>
    <row r="8">
      <c r="A8" t="inlineStr">
        <is>
          <t>SG&amp;A, % of revenue</t>
        </is>
      </c>
      <c r="C8" t="n">
        <v>0.07480000000000001</v>
      </c>
    </row>
    <row r="9">
      <c r="A9" t="inlineStr">
        <is>
          <t>Other operating expenses, % of revenue</t>
        </is>
      </c>
      <c r="C9" t="n">
        <v>0.0847</v>
      </c>
    </row>
    <row r="10">
      <c r="A10" t="inlineStr">
        <is>
          <t>Depreciation and amortization, % of revenue</t>
        </is>
      </c>
      <c r="C10" t="n">
        <v>0.0411</v>
      </c>
    </row>
    <row r="11">
      <c r="A11" t="inlineStr">
        <is>
          <t>Capital expenditures, % of revenue</t>
        </is>
      </c>
      <c r="C11" t="n">
        <v>0.0509</v>
      </c>
    </row>
    <row r="12">
      <c r="A12" t="inlineStr">
        <is>
          <t>Tax rate</t>
        </is>
      </c>
      <c r="C12" t="n">
        <v>0.166</v>
      </c>
    </row>
    <row r="13">
      <c r="A13" t="inlineStr">
        <is>
          <t>Days sales outstanding (on revenue)</t>
        </is>
      </c>
      <c r="C13" t="n">
        <v>53.1</v>
      </c>
    </row>
    <row r="14">
      <c r="A14" t="inlineStr">
        <is>
          <t>Days inventory outstanding (on cost of revenue)</t>
        </is>
      </c>
      <c r="C14" t="n">
        <v>113</v>
      </c>
    </row>
    <row r="15">
      <c r="A15" t="inlineStr">
        <is>
          <t>Days payables outstanding (on cost of revenue)</t>
        </is>
      </c>
      <c r="C15" t="n">
        <v>54.5</v>
      </c>
    </row>
    <row r="16">
      <c r="A16" t="inlineStr">
        <is>
          <t>Shareholder payouts and other financing, % of net income</t>
        </is>
      </c>
      <c r="C16" t="n">
        <v>1</v>
      </c>
    </row>
    <row r="17">
      <c r="A17" t="inlineStr">
        <is>
          <t>Interest expense, net, per year ($ in millions)</t>
        </is>
      </c>
      <c r="C17" t="n">
        <v>0</v>
      </c>
    </row>
    <row r="18">
      <c r="A18" t="inlineStr">
        <is>
          <t>Other non-operating income, per quarter ($ in millions)</t>
        </is>
      </c>
      <c r="C18" t="n">
        <v>0</v>
      </c>
    </row>
    <row r="19">
      <c r="A19" t="inlineStr">
        <is>
          <t>Other items after tax, per quarter ($ in millions)</t>
        </is>
      </c>
      <c r="C19" t="n">
        <v>0</v>
      </c>
    </row>
    <row r="20">
      <c r="A20" t="inlineStr">
        <is>
          <t>Other investing cash flow, per quarter ($ in millions)</t>
        </is>
      </c>
      <c r="C20" t="n">
        <v>0</v>
      </c>
    </row>
    <row r="21">
      <c r="A21" t="inlineStr">
        <is>
          <t>Exchange rate effect and other cash flow, per quarter ($ in millions)</t>
        </is>
      </c>
      <c r="C21" t="n">
        <v>0</v>
      </c>
    </row>
    <row r="23">
      <c r="A23" t="inlineStr">
        <is>
          <t>WACC</t>
        </is>
      </c>
      <c r="C23" t="n">
        <v>0.09</v>
      </c>
    </row>
    <row r="24">
      <c r="A24" t="inlineStr">
        <is>
          <t>Terminal growth rate</t>
        </is>
      </c>
      <c r="C24" t="n">
        <v>0.025</v>
      </c>
    </row>
    <row r="26">
      <c r="A26" t="inlineStr">
        <is>
          <t>Revenue growth drivers by segment: see the Revenue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GENTEX CORP: revenue by segment</t>
        </is>
      </c>
    </row>
    <row r="2">
      <c r="A2" t="inlineStr">
        <is>
          <t>$ in millions</t>
        </is>
      </c>
    </row>
    <row r="3">
      <c r="C3" t="inlineStr">
        <is>
          <t>Q1 FY2025</t>
        </is>
      </c>
      <c r="D3" t="inlineStr">
        <is>
          <t>Q2 FY2025</t>
        </is>
      </c>
      <c r="E3" t="inlineStr">
        <is>
          <t>Q3 FY2025</t>
        </is>
      </c>
      <c r="F3" t="inlineStr">
        <is>
          <t>Q4 FY2025</t>
        </is>
      </c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Other</t>
        </is>
      </c>
      <c r="C6" t="n">
        <v>12.908831</v>
      </c>
      <c r="D6" t="n">
        <v>35.238587</v>
      </c>
      <c r="E6" t="n">
        <v>38.583513</v>
      </c>
      <c r="F6">
        <f>G6-C6-D6-E6</f>
        <v/>
      </c>
      <c r="G6" t="n">
        <v>127.065214</v>
      </c>
      <c r="H6" t="n">
        <v>42.766252</v>
      </c>
      <c r="I6">
        <f>D6*(1+L12)</f>
        <v/>
      </c>
      <c r="J6">
        <f>E6*(1+L12)</f>
        <v/>
      </c>
      <c r="K6">
        <f>F6*(1+L12)</f>
        <v/>
      </c>
      <c r="L6">
        <f>SUM(H6:K6)</f>
        <v/>
      </c>
      <c r="M6">
        <f>L6*(1+M12)</f>
        <v/>
      </c>
      <c r="N6">
        <f>M6*(1+N12)</f>
        <v/>
      </c>
      <c r="O6">
        <f>N6*(1+O12)</f>
        <v/>
      </c>
      <c r="P6">
        <f>O6*(1+P12)</f>
        <v/>
      </c>
    </row>
    <row r="7">
      <c r="A7" t="inlineStr">
        <is>
          <t>Automotive Products</t>
        </is>
      </c>
      <c r="C7" t="n">
        <v>563.8642589999999</v>
      </c>
      <c r="D7" t="n">
        <v>578.129026</v>
      </c>
      <c r="E7" t="n">
        <v>573.6601879999999</v>
      </c>
      <c r="F7">
        <f>G7-C7-D7-E7</f>
        <v/>
      </c>
      <c r="G7" t="n">
        <v>2255.904839</v>
      </c>
      <c r="H7" t="n">
        <v>580.805912</v>
      </c>
      <c r="I7">
        <f>D7*(1+L13)</f>
        <v/>
      </c>
      <c r="J7">
        <f>E7*(1+L13)</f>
        <v/>
      </c>
      <c r="K7">
        <f>F7*(1+L13)</f>
        <v/>
      </c>
      <c r="L7">
        <f>SUM(H7:K7)</f>
        <v/>
      </c>
      <c r="M7">
        <f>L7*(1+M13)</f>
        <v/>
      </c>
      <c r="N7">
        <f>M7*(1+N13)</f>
        <v/>
      </c>
      <c r="O7">
        <f>N7*(1+O13)</f>
        <v/>
      </c>
      <c r="P7">
        <f>O7*(1+P13)</f>
        <v/>
      </c>
    </row>
    <row r="8">
      <c r="A8" t="inlineStr">
        <is>
          <t>Premium Audio Products</t>
        </is>
      </c>
      <c r="C8" t="n">
        <v>0</v>
      </c>
      <c r="D8" t="n">
        <v>44.490597</v>
      </c>
      <c r="E8" t="n">
        <v>42.992354</v>
      </c>
      <c r="F8">
        <f>G8-C8-D8-E8</f>
        <v/>
      </c>
      <c r="G8" t="n">
        <v>151.298912</v>
      </c>
      <c r="H8" t="n">
        <v>51.870961</v>
      </c>
      <c r="I8">
        <f>D8*(1+L14)</f>
        <v/>
      </c>
      <c r="J8">
        <f>E8*(1+L14)</f>
        <v/>
      </c>
      <c r="K8">
        <f>F8*(1+L14)</f>
        <v/>
      </c>
      <c r="L8">
        <f>SUM(H8:K8)</f>
        <v/>
      </c>
      <c r="M8">
        <f>L8*(1+M14)</f>
        <v/>
      </c>
      <c r="N8">
        <f>M8*(1+N14)</f>
        <v/>
      </c>
      <c r="O8">
        <f>N8*(1+O14)</f>
        <v/>
      </c>
      <c r="P8">
        <f>O8*(1+P14)</f>
        <v/>
      </c>
    </row>
    <row r="9">
      <c r="A9" t="inlineStr">
        <is>
          <t>Total revenue</t>
        </is>
      </c>
      <c r="C9">
        <f>C6+C7+C8</f>
        <v/>
      </c>
      <c r="D9">
        <f>D6+D7+D8</f>
        <v/>
      </c>
      <c r="E9">
        <f>E6+E7+E8</f>
        <v/>
      </c>
      <c r="F9">
        <f>F6+F7+F8</f>
        <v/>
      </c>
      <c r="G9">
        <f>G6+G7+G8</f>
        <v/>
      </c>
      <c r="H9">
        <f>H6+H7+H8</f>
        <v/>
      </c>
      <c r="I9">
        <f>I6+I7+I8</f>
        <v/>
      </c>
      <c r="J9">
        <f>J6+J7+J8</f>
        <v/>
      </c>
      <c r="K9">
        <f>K6+K7+K8</f>
        <v/>
      </c>
      <c r="L9">
        <f>L6+L7+L8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1">
      <c r="A11" t="inlineStr">
        <is>
          <t>Growth drivers: FY2026 quarters vs. the same quarter of FY2025 (column L), and each forecast year</t>
        </is>
      </c>
    </row>
    <row r="12">
      <c r="A12" t="inlineStr">
        <is>
          <t>Growth: Other</t>
        </is>
      </c>
      <c r="L12" t="n">
        <v>1.615</v>
      </c>
      <c r="M12" t="n">
        <v>1.615</v>
      </c>
      <c r="N12" t="n">
        <v>1.373</v>
      </c>
      <c r="O12" t="n">
        <v>1.13</v>
      </c>
      <c r="P12" t="n">
        <v>0.888</v>
      </c>
    </row>
    <row r="13">
      <c r="A13" t="inlineStr">
        <is>
          <t>Growth: Automotive Products</t>
        </is>
      </c>
      <c r="L13" t="n">
        <v>-0.004</v>
      </c>
      <c r="M13" t="n">
        <v>0.02</v>
      </c>
      <c r="N13" t="n">
        <v>0.02</v>
      </c>
      <c r="O13" t="n">
        <v>0.02</v>
      </c>
      <c r="P13" t="n">
        <v>0.02</v>
      </c>
    </row>
    <row r="14">
      <c r="A14" t="inlineStr">
        <is>
          <t>Growth: Premium Audio Products</t>
        </is>
      </c>
      <c r="L14" t="n">
        <v>0.096</v>
      </c>
      <c r="M14" t="n">
        <v>0.096</v>
      </c>
      <c r="N14" t="n">
        <v>0.082</v>
      </c>
      <c r="O14" t="n">
        <v>0.067</v>
      </c>
      <c r="P14" t="n">
        <v>0.053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GENTEX CORP: income statement</t>
        </is>
      </c>
    </row>
    <row r="2">
      <c r="A2" t="inlineStr">
        <is>
          <t>$ in millions</t>
        </is>
      </c>
    </row>
    <row r="3">
      <c r="C3" t="inlineStr">
        <is>
          <t>Q1 FY2025</t>
        </is>
      </c>
      <c r="D3" t="inlineStr">
        <is>
          <t>Q2 FY2025</t>
        </is>
      </c>
      <c r="E3" t="inlineStr">
        <is>
          <t>Q3 FY2025</t>
        </is>
      </c>
      <c r="F3" t="inlineStr">
        <is>
          <t>Q4 FY2025</t>
        </is>
      </c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>
        <f>Revenue!C9</f>
        <v/>
      </c>
      <c r="D6">
        <f>Revenue!D9</f>
        <v/>
      </c>
      <c r="E6">
        <f>Revenue!E9</f>
        <v/>
      </c>
      <c r="F6">
        <f>Revenue!F9</f>
        <v/>
      </c>
      <c r="G6">
        <f>Revenue!G9</f>
        <v/>
      </c>
      <c r="H6">
        <f>Revenue!H9</f>
        <v/>
      </c>
      <c r="I6">
        <f>Revenue!I9</f>
        <v/>
      </c>
      <c r="J6">
        <f>Revenue!J9</f>
        <v/>
      </c>
      <c r="K6">
        <f>Revenue!K9</f>
        <v/>
      </c>
      <c r="L6">
        <f>Revenue!L9</f>
        <v/>
      </c>
      <c r="M6">
        <f>Revenue!M9</f>
        <v/>
      </c>
      <c r="N6">
        <f>Revenue!N9</f>
        <v/>
      </c>
      <c r="O6">
        <f>Revenue!O9</f>
        <v/>
      </c>
      <c r="P6">
        <f>Revenue!P9</f>
        <v/>
      </c>
    </row>
    <row r="7">
      <c r="A7" t="inlineStr">
        <is>
          <t>Cost of revenue</t>
        </is>
      </c>
      <c r="C7" t="n">
        <v>385.039503</v>
      </c>
      <c r="D7" t="n">
        <v>432.567307</v>
      </c>
      <c r="E7" t="n">
        <v>430.069318</v>
      </c>
      <c r="F7">
        <f>G7-C7-D7-E7</f>
        <v/>
      </c>
      <c r="G7" t="n">
        <v>1667.560025</v>
      </c>
      <c r="H7" t="n">
        <v>446.816212</v>
      </c>
      <c r="I7">
        <f>I6*(1-Inputs!$C$7)</f>
        <v/>
      </c>
      <c r="J7">
        <f>J6*(1-Inputs!$C$7)</f>
        <v/>
      </c>
      <c r="K7">
        <f>K6*(1-Inputs!$C$7)</f>
        <v/>
      </c>
      <c r="L7">
        <f>SUM(H7:K7)</f>
        <v/>
      </c>
      <c r="M7">
        <f>M6*(1-Inputs!$C$7)</f>
        <v/>
      </c>
      <c r="N7">
        <f>N6*(1-Inputs!$C$7)</f>
        <v/>
      </c>
      <c r="O7">
        <f>O6*(1-Inputs!$C$7)</f>
        <v/>
      </c>
      <c r="P7">
        <f>P6*(1-Inputs!$C$7)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29.933005</v>
      </c>
      <c r="D9" t="n">
        <v>48.515355</v>
      </c>
      <c r="E9" t="n">
        <v>49.686902</v>
      </c>
      <c r="F9">
        <f>G9-C9-D9-E9</f>
        <v/>
      </c>
      <c r="G9" t="n">
        <v>177.868692</v>
      </c>
      <c r="H9" t="n">
        <v>49.791834</v>
      </c>
      <c r="I9">
        <f>I6*Inputs!$C$8</f>
        <v/>
      </c>
      <c r="J9">
        <f>J6*Inputs!$C$8</f>
        <v/>
      </c>
      <c r="K9">
        <f>K6*Inputs!$C$8</f>
        <v/>
      </c>
      <c r="L9">
        <f>SUM(H9:K9)</f>
        <v/>
      </c>
      <c r="M9">
        <f>M6*Inputs!$C$8</f>
        <v/>
      </c>
      <c r="N9">
        <f>N6*Inputs!$C$8</f>
        <v/>
      </c>
      <c r="O9">
        <f>O6*Inputs!$C$8</f>
        <v/>
      </c>
      <c r="P9">
        <f>P6*Inputs!$C$8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H8-H9-H11</f>
        <v/>
      </c>
      <c r="I10">
        <f>I6*Inputs!$C$9</f>
        <v/>
      </c>
      <c r="J10">
        <f>J6*Inputs!$C$9</f>
        <v/>
      </c>
      <c r="K10">
        <f>K6*Inputs!$C$9</f>
        <v/>
      </c>
      <c r="L10">
        <f>L8-L9-L11</f>
        <v/>
      </c>
      <c r="M10">
        <f>M6*Inputs!$C$9</f>
        <v/>
      </c>
      <c r="N10">
        <f>N6*Inputs!$C$9</f>
        <v/>
      </c>
      <c r="O10">
        <f>O6*Inputs!$C$9</f>
        <v/>
      </c>
      <c r="P10">
        <f>P6*Inputs!$C$9</f>
        <v/>
      </c>
    </row>
    <row r="11">
      <c r="A11" t="inlineStr">
        <is>
          <t>Operating income</t>
        </is>
      </c>
      <c r="C11" t="n">
        <v>112.987106</v>
      </c>
      <c r="D11" t="n">
        <v>118.520135</v>
      </c>
      <c r="E11" t="n">
        <v>122.326938</v>
      </c>
      <c r="F11">
        <f>G11-C11-D11-E11</f>
        <v/>
      </c>
      <c r="G11" t="n">
        <v>473.935754</v>
      </c>
      <c r="H11" t="n">
        <v>123.659919</v>
      </c>
      <c r="I11">
        <f>I8-I9-I10</f>
        <v/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expense, net</t>
        </is>
      </c>
      <c r="C12" t="n">
        <v>0</v>
      </c>
      <c r="D12" t="n">
        <v>0</v>
      </c>
      <c r="E12" t="n">
        <v>0</v>
      </c>
      <c r="F12">
        <f>G12-C12-D12-E12</f>
        <v/>
      </c>
      <c r="G12" t="n">
        <v>0</v>
      </c>
      <c r="H12" t="n">
        <v>0</v>
      </c>
      <c r="I12">
        <f>Inputs!$C$17/4</f>
        <v/>
      </c>
      <c r="J12">
        <f>Inputs!$C$17/4</f>
        <v/>
      </c>
      <c r="K12">
        <f>Inputs!$C$17/4</f>
        <v/>
      </c>
      <c r="L12">
        <f>SUM(H12:K12)</f>
        <v/>
      </c>
      <c r="M12">
        <f>Inputs!$C$17</f>
        <v/>
      </c>
      <c r="N12">
        <f>Inputs!$C$17</f>
        <v/>
      </c>
      <c r="O12">
        <f>Inputs!$C$17</f>
        <v/>
      </c>
      <c r="P12">
        <f>Inputs!$C$17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H14-H11+H12</f>
        <v/>
      </c>
      <c r="I13">
        <f>Inputs!$C$18</f>
        <v/>
      </c>
      <c r="J13">
        <f>Inputs!$C$18</f>
        <v/>
      </c>
      <c r="K13">
        <f>Inputs!$C$18</f>
        <v/>
      </c>
      <c r="L13">
        <f>L14-L11+L12</f>
        <v/>
      </c>
      <c r="M13">
        <f>Inputs!$C$18*4</f>
        <v/>
      </c>
      <c r="N13">
        <f>Inputs!$C$18*4</f>
        <v/>
      </c>
      <c r="O13">
        <f>Inputs!$C$18*4</f>
        <v/>
      </c>
      <c r="P13">
        <f>Inputs!$C$18*4</f>
        <v/>
      </c>
    </row>
    <row r="14">
      <c r="A14" t="inlineStr">
        <is>
          <t>Income before income taxes</t>
        </is>
      </c>
      <c r="C14" t="n">
        <v>113.627582</v>
      </c>
      <c r="D14" t="n">
        <v>115.470139</v>
      </c>
      <c r="E14" t="n">
        <v>120.570708</v>
      </c>
      <c r="F14">
        <f>G14-C14-D14-E14</f>
        <v/>
      </c>
      <c r="G14" t="n">
        <v>461.062415</v>
      </c>
      <c r="H14" t="n">
        <v>118.047562</v>
      </c>
      <c r="I14">
        <f>I11-I12+I13</f>
        <v/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18.753537</v>
      </c>
      <c r="D15" t="n">
        <v>19.819689</v>
      </c>
      <c r="E15" t="n">
        <v>19.684004</v>
      </c>
      <c r="F15">
        <f>G15-C15-D15-E15</f>
        <v/>
      </c>
      <c r="G15" t="n">
        <v>76.38033799999999</v>
      </c>
      <c r="H15" t="n">
        <v>19.626503</v>
      </c>
      <c r="I15">
        <f>I14*Inputs!$C$12</f>
        <v/>
      </c>
      <c r="J15">
        <f>J14*Inputs!$C$12</f>
        <v/>
      </c>
      <c r="K15">
        <f>K14*Inputs!$C$12</f>
        <v/>
      </c>
      <c r="L15">
        <f>SUM(H15:K15)</f>
        <v/>
      </c>
      <c r="M15">
        <f>M14*Inputs!$C$12</f>
        <v/>
      </c>
      <c r="N15">
        <f>N14*Inputs!$C$12</f>
        <v/>
      </c>
      <c r="O15">
        <f>O14*Inputs!$C$12</f>
        <v/>
      </c>
      <c r="P15">
        <f>P14*Inputs!$C$12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H17-(H14-H15)</f>
        <v/>
      </c>
      <c r="I16">
        <f>Inputs!$C$19</f>
        <v/>
      </c>
      <c r="J16">
        <f>Inputs!$C$19</f>
        <v/>
      </c>
      <c r="K16">
        <f>Inputs!$C$19</f>
        <v/>
      </c>
      <c r="L16">
        <f>L17-(L14-L15)</f>
        <v/>
      </c>
      <c r="M16">
        <f>Inputs!$C$19*4</f>
        <v/>
      </c>
      <c r="N16">
        <f>Inputs!$C$19*4</f>
        <v/>
      </c>
      <c r="O16">
        <f>Inputs!$C$19*4</f>
        <v/>
      </c>
      <c r="P16">
        <f>Inputs!$C$19*4</f>
        <v/>
      </c>
    </row>
    <row r="17">
      <c r="A17" t="inlineStr">
        <is>
          <t>Net income attributable to the company</t>
        </is>
      </c>
      <c r="C17" t="n">
        <v>94.874045</v>
      </c>
      <c r="D17" t="n">
        <v>96.039584</v>
      </c>
      <c r="E17" t="n">
        <v>100.96791</v>
      </c>
      <c r="F17">
        <f>G17-C17-D17-E17</f>
        <v/>
      </c>
      <c r="G17" t="n">
        <v>384.841367</v>
      </c>
      <c r="H17" t="n">
        <v>98.45514300000001</v>
      </c>
      <c r="I17">
        <f>I14-I15+I16</f>
        <v/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CF!C25</f>
        <v/>
      </c>
      <c r="D18">
        <f>CF!D25-CF!C25</f>
        <v/>
      </c>
      <c r="E18">
        <f>CF!E25-CF!D25</f>
        <v/>
      </c>
      <c r="F18">
        <f>CF!G25-CF!E25</f>
        <v/>
      </c>
      <c r="G18">
        <f>CF!G25</f>
        <v/>
      </c>
      <c r="H18">
        <f>CF!H25</f>
        <v/>
      </c>
      <c r="I18">
        <f>I6*Inputs!$C$10</f>
        <v/>
      </c>
      <c r="J18">
        <f>J6*Inputs!$C$10</f>
        <v/>
      </c>
      <c r="K18">
        <f>K6*Inputs!$C$10</f>
        <v/>
      </c>
      <c r="L18">
        <f>SUM(H18:K18)</f>
        <v/>
      </c>
      <c r="M18">
        <f>M6*Inputs!$C$10</f>
        <v/>
      </c>
      <c r="N18">
        <f>N6*Inputs!$C$10</f>
        <v/>
      </c>
      <c r="O18">
        <f>O6*Inputs!$C$10</f>
        <v/>
      </c>
      <c r="P18">
        <f>P6*Inputs!$C$10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GENTEX CORP: balance sheet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145.645715</v>
      </c>
      <c r="H6" t="n">
        <v>164.761633</v>
      </c>
      <c r="I6">
        <f>CF!I17</f>
        <v/>
      </c>
      <c r="J6">
        <f>CF!J17</f>
        <v/>
      </c>
      <c r="K6">
        <f>CF!K17</f>
        <v/>
      </c>
      <c r="M6">
        <f>CF!M17</f>
        <v/>
      </c>
      <c r="N6">
        <f>CF!N17</f>
        <v/>
      </c>
      <c r="O6">
        <f>CF!O17</f>
        <v/>
      </c>
      <c r="P6">
        <f>CF!P17</f>
        <v/>
      </c>
    </row>
    <row r="7">
      <c r="A7" t="inlineStr">
        <is>
          <t>Accounts receivable, net</t>
        </is>
      </c>
      <c r="G7" t="n">
        <v>368.517569</v>
      </c>
      <c r="H7" t="n">
        <v>419.468925</v>
      </c>
      <c r="I7">
        <f>IS!I6*Inputs!$C$13/91.25</f>
        <v/>
      </c>
      <c r="J7">
        <f>IS!J6*Inputs!$C$13/91.25</f>
        <v/>
      </c>
      <c r="K7">
        <f>IS!K6*Inputs!$C$13/91.25</f>
        <v/>
      </c>
      <c r="M7">
        <f>IS!M6*Inputs!$C$13/365</f>
        <v/>
      </c>
      <c r="N7">
        <f>IS!N6*Inputs!$C$13/365</f>
        <v/>
      </c>
      <c r="O7">
        <f>IS!O6*Inputs!$C$13/365</f>
        <v/>
      </c>
      <c r="P7">
        <f>IS!P6*Inputs!$C$13/365</f>
        <v/>
      </c>
    </row>
    <row r="8">
      <c r="A8" t="inlineStr">
        <is>
          <t>Inventories</t>
        </is>
      </c>
      <c r="G8" t="n">
        <v>516.253617</v>
      </c>
      <c r="H8" t="n">
        <v>523.509606</v>
      </c>
      <c r="I8">
        <f>IS!I7*Inputs!$C$14/91.25</f>
        <v/>
      </c>
      <c r="J8">
        <f>IS!J7*Inputs!$C$14/91.25</f>
        <v/>
      </c>
      <c r="K8">
        <f>IS!K7*Inputs!$C$14/91.25</f>
        <v/>
      </c>
      <c r="M8">
        <f>IS!M7*Inputs!$C$14/365</f>
        <v/>
      </c>
      <c r="N8">
        <f>IS!N7*Inputs!$C$14/365</f>
        <v/>
      </c>
      <c r="O8">
        <f>IS!O7*Inputs!$C$14/365</f>
        <v/>
      </c>
      <c r="P8">
        <f>IS!P7*Inputs!$C$14/365</f>
        <v/>
      </c>
    </row>
    <row r="9">
      <c r="A9" t="inlineStr">
        <is>
          <t>Other current assets</t>
        </is>
      </c>
      <c r="G9">
        <f>G10-G6-G7-G8</f>
        <v/>
      </c>
      <c r="H9">
        <f>H10-H6-H7-H8</f>
        <v/>
      </c>
      <c r="I9">
        <f>H9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1128.434468</v>
      </c>
      <c r="H10" t="n">
        <v>1208.193001</v>
      </c>
      <c r="I10">
        <f>I6+I7+I8+I9</f>
        <v/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790.935378</v>
      </c>
      <c r="H11" t="n">
        <v>786.333204</v>
      </c>
      <c r="I11">
        <f>H11-CF!I10-IS!I18</f>
        <v/>
      </c>
      <c r="J11">
        <f>I11-CF!J10-IS!J18</f>
        <v/>
      </c>
      <c r="K11">
        <f>J11-CF!K10-IS!K18</f>
        <v/>
      </c>
      <c r="M11">
        <f>K11-CF!M10-IS!M18</f>
        <v/>
      </c>
      <c r="N11">
        <f>M11-CF!N10-IS!N18</f>
        <v/>
      </c>
      <c r="O11">
        <f>N11-CF!O10-IS!O18</f>
        <v/>
      </c>
      <c r="P11">
        <f>O11-CF!P10-IS!P18</f>
        <v/>
      </c>
    </row>
    <row r="12">
      <c r="A12" t="inlineStr">
        <is>
          <t>Goodwill</t>
        </is>
      </c>
      <c r="G12" t="n">
        <v>357.211919</v>
      </c>
      <c r="H12" t="n">
        <v>360.924307</v>
      </c>
      <c r="I12">
        <f>H12</f>
        <v/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189.341387</v>
      </c>
      <c r="H13" t="n">
        <v>185.598287</v>
      </c>
      <c r="I13">
        <f>H13</f>
        <v/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H15-H10-H11-H12-H13</f>
        <v/>
      </c>
      <c r="I14">
        <f>H14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2928.592834</v>
      </c>
      <c r="H15" t="n">
        <v>2997.636194</v>
      </c>
      <c r="I15">
        <f>I10+I11+I12+I13+I14</f>
        <v/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248.983498</v>
      </c>
      <c r="H16" t="n">
        <v>276.649198</v>
      </c>
      <c r="I16">
        <f>IS!I7*Inputs!$C$15/91.25</f>
        <v/>
      </c>
      <c r="J16">
        <f>IS!J7*Inputs!$C$15/91.25</f>
        <v/>
      </c>
      <c r="K16">
        <f>IS!K7*Inputs!$C$15/91.25</f>
        <v/>
      </c>
      <c r="M16">
        <f>IS!M7*Inputs!$C$15/365</f>
        <v/>
      </c>
      <c r="N16">
        <f>IS!N7*Inputs!$C$15/365</f>
        <v/>
      </c>
      <c r="O16">
        <f>IS!O7*Inputs!$C$15/365</f>
        <v/>
      </c>
      <c r="P16">
        <f>IS!P7*Inputs!$C$15/365</f>
        <v/>
      </c>
    </row>
    <row r="17">
      <c r="A17" t="inlineStr">
        <is>
          <t>Short-term borrowings</t>
        </is>
      </c>
      <c r="G17" t="n">
        <v>3.795925</v>
      </c>
      <c r="H17" t="n">
        <v>3.840654</v>
      </c>
      <c r="I17">
        <f>H17</f>
        <v/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0</v>
      </c>
      <c r="H18" t="n">
        <v>0</v>
      </c>
      <c r="I18">
        <f>H18</f>
        <v/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H20-H16-H17-H18</f>
        <v/>
      </c>
      <c r="I19">
        <f>H19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387.542969</v>
      </c>
      <c r="H20" t="n">
        <v>444.57926</v>
      </c>
      <c r="I20">
        <f>I16+I17+I18+I19</f>
        <v/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0</v>
      </c>
      <c r="H21" t="n">
        <v>0</v>
      </c>
      <c r="I21">
        <f>H21</f>
        <v/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H28-H20-H21-H24-H25-H26</f>
        <v/>
      </c>
      <c r="I22">
        <f>H22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3.102213</v>
      </c>
      <c r="H24" t="n">
        <v>3.02149</v>
      </c>
      <c r="I24">
        <f>H24</f>
        <v/>
      </c>
      <c r="J24">
        <f>I24</f>
        <v/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2487.829724</v>
      </c>
      <c r="H25" t="n">
        <v>2502.585166</v>
      </c>
      <c r="I25">
        <f>H25+IS!I17+CF!I13</f>
        <v/>
      </c>
      <c r="J25">
        <f>I25+IS!J17+CF!J13</f>
        <v/>
      </c>
      <c r="K25">
        <f>J25+IS!K17+CF!K13</f>
        <v/>
      </c>
      <c r="M25">
        <f>K25+IS!M17+CF!M13</f>
        <v/>
      </c>
      <c r="N25">
        <f>M25+IS!N17+CF!N13</f>
        <v/>
      </c>
      <c r="O25">
        <f>N25+IS!O17+CF!O13</f>
        <v/>
      </c>
      <c r="P25">
        <f>O25+IS!P17+CF!P13</f>
        <v/>
      </c>
    </row>
    <row r="26">
      <c r="A26" t="inlineStr">
        <is>
          <t>Non-controlling interests</t>
        </is>
      </c>
      <c r="G26" t="n">
        <v>0</v>
      </c>
      <c r="H26" t="n">
        <v>0</v>
      </c>
      <c r="I26">
        <f>H26</f>
        <v/>
      </c>
      <c r="J26">
        <f>I26</f>
        <v/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2928.592834</v>
      </c>
      <c r="H28" t="n">
        <v>2997.636194</v>
      </c>
      <c r="I28">
        <f>I20+I21+I22+I24+I25+I26</f>
        <v/>
      </c>
      <c r="J28">
        <f>J20+J21+J22+J24+J25+J26</f>
        <v/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GENTEX CORP: cash flow statement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</t>
        </is>
      </c>
      <c r="G6">
        <f>IS!G17</f>
        <v/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G7">
        <f>IS!G18</f>
        <v/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Working capital and other operating items</t>
        </is>
      </c>
      <c r="G8">
        <f>G9-G6-G7</f>
        <v/>
      </c>
      <c r="H8">
        <f>H9-H6-H7</f>
        <v/>
      </c>
      <c r="I8">
        <f>BS!H7-BS!I7+BS!H8-BS!I8+BS!I16-BS!H16</f>
        <v/>
      </c>
      <c r="J8">
        <f>BS!I7-BS!J7+BS!I8-BS!J8+BS!J16-BS!I16</f>
        <v/>
      </c>
      <c r="K8">
        <f>BS!J7-BS!K7+BS!J8-BS!K8+BS!K16-BS!J16</f>
        <v/>
      </c>
      <c r="L8">
        <f>SUM(H8:K8)</f>
        <v/>
      </c>
      <c r="M8">
        <f>BS!K7-BS!M7+BS!K8-BS!M8+BS!M16-BS!K16</f>
        <v/>
      </c>
      <c r="N8">
        <f>BS!M7-BS!N7+BS!M8-BS!N8+BS!N16-BS!M16</f>
        <v/>
      </c>
      <c r="O8">
        <f>BS!N7-BS!O7+BS!N8-BS!O8+BS!O16-BS!N16</f>
        <v/>
      </c>
      <c r="P8">
        <f>BS!O7-BS!P7+BS!O8-BS!P8+BS!P16-BS!O16</f>
        <v/>
      </c>
    </row>
    <row r="9">
      <c r="A9" t="inlineStr">
        <is>
          <t>Cash from operating activities</t>
        </is>
      </c>
      <c r="G9">
        <f>G21</f>
        <v/>
      </c>
      <c r="H9">
        <f>H21</f>
        <v/>
      </c>
      <c r="I9">
        <f>I6+I7+I8</f>
        <v/>
      </c>
      <c r="J9">
        <f>J6+J7+J8</f>
        <v/>
      </c>
      <c r="K9">
        <f>K6+K7+K8</f>
        <v/>
      </c>
      <c r="L9">
        <f>SUM(H9:K9)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0">
      <c r="A10" t="inlineStr">
        <is>
          <t>Capital expenditures</t>
        </is>
      </c>
      <c r="G10">
        <f>G22</f>
        <v/>
      </c>
      <c r="H10">
        <f>H22</f>
        <v/>
      </c>
      <c r="I10">
        <f>-IS!I6*Inputs!$C$11</f>
        <v/>
      </c>
      <c r="J10">
        <f>-IS!J6*Inputs!$C$11</f>
        <v/>
      </c>
      <c r="K10">
        <f>-IS!K6*Inputs!$C$11</f>
        <v/>
      </c>
      <c r="L10">
        <f>SUM(H10:K10)</f>
        <v/>
      </c>
      <c r="M10">
        <f>-IS!M6*Inputs!$C$11</f>
        <v/>
      </c>
      <c r="N10">
        <f>-IS!N6*Inputs!$C$11</f>
        <v/>
      </c>
      <c r="O10">
        <f>-IS!O6*Inputs!$C$11</f>
        <v/>
      </c>
      <c r="P10">
        <f>-IS!P6*Inputs!$C$11</f>
        <v/>
      </c>
    </row>
    <row r="11">
      <c r="A11" t="inlineStr">
        <is>
          <t>Other investing activities</t>
        </is>
      </c>
      <c r="G11">
        <f>G12-G10</f>
        <v/>
      </c>
      <c r="H11">
        <f>H12-H10</f>
        <v/>
      </c>
      <c r="I11">
        <f>Inputs!$C$20</f>
        <v/>
      </c>
      <c r="J11">
        <f>Inputs!$C$20</f>
        <v/>
      </c>
      <c r="K11">
        <f>Inputs!$C$20</f>
        <v/>
      </c>
      <c r="L11">
        <f>SUM(H11:K11)</f>
        <v/>
      </c>
      <c r="M11">
        <f>Inputs!$C$20*4</f>
        <v/>
      </c>
      <c r="N11">
        <f>Inputs!$C$20*4</f>
        <v/>
      </c>
      <c r="O11">
        <f>Inputs!$C$20*4</f>
        <v/>
      </c>
      <c r="P11">
        <f>Inputs!$C$20*4</f>
        <v/>
      </c>
    </row>
    <row r="12">
      <c r="A12" t="inlineStr">
        <is>
          <t>Cash from investing activities</t>
        </is>
      </c>
      <c r="G12">
        <f>G23</f>
        <v/>
      </c>
      <c r="H12">
        <f>H23</f>
        <v/>
      </c>
      <c r="I12">
        <f>I10+I11</f>
        <v/>
      </c>
      <c r="J12">
        <f>J10+J11</f>
        <v/>
      </c>
      <c r="K12">
        <f>K10+K11</f>
        <v/>
      </c>
      <c r="L12">
        <f>SUM(H12:K12)</f>
        <v/>
      </c>
      <c r="M12">
        <f>M10+M11</f>
        <v/>
      </c>
      <c r="N12">
        <f>N10+N11</f>
        <v/>
      </c>
      <c r="O12">
        <f>O10+O11</f>
        <v/>
      </c>
      <c r="P12">
        <f>P10+P11</f>
        <v/>
      </c>
    </row>
    <row r="13">
      <c r="A13" t="inlineStr">
        <is>
          <t>Cash from financing activities</t>
        </is>
      </c>
      <c r="G13">
        <f>G24</f>
        <v/>
      </c>
      <c r="H13">
        <f>H24</f>
        <v/>
      </c>
      <c r="I13">
        <f>-IS!I17*Inputs!$C$16</f>
        <v/>
      </c>
      <c r="J13">
        <f>-IS!J17*Inputs!$C$16</f>
        <v/>
      </c>
      <c r="K13">
        <f>-IS!K17*Inputs!$C$16</f>
        <v/>
      </c>
      <c r="L13">
        <f>SUM(H13:K13)</f>
        <v/>
      </c>
      <c r="M13">
        <f>-IS!M17*Inputs!$C$16</f>
        <v/>
      </c>
      <c r="N13">
        <f>-IS!N17*Inputs!$C$16</f>
        <v/>
      </c>
      <c r="O13">
        <f>-IS!O17*Inputs!$C$16</f>
        <v/>
      </c>
      <c r="P13">
        <f>-IS!P17*Inputs!$C$16</f>
        <v/>
      </c>
    </row>
    <row r="14">
      <c r="A14" t="inlineStr">
        <is>
          <t>Exchange rate effect, restricted cash and other</t>
        </is>
      </c>
      <c r="H14">
        <f>BS!H6-BS!G6-H9-H12-H13</f>
        <v/>
      </c>
      <c r="I14">
        <f>Inputs!$C$21</f>
        <v/>
      </c>
      <c r="J14">
        <f>Inputs!$C$21</f>
        <v/>
      </c>
      <c r="K14">
        <f>Inputs!$C$21</f>
        <v/>
      </c>
      <c r="L14">
        <f>SUM(H14:K14)</f>
        <v/>
      </c>
      <c r="M14">
        <f>Inputs!$C$21*4</f>
        <v/>
      </c>
      <c r="N14">
        <f>Inputs!$C$21*4</f>
        <v/>
      </c>
      <c r="O14">
        <f>Inputs!$C$21*4</f>
        <v/>
      </c>
      <c r="P14">
        <f>Inputs!$C$21*4</f>
        <v/>
      </c>
    </row>
    <row r="15">
      <c r="A15" t="inlineStr">
        <is>
          <t>Net change in cash</t>
        </is>
      </c>
      <c r="H15">
        <f>H9+H12+H13+H14</f>
        <v/>
      </c>
      <c r="I15">
        <f>I9+I12+I13+I14</f>
        <v/>
      </c>
      <c r="J15">
        <f>J9+J12+J13+J14</f>
        <v/>
      </c>
      <c r="K15">
        <f>K9+K12+K13+K14</f>
        <v/>
      </c>
      <c r="L15">
        <f>SUM(H15:K15)</f>
        <v/>
      </c>
      <c r="M15">
        <f>M9+M12+M13+M14</f>
        <v/>
      </c>
      <c r="N15">
        <f>N9+N12+N13+N14</f>
        <v/>
      </c>
      <c r="O15">
        <f>O9+O12+O13+O14</f>
        <v/>
      </c>
      <c r="P15">
        <f>P9+P12+P13+P14</f>
        <v/>
      </c>
    </row>
    <row r="16">
      <c r="A16" t="inlineStr">
        <is>
          <t>Cash at beginning of period</t>
        </is>
      </c>
      <c r="H16">
        <f>BS!G6</f>
        <v/>
      </c>
      <c r="I16">
        <f>BS!H6</f>
        <v/>
      </c>
      <c r="J16">
        <f>BS!I6</f>
        <v/>
      </c>
      <c r="K16">
        <f>BS!J6</f>
        <v/>
      </c>
      <c r="L16">
        <f>BS!G6</f>
        <v/>
      </c>
      <c r="M16">
        <f>BS!K6</f>
        <v/>
      </c>
      <c r="N16">
        <f>BS!M6</f>
        <v/>
      </c>
      <c r="O16">
        <f>BS!N6</f>
        <v/>
      </c>
      <c r="P16">
        <f>BS!O6</f>
        <v/>
      </c>
    </row>
    <row r="17">
      <c r="A17" t="inlineStr">
        <is>
          <t>Cash at end of period</t>
        </is>
      </c>
      <c r="H17">
        <f>H16+H15</f>
        <v/>
      </c>
      <c r="I17">
        <f>I16+I15</f>
        <v/>
      </c>
      <c r="J17">
        <f>J16+J15</f>
        <v/>
      </c>
      <c r="K17">
        <f>K16+K15</f>
        <v/>
      </c>
      <c r="L17">
        <f>L16+L15</f>
        <v/>
      </c>
      <c r="M17">
        <f>M16+M15</f>
        <v/>
      </c>
      <c r="N17">
        <f>N16+N15</f>
        <v/>
      </c>
      <c r="O17">
        <f>O16+O15</f>
        <v/>
      </c>
      <c r="P17">
        <f>P16+P15</f>
        <v/>
      </c>
    </row>
    <row r="18">
      <c r="A18" t="inlineStr">
        <is>
          <t>Free cash flow (operating cash flow + capital expenditures)</t>
        </is>
      </c>
      <c r="G18">
        <f>G9+G10</f>
        <v/>
      </c>
      <c r="H18">
        <f>H9+H10</f>
        <v/>
      </c>
      <c r="I18">
        <f>I9+I10</f>
        <v/>
      </c>
      <c r="J18">
        <f>J9+J10</f>
        <v/>
      </c>
      <c r="K18">
        <f>K9+K10</f>
        <v/>
      </c>
      <c r="L18">
        <f>L9+L10</f>
        <v/>
      </c>
      <c r="M18">
        <f>M9+M10</f>
        <v/>
      </c>
      <c r="N18">
        <f>N9+N10</f>
        <v/>
      </c>
      <c r="O18">
        <f>O9+O10</f>
        <v/>
      </c>
      <c r="P18">
        <f>P9+P10</f>
        <v/>
      </c>
    </row>
    <row r="20">
      <c r="A20" t="inlineStr">
        <is>
          <t>As reported in each filing (year to date)</t>
        </is>
      </c>
    </row>
    <row r="21">
      <c r="A21" t="inlineStr">
        <is>
          <t>Cash from operating activities, year to date (as reported)</t>
        </is>
      </c>
      <c r="G21" t="n">
        <v>587.126291</v>
      </c>
      <c r="H21" t="n">
        <v>137.083229</v>
      </c>
    </row>
    <row r="22">
      <c r="A22" t="inlineStr">
        <is>
          <t>Capital expenditures, year to date (as reported)</t>
        </is>
      </c>
      <c r="G22" t="n">
        <v>-129.088778</v>
      </c>
      <c r="H22" t="n">
        <v>-17.042162</v>
      </c>
    </row>
    <row r="23">
      <c r="A23" t="inlineStr">
        <is>
          <t>Cash from investing activities, year to date (as reported)</t>
        </is>
      </c>
      <c r="G23" t="n">
        <v>-266.899521</v>
      </c>
      <c r="H23" t="n">
        <v>-25.574035</v>
      </c>
    </row>
    <row r="24">
      <c r="A24" t="inlineStr">
        <is>
          <t>Cash from financing activities, year to date (as reported)</t>
        </is>
      </c>
      <c r="G24" t="n">
        <v>-407.899821</v>
      </c>
      <c r="H24" t="n">
        <v>-92.393276</v>
      </c>
    </row>
    <row r="25">
      <c r="A25" t="inlineStr">
        <is>
          <t>Depreciation and amortization, year to date (as reported)</t>
        </is>
      </c>
      <c r="C25" t="n">
        <v>25.509069</v>
      </c>
      <c r="D25" t="n">
        <v>52.880443</v>
      </c>
      <c r="E25" t="n">
        <v>78.808967</v>
      </c>
      <c r="G25" t="n">
        <v>104.041764</v>
      </c>
      <c r="H25" t="n">
        <v>25.656252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GENTEX CORP: unlevered DCF and valuation</t>
        </is>
      </c>
    </row>
    <row r="2">
      <c r="A2" t="inlineStr">
        <is>
          <t>$ in millions</t>
        </is>
      </c>
    </row>
    <row r="3"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-H7*Inputs!$C$12</f>
        <v/>
      </c>
      <c r="I8">
        <f>-I7*Inputs!$C$12</f>
        <v/>
      </c>
      <c r="J8">
        <f>-J7*Inputs!$C$12</f>
        <v/>
      </c>
      <c r="K8">
        <f>-K7*Inputs!$C$12</f>
        <v/>
      </c>
      <c r="M8">
        <f>-M7*Inputs!$C$12</f>
        <v/>
      </c>
      <c r="N8">
        <f>-N7*Inputs!$C$12</f>
        <v/>
      </c>
      <c r="O8">
        <f>-O7*Inputs!$C$12</f>
        <v/>
      </c>
      <c r="P8">
        <f>-P7*Inputs!$C$12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CF!H10</f>
        <v/>
      </c>
      <c r="I11">
        <f>CF!I10</f>
        <v/>
      </c>
      <c r="J11">
        <f>CF!J10</f>
        <v/>
      </c>
      <c r="K11">
        <f>CF!K10</f>
        <v/>
      </c>
      <c r="M11">
        <f>CF!M10</f>
        <v/>
      </c>
      <c r="N11">
        <f>CF!N10</f>
        <v/>
      </c>
      <c r="O11">
        <f>CF!O10</f>
        <v/>
      </c>
      <c r="P11">
        <f>CF!P10</f>
        <v/>
      </c>
    </row>
    <row r="12">
      <c r="A12" t="inlineStr">
        <is>
          <t>Working capital and other</t>
        </is>
      </c>
      <c r="H12">
        <f>CF!H8</f>
        <v/>
      </c>
      <c r="I12">
        <f>CF!I8</f>
        <v/>
      </c>
      <c r="J12">
        <f>CF!J8</f>
        <v/>
      </c>
      <c r="K12">
        <f>CF!K8</f>
        <v/>
      </c>
      <c r="M12">
        <f>CF!M8</f>
        <v/>
      </c>
      <c r="N12">
        <f>CF!N8</f>
        <v/>
      </c>
      <c r="O12">
        <f>CF!O8</f>
        <v/>
      </c>
      <c r="P12">
        <f>CF!P8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1/(1+Inputs!$C$23)^M14</f>
        <v/>
      </c>
      <c r="N15">
        <f>1/(1+Inputs!$C$23)^N14</f>
        <v/>
      </c>
      <c r="O15">
        <f>1/(1+Inputs!$C$23)^O14</f>
        <v/>
      </c>
      <c r="P15">
        <f>1/(1+Inputs!$C$23)^P14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SUM(IS!D6:F6)+SUM(IS!H6:H6)</f>
        <v/>
      </c>
    </row>
    <row r="19">
      <c r="A19" t="inlineStr">
        <is>
          <t>EBITDA, last four reported quarters</t>
        </is>
      </c>
      <c r="C19">
        <f>SUM(IS!D19:F19)+SUM(IS!H19:H19)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1/(1+Inputs!$C$23)^C20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P13*(1+Inputs!$C$24)/(Inputs!$C$23-Inputs!$C$24)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BS!H6</f>
        <v/>
      </c>
    </row>
    <row r="28">
      <c r="A28" t="inlineStr">
        <is>
          <t>Short-term borrowings (latest reported balance sheet)</t>
        </is>
      </c>
      <c r="C28">
        <f>BS!H17</f>
        <v/>
      </c>
    </row>
    <row r="29">
      <c r="A29" t="inlineStr">
        <is>
          <t>Current portion of long-term debt (latest reported balance sheet)</t>
        </is>
      </c>
      <c r="C29">
        <f>BS!H18</f>
        <v/>
      </c>
    </row>
    <row r="30">
      <c r="A30" t="inlineStr">
        <is>
          <t>Long-term debt (latest reported balance sheet)</t>
        </is>
      </c>
      <c r="C30">
        <f>BS!H21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BS!H26+BS!H24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2026-10-14T06:17:46Z</dcterms:modified>
</cp:coreProperties>
</file>