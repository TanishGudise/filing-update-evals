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IS" sheetId="3" state="visible" r:id="rId3"/>
    <sheet name="BS" sheetId="4" state="visible" r:id="rId4"/>
    <sheet name="CF" sheetId="5" state="visible" r:id="rId5"/>
    <sheet name="DCF" sheetId="6" state="visible" r:id="rId6"/>
    <sheet name="Scr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Last reported quarter of FY2027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210.767126</v>
      </c>
    </row>
    <row r="7">
      <c r="A7" t="inlineStr">
        <is>
          <t>Gross margin</t>
        </is>
      </c>
      <c r="C7" t="n">
        <v>0.2324</v>
      </c>
    </row>
    <row r="8">
      <c r="A8" t="inlineStr">
        <is>
          <t>SG&amp;A, % of revenue</t>
        </is>
      </c>
      <c r="C8" t="n">
        <v>0.1943</v>
      </c>
    </row>
    <row r="9">
      <c r="A9" t="inlineStr">
        <is>
          <t>Other operating expenses, % of revenue</t>
        </is>
      </c>
      <c r="C9" t="n">
        <v>0.0123</v>
      </c>
    </row>
    <row r="10">
      <c r="A10" t="inlineStr">
        <is>
          <t>Depreciation and amortization, % of revenue</t>
        </is>
      </c>
      <c r="C10" t="n">
        <v>0.0199</v>
      </c>
    </row>
    <row r="11">
      <c r="A11" t="inlineStr">
        <is>
          <t>Capital expenditures, % of revenue</t>
        </is>
      </c>
      <c r="C11" t="n">
        <v>0.0169</v>
      </c>
    </row>
    <row r="12">
      <c r="A12" t="inlineStr">
        <is>
          <t>Tax rate</t>
        </is>
      </c>
      <c r="C12" t="n">
        <v>0.24</v>
      </c>
    </row>
    <row r="13">
      <c r="A13" t="inlineStr">
        <is>
          <t>Days sales outstanding (on revenue)</t>
        </is>
      </c>
      <c r="C13" t="n">
        <v>9.1</v>
      </c>
    </row>
    <row r="14">
      <c r="A14" t="inlineStr">
        <is>
          <t>Days inventory outstanding (on cost of revenue)</t>
        </is>
      </c>
      <c r="C14" t="n">
        <v>59.1</v>
      </c>
    </row>
    <row r="15">
      <c r="A15" t="inlineStr">
        <is>
          <t>Days payables outstanding (on cost of revenue)</t>
        </is>
      </c>
      <c r="C15" t="n">
        <v>53.6</v>
      </c>
    </row>
    <row r="16">
      <c r="A16" t="inlineStr">
        <is>
          <t>Shareholder payouts and other financing, % of net income</t>
        </is>
      </c>
      <c r="C16" t="n">
        <v>1</v>
      </c>
    </row>
    <row r="17">
      <c r="A17" t="inlineStr">
        <is>
          <t>Interest expense, net, per year ($ in millions)</t>
        </is>
      </c>
      <c r="C17" t="n">
        <v>47</v>
      </c>
    </row>
    <row r="18">
      <c r="A18" t="inlineStr">
        <is>
          <t>Other non-operating income, per quarter ($ in millions)</t>
        </is>
      </c>
      <c r="C18" t="n">
        <v>0</v>
      </c>
    </row>
    <row r="19">
      <c r="A19" t="inlineStr">
        <is>
          <t>Other items after tax, per quarter ($ in millions)</t>
        </is>
      </c>
      <c r="C19" t="n">
        <v>0</v>
      </c>
    </row>
    <row r="20">
      <c r="A20" t="inlineStr">
        <is>
          <t>Other investing cash flow, per quarter ($ in millions)</t>
        </is>
      </c>
      <c r="C20" t="n">
        <v>0</v>
      </c>
    </row>
    <row r="21">
      <c r="A21" t="inlineStr">
        <is>
          <t>Exchange rate effect and other cash flow,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  <row r="26">
      <c r="A26" t="inlineStr">
        <is>
          <t>Revenue growth drivers by segment: see the Revenue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revenue by segment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Domestic</t>
        </is>
      </c>
      <c r="C6" t="n">
        <v>8127</v>
      </c>
      <c r="D6" t="n">
        <v>8698</v>
      </c>
      <c r="E6" t="n">
        <v>8878</v>
      </c>
      <c r="F6">
        <f>G6-C6-D6-E6</f>
        <v/>
      </c>
      <c r="G6" t="n">
        <v>38278</v>
      </c>
      <c r="H6" t="n">
        <v>8249</v>
      </c>
      <c r="I6">
        <f>D6*(1+L11)</f>
        <v/>
      </c>
      <c r="J6">
        <f>E6*(1+L11)</f>
        <v/>
      </c>
      <c r="K6">
        <f>F6*(1+L11)</f>
        <v/>
      </c>
      <c r="L6">
        <f>SUM(H6:K6)</f>
        <v/>
      </c>
      <c r="M6">
        <f>L6*(1+M11)</f>
        <v/>
      </c>
      <c r="N6">
        <f>M6*(1+N11)</f>
        <v/>
      </c>
      <c r="O6">
        <f>N6*(1+O11)</f>
        <v/>
      </c>
      <c r="P6">
        <f>O6*(1+P11)</f>
        <v/>
      </c>
    </row>
    <row r="7">
      <c r="A7" t="inlineStr">
        <is>
          <t>International</t>
        </is>
      </c>
      <c r="C7" t="n">
        <v>640</v>
      </c>
      <c r="D7" t="n">
        <v>740</v>
      </c>
      <c r="E7" t="n">
        <v>794</v>
      </c>
      <c r="F7">
        <f>G7-C7-D7-E7</f>
        <v/>
      </c>
      <c r="G7" t="n">
        <v>3413</v>
      </c>
      <c r="H7" t="n">
        <v>687</v>
      </c>
      <c r="I7">
        <f>D7*(1+L12)</f>
        <v/>
      </c>
      <c r="J7">
        <f>E7*(1+L12)</f>
        <v/>
      </c>
      <c r="K7">
        <f>F7*(1+L12)</f>
        <v/>
      </c>
      <c r="L7">
        <f>SUM(H7:K7)</f>
        <v/>
      </c>
      <c r="M7">
        <f>L7*(1+M12)</f>
        <v/>
      </c>
      <c r="N7">
        <f>M7*(1+N12)</f>
        <v/>
      </c>
      <c r="O7">
        <f>N7*(1+O12)</f>
        <v/>
      </c>
      <c r="P7">
        <f>O7*(1+P12)</f>
        <v/>
      </c>
    </row>
    <row r="8">
      <c r="A8" t="inlineStr">
        <is>
          <t>Total revenue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G8">
        <f>G6+G7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  <c r="L8">
        <f>L6+L7</f>
        <v/>
      </c>
      <c r="M8">
        <f>M6+M7</f>
        <v/>
      </c>
      <c r="N8">
        <f>N6+N7</f>
        <v/>
      </c>
      <c r="O8">
        <f>O6+O7</f>
        <v/>
      </c>
      <c r="P8">
        <f>P6+P7</f>
        <v/>
      </c>
    </row>
    <row r="10">
      <c r="A10" t="inlineStr">
        <is>
          <t>Growth drivers: FY2027 quarters vs. the same quarter of FY2026 (column L), and each forecast year</t>
        </is>
      </c>
    </row>
    <row r="11">
      <c r="A11" t="inlineStr">
        <is>
          <t>Growth: Domestic</t>
        </is>
      </c>
      <c r="L11" t="n">
        <v>0.001</v>
      </c>
      <c r="M11" t="n">
        <v>0.02</v>
      </c>
      <c r="N11" t="n">
        <v>0.02</v>
      </c>
      <c r="O11" t="n">
        <v>0.02</v>
      </c>
      <c r="P11" t="n">
        <v>0.02</v>
      </c>
    </row>
    <row r="12">
      <c r="A12" t="inlineStr">
        <is>
          <t>Growth: International</t>
        </is>
      </c>
      <c r="L12" t="n">
        <v>0.037</v>
      </c>
      <c r="M12" t="n">
        <v>0.037</v>
      </c>
      <c r="N12" t="n">
        <v>0.031</v>
      </c>
      <c r="O12" t="n">
        <v>0.026</v>
      </c>
      <c r="P12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>
        <f>Revenue!C8</f>
        <v/>
      </c>
      <c r="D6">
        <f>Revenue!D8</f>
        <v/>
      </c>
      <c r="E6">
        <f>Revenue!E8</f>
        <v/>
      </c>
      <c r="F6">
        <f>Revenue!F8</f>
        <v/>
      </c>
      <c r="G6">
        <f>Revenue!G8</f>
        <v/>
      </c>
      <c r="H6">
        <f>Revenue!H8</f>
        <v/>
      </c>
      <c r="I6">
        <f>Revenue!I8</f>
        <v/>
      </c>
      <c r="J6">
        <f>Revenue!J8</f>
        <v/>
      </c>
      <c r="K6">
        <f>Revenue!K8</f>
        <v/>
      </c>
      <c r="L6">
        <f>Revenue!L8</f>
        <v/>
      </c>
      <c r="M6">
        <f>Revenue!M8</f>
        <v/>
      </c>
      <c r="N6">
        <f>Revenue!N8</f>
        <v/>
      </c>
      <c r="O6">
        <f>Revenue!O8</f>
        <v/>
      </c>
      <c r="P6">
        <f>Revenue!P8</f>
        <v/>
      </c>
    </row>
    <row r="7">
      <c r="A7" t="inlineStr">
        <is>
          <t>Cost of revenue</t>
        </is>
      </c>
      <c r="C7" t="n">
        <v>6718</v>
      </c>
      <c r="D7" t="n">
        <v>7244</v>
      </c>
      <c r="E7" t="n">
        <v>7424</v>
      </c>
      <c r="F7">
        <f>G7-C7-D7-E7</f>
        <v/>
      </c>
      <c r="G7" t="n">
        <v>32318</v>
      </c>
      <c r="H7" t="n">
        <v>6834</v>
      </c>
      <c r="I7">
        <f>I6*(1-Inputs!$C$7)</f>
        <v/>
      </c>
      <c r="J7">
        <f>J6*(1-Inputs!$C$7)</f>
        <v/>
      </c>
      <c r="K7">
        <f>K6*(1-Inputs!$C$7)</f>
        <v/>
      </c>
      <c r="L7">
        <f>SUM(H7:K7)</f>
        <v/>
      </c>
      <c r="M7">
        <f>M6*(1-Inputs!$C$7)</f>
        <v/>
      </c>
      <c r="N7">
        <f>N6*(1-Inputs!$C$7)</f>
        <v/>
      </c>
      <c r="O7">
        <f>O6*(1-Inputs!$C$7)</f>
        <v/>
      </c>
      <c r="P7">
        <f>P6*(1-Inputs!$C$7)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1721</v>
      </c>
      <c r="D9" t="n">
        <v>1829</v>
      </c>
      <c r="E9" t="n">
        <v>1884</v>
      </c>
      <c r="F9">
        <f>G9-C9-D9-E9</f>
        <v/>
      </c>
      <c r="G9" t="n">
        <v>7623</v>
      </c>
      <c r="H9" t="n">
        <v>1741</v>
      </c>
      <c r="I9">
        <f>I6*Inputs!$C$8</f>
        <v/>
      </c>
      <c r="J9">
        <f>J6*Inputs!$C$8</f>
        <v/>
      </c>
      <c r="K9">
        <f>K6*Inputs!$C$8</f>
        <v/>
      </c>
      <c r="L9">
        <f>SUM(H9:K9)</f>
        <v/>
      </c>
      <c r="M9">
        <f>M6*Inputs!$C$8</f>
        <v/>
      </c>
      <c r="N9">
        <f>N6*Inputs!$C$8</f>
        <v/>
      </c>
      <c r="O9">
        <f>O6*Inputs!$C$8</f>
        <v/>
      </c>
      <c r="P9">
        <f>P6*Inputs!$C$8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I6*Inputs!$C$9</f>
        <v/>
      </c>
      <c r="J10">
        <f>J6*Inputs!$C$9</f>
        <v/>
      </c>
      <c r="K10">
        <f>K6*Inputs!$C$9</f>
        <v/>
      </c>
      <c r="L10">
        <f>L8-L9-L11</f>
        <v/>
      </c>
      <c r="M10">
        <f>M6*Inputs!$C$9</f>
        <v/>
      </c>
      <c r="N10">
        <f>N6*Inputs!$C$9</f>
        <v/>
      </c>
      <c r="O10">
        <f>O6*Inputs!$C$9</f>
        <v/>
      </c>
      <c r="P10">
        <f>P6*Inputs!$C$9</f>
        <v/>
      </c>
    </row>
    <row r="11">
      <c r="A11" t="inlineStr">
        <is>
          <t>Operating income</t>
        </is>
      </c>
      <c r="C11" t="n">
        <v>219</v>
      </c>
      <c r="D11" t="n">
        <v>251</v>
      </c>
      <c r="E11" t="n">
        <v>198</v>
      </c>
      <c r="F11">
        <f>G11-C11-D11-E11</f>
        <v/>
      </c>
      <c r="G11" t="n">
        <v>1389</v>
      </c>
      <c r="H11" t="n">
        <v>370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12</v>
      </c>
      <c r="D12" t="n">
        <v>12</v>
      </c>
      <c r="E12" t="n">
        <v>12</v>
      </c>
      <c r="F12">
        <f>G12-C12-D12-E12</f>
        <v/>
      </c>
      <c r="G12" t="n">
        <v>47</v>
      </c>
      <c r="H12" t="n">
        <v>11</v>
      </c>
      <c r="I12">
        <f>Inputs!$C$17/4</f>
        <v/>
      </c>
      <c r="J12">
        <f>Inputs!$C$17/4</f>
        <v/>
      </c>
      <c r="K12">
        <f>Inputs!$C$17/4</f>
        <v/>
      </c>
      <c r="L12">
        <f>SUM(H12:K12)</f>
        <v/>
      </c>
      <c r="M12">
        <f>Inputs!$C$17</f>
        <v/>
      </c>
      <c r="N12">
        <f>Inputs!$C$17</f>
        <v/>
      </c>
      <c r="O12">
        <f>Inputs!$C$17</f>
        <v/>
      </c>
      <c r="P12">
        <f>Inputs!$C$17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Inputs!$C$18</f>
        <v/>
      </c>
      <c r="J13">
        <f>Inputs!$C$18</f>
        <v/>
      </c>
      <c r="K13">
        <f>Inputs!$C$18</f>
        <v/>
      </c>
      <c r="L13">
        <f>L14-L11+L12</f>
        <v/>
      </c>
      <c r="M13">
        <f>Inputs!$C$18*4</f>
        <v/>
      </c>
      <c r="N13">
        <f>Inputs!$C$18*4</f>
        <v/>
      </c>
      <c r="O13">
        <f>Inputs!$C$18*4</f>
        <v/>
      </c>
      <c r="P13">
        <f>Inputs!$C$18*4</f>
        <v/>
      </c>
    </row>
    <row r="14">
      <c r="A14" t="inlineStr">
        <is>
          <t>Income before income taxes</t>
        </is>
      </c>
      <c r="C14" t="n">
        <v>222</v>
      </c>
      <c r="D14" t="n">
        <v>253</v>
      </c>
      <c r="E14" t="n">
        <v>205</v>
      </c>
      <c r="F14">
        <f>G14-C14-D14-E14</f>
        <v/>
      </c>
      <c r="G14" t="n">
        <v>1404</v>
      </c>
      <c r="H14" t="n">
        <v>378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19</v>
      </c>
      <c r="D15" t="n">
        <v>68</v>
      </c>
      <c r="E15" t="n">
        <v>64</v>
      </c>
      <c r="F15">
        <f>G15-C15-D15-E15</f>
        <v/>
      </c>
      <c r="G15" t="n">
        <v>337</v>
      </c>
      <c r="H15" t="n">
        <v>102</v>
      </c>
      <c r="I15">
        <f>I14*Inputs!$C$12</f>
        <v/>
      </c>
      <c r="J15">
        <f>J14*Inputs!$C$12</f>
        <v/>
      </c>
      <c r="K15">
        <f>K14*Inputs!$C$12</f>
        <v/>
      </c>
      <c r="L15">
        <f>SUM(H15:K15)</f>
        <v/>
      </c>
      <c r="M15">
        <f>M14*Inputs!$C$12</f>
        <v/>
      </c>
      <c r="N15">
        <f>N14*Inputs!$C$12</f>
        <v/>
      </c>
      <c r="O15">
        <f>O14*Inputs!$C$12</f>
        <v/>
      </c>
      <c r="P15">
        <f>P14*Inputs!$C$12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Inputs!$C$19</f>
        <v/>
      </c>
      <c r="J16">
        <f>Inputs!$C$19</f>
        <v/>
      </c>
      <c r="K16">
        <f>Inputs!$C$19</f>
        <v/>
      </c>
      <c r="L16">
        <f>L17-(L14-L15)</f>
        <v/>
      </c>
      <c r="M16">
        <f>Inputs!$C$19*4</f>
        <v/>
      </c>
      <c r="N16">
        <f>Inputs!$C$19*4</f>
        <v/>
      </c>
      <c r="O16">
        <f>Inputs!$C$19*4</f>
        <v/>
      </c>
      <c r="P16">
        <f>Inputs!$C$19*4</f>
        <v/>
      </c>
    </row>
    <row r="17">
      <c r="A17" t="inlineStr">
        <is>
          <t>Net income attributable to the company</t>
        </is>
      </c>
      <c r="C17" t="n">
        <v>202</v>
      </c>
      <c r="D17" t="n">
        <v>186</v>
      </c>
      <c r="E17" t="n">
        <v>140</v>
      </c>
      <c r="F17">
        <f>G17-C17-D17-E17</f>
        <v/>
      </c>
      <c r="G17" t="n">
        <v>1069</v>
      </c>
      <c r="H17" t="n">
        <v>276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I6*Inputs!$C$10</f>
        <v/>
      </c>
      <c r="J18">
        <f>J6*Inputs!$C$10</f>
        <v/>
      </c>
      <c r="K18">
        <f>K6*Inputs!$C$10</f>
        <v/>
      </c>
      <c r="L18">
        <f>SUM(H18:K18)</f>
        <v/>
      </c>
      <c r="M18">
        <f>M6*Inputs!$C$10</f>
        <v/>
      </c>
      <c r="N18">
        <f>N6*Inputs!$C$10</f>
        <v/>
      </c>
      <c r="O18">
        <f>O6*Inputs!$C$10</f>
        <v/>
      </c>
      <c r="P18">
        <f>P6*Inputs!$C$10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1738</v>
      </c>
      <c r="H6" t="n">
        <v>1749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1043</v>
      </c>
      <c r="H7" t="n">
        <v>906</v>
      </c>
      <c r="I7">
        <f>IS!I6*Inputs!$C$13/91.25</f>
        <v/>
      </c>
      <c r="J7">
        <f>IS!J6*Inputs!$C$13/91.25</f>
        <v/>
      </c>
      <c r="K7">
        <f>IS!K6*Inputs!$C$13/91.25</f>
        <v/>
      </c>
      <c r="M7">
        <f>IS!M6*Inputs!$C$13/365</f>
        <v/>
      </c>
      <c r="N7">
        <f>IS!N6*Inputs!$C$13/365</f>
        <v/>
      </c>
      <c r="O7">
        <f>IS!O6*Inputs!$C$13/365</f>
        <v/>
      </c>
      <c r="P7">
        <f>IS!P6*Inputs!$C$13/365</f>
        <v/>
      </c>
    </row>
    <row r="8">
      <c r="A8" t="inlineStr">
        <is>
          <t>Inventories</t>
        </is>
      </c>
      <c r="G8" t="n">
        <v>5230</v>
      </c>
      <c r="H8" t="n">
        <v>5598</v>
      </c>
      <c r="I8">
        <f>IS!I7*Inputs!$C$14/91.25</f>
        <v/>
      </c>
      <c r="J8">
        <f>IS!J7*Inputs!$C$14/91.25</f>
        <v/>
      </c>
      <c r="K8">
        <f>IS!K7*Inputs!$C$14/91.25</f>
        <v/>
      </c>
      <c r="M8">
        <f>IS!M7*Inputs!$C$14/365</f>
        <v/>
      </c>
      <c r="N8">
        <f>IS!N7*Inputs!$C$14/365</f>
        <v/>
      </c>
      <c r="O8">
        <f>IS!O7*Inputs!$C$14/365</f>
        <v/>
      </c>
      <c r="P8">
        <f>IS!P7*Inputs!$C$14/365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8504</v>
      </c>
      <c r="H10" t="n">
        <v>8740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1986</v>
      </c>
      <c r="H11" t="n">
        <v>1987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790</v>
      </c>
      <c r="H12" t="n">
        <v>790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0</v>
      </c>
      <c r="H13" t="n">
        <v>0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14670</v>
      </c>
      <c r="H15" t="n">
        <v>14890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4745</v>
      </c>
      <c r="H16" t="n">
        <v>5118</v>
      </c>
      <c r="I16">
        <f>IS!I7*Inputs!$C$15/91.25</f>
        <v/>
      </c>
      <c r="J16">
        <f>IS!J7*Inputs!$C$15/91.25</f>
        <v/>
      </c>
      <c r="K16">
        <f>IS!K7*Inputs!$C$15/91.25</f>
        <v/>
      </c>
      <c r="M16">
        <f>IS!M7*Inputs!$C$15/365</f>
        <v/>
      </c>
      <c r="N16">
        <f>IS!N7*Inputs!$C$15/365</f>
        <v/>
      </c>
      <c r="O16">
        <f>IS!O7*Inputs!$C$15/365</f>
        <v/>
      </c>
      <c r="P16">
        <f>IS!P7*Inputs!$C$15/365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11</v>
      </c>
      <c r="H18" t="n">
        <v>11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7679</v>
      </c>
      <c r="H20" t="n">
        <v>7797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1165</v>
      </c>
      <c r="H21" t="n">
        <v>1158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2964</v>
      </c>
      <c r="H25" t="n">
        <v>3083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14670</v>
      </c>
      <c r="H28" t="n">
        <v>14890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-IS!I6*Inputs!$C$11</f>
        <v/>
      </c>
      <c r="J10">
        <f>-IS!J6*Inputs!$C$11</f>
        <v/>
      </c>
      <c r="K10">
        <f>-IS!K6*Inputs!$C$11</f>
        <v/>
      </c>
      <c r="L10">
        <f>SUM(H10:K10)</f>
        <v/>
      </c>
      <c r="M10">
        <f>-IS!M6*Inputs!$C$11</f>
        <v/>
      </c>
      <c r="N10">
        <f>-IS!N6*Inputs!$C$11</f>
        <v/>
      </c>
      <c r="O10">
        <f>-IS!O6*Inputs!$C$11</f>
        <v/>
      </c>
      <c r="P10">
        <f>-IS!P6*Inputs!$C$11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Inputs!$C$20</f>
        <v/>
      </c>
      <c r="J11">
        <f>Inputs!$C$20</f>
        <v/>
      </c>
      <c r="K11">
        <f>Inputs!$C$20</f>
        <v/>
      </c>
      <c r="L11">
        <f>SUM(H11:K11)</f>
        <v/>
      </c>
      <c r="M11">
        <f>Inputs!$C$20*4</f>
        <v/>
      </c>
      <c r="N11">
        <f>Inputs!$C$20*4</f>
        <v/>
      </c>
      <c r="O11">
        <f>Inputs!$C$20*4</f>
        <v/>
      </c>
      <c r="P11">
        <f>Inputs!$C$20*4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-IS!I17*Inputs!$C$16</f>
        <v/>
      </c>
      <c r="J13">
        <f>-IS!J17*Inputs!$C$16</f>
        <v/>
      </c>
      <c r="K13">
        <f>-IS!K17*Inputs!$C$16</f>
        <v/>
      </c>
      <c r="L13">
        <f>SUM(H13:K13)</f>
        <v/>
      </c>
      <c r="M13">
        <f>-IS!M17*Inputs!$C$16</f>
        <v/>
      </c>
      <c r="N13">
        <f>-IS!N17*Inputs!$C$16</f>
        <v/>
      </c>
      <c r="O13">
        <f>-IS!O17*Inputs!$C$16</f>
        <v/>
      </c>
      <c r="P13">
        <f>-IS!P17*Inputs!$C$16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Inputs!$C$21</f>
        <v/>
      </c>
      <c r="J14">
        <f>Inputs!$C$21</f>
        <v/>
      </c>
      <c r="K14">
        <f>Inputs!$C$21</f>
        <v/>
      </c>
      <c r="L14">
        <f>SUM(H14:K14)</f>
        <v/>
      </c>
      <c r="M14">
        <f>Inputs!$C$21*4</f>
        <v/>
      </c>
      <c r="N14">
        <f>Inputs!$C$21*4</f>
        <v/>
      </c>
      <c r="O14">
        <f>Inputs!$C$21*4</f>
        <v/>
      </c>
      <c r="P14">
        <f>Inputs!$C$21*4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1962</v>
      </c>
      <c r="H21" t="n">
        <v>375</v>
      </c>
    </row>
    <row r="22">
      <c r="A22" t="inlineStr">
        <is>
          <t>Capital expenditures, year to date (as reported)</t>
        </is>
      </c>
      <c r="G22" t="n">
        <v>-704</v>
      </c>
      <c r="H22" t="n">
        <v>-160</v>
      </c>
    </row>
    <row r="23">
      <c r="A23" t="inlineStr">
        <is>
          <t>Cash from investing activities, year to date (as reported)</t>
        </is>
      </c>
      <c r="G23" t="n">
        <v>-730</v>
      </c>
      <c r="H23" t="n">
        <v>-160</v>
      </c>
    </row>
    <row r="24">
      <c r="A24" t="inlineStr">
        <is>
          <t>Cash from financing activities, year to date (as reported)</t>
        </is>
      </c>
      <c r="G24" t="n">
        <v>-1083</v>
      </c>
      <c r="H24" t="n">
        <v>-202</v>
      </c>
    </row>
    <row r="25">
      <c r="A25" t="inlineStr">
        <is>
          <t>Depreciation and amortization, year to date (as reported)</t>
        </is>
      </c>
      <c r="C25" t="n">
        <v>211</v>
      </c>
      <c r="D25" t="n">
        <v>422</v>
      </c>
      <c r="E25" t="n">
        <v>628</v>
      </c>
      <c r="G25" t="n">
        <v>831</v>
      </c>
      <c r="H25" t="n">
        <v>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-H7*Inputs!$C$12</f>
        <v/>
      </c>
      <c r="I8">
        <f>-I7*Inputs!$C$12</f>
        <v/>
      </c>
      <c r="J8">
        <f>-J7*Inputs!$C$12</f>
        <v/>
      </c>
      <c r="K8">
        <f>-K7*Inputs!$C$12</f>
        <v/>
      </c>
      <c r="M8">
        <f>-M7*Inputs!$C$12</f>
        <v/>
      </c>
      <c r="N8">
        <f>-N7*Inputs!$C$12</f>
        <v/>
      </c>
      <c r="O8">
        <f>-O7*Inputs!$C$12</f>
        <v/>
      </c>
      <c r="P8">
        <f>-P7*Inputs!$C$12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2026-10-14T06:17:43Z</dcterms:modified>
</cp:coreProperties>
</file>