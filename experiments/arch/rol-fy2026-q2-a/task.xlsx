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venue" sheetId="2" state="visible" r:id="rId2"/>
    <sheet name="IS" sheetId="3" state="visible" r:id="rId3"/>
    <sheet name="BS" sheetId="4" state="visible" r:id="rId4"/>
    <sheet name="CF" sheetId="5" state="visible" r:id="rId5"/>
    <sheet name="DCF" sheetId="6" state="visible" r:id="rId6"/>
    <sheet name="Scrat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Last reported quarter of FY2026</t>
        </is>
      </c>
      <c r="C4" t="n">
        <v>1</v>
      </c>
    </row>
    <row r="5">
      <c r="A5" t="inlineStr">
        <is>
          <t>Shares outstanding, latest 10-Q/10-K cover (millions)</t>
        </is>
      </c>
      <c r="C5" t="n">
        <v>481.463663</v>
      </c>
    </row>
    <row r="7">
      <c r="A7" t="inlineStr">
        <is>
          <t>Gross margin</t>
        </is>
      </c>
      <c r="C7" t="n">
        <v>0.5256999999999999</v>
      </c>
    </row>
    <row r="8">
      <c r="A8" t="inlineStr">
        <is>
          <t>SG&amp;A, % of revenue</t>
        </is>
      </c>
      <c r="C8" t="n">
        <v>0.3022</v>
      </c>
    </row>
    <row r="9">
      <c r="A9" t="inlineStr">
        <is>
          <t>Other operating expenses, % of revenue</t>
        </is>
      </c>
      <c r="C9" t="n">
        <v>0.0332</v>
      </c>
    </row>
    <row r="10">
      <c r="A10" t="inlineStr">
        <is>
          <t>Depreciation and amortization, % of revenue</t>
        </is>
      </c>
      <c r="C10" t="n">
        <v>0.0332</v>
      </c>
    </row>
    <row r="11">
      <c r="A11" t="inlineStr">
        <is>
          <t>Capital expenditures, % of revenue</t>
        </is>
      </c>
      <c r="C11" t="n">
        <v>0.0075</v>
      </c>
    </row>
    <row r="12">
      <c r="A12" t="inlineStr">
        <is>
          <t>Tax rate</t>
        </is>
      </c>
      <c r="C12" t="n">
        <v>0.249</v>
      </c>
    </row>
    <row r="13">
      <c r="A13" t="inlineStr">
        <is>
          <t>Days sales outstanding (on revenue)</t>
        </is>
      </c>
      <c r="C13" t="n">
        <v>19.7</v>
      </c>
    </row>
    <row r="14">
      <c r="A14" t="inlineStr">
        <is>
          <t>Days inventory outstanding (on cost of revenue)</t>
        </is>
      </c>
      <c r="C14" t="n">
        <v>8.800000000000001</v>
      </c>
    </row>
    <row r="15">
      <c r="A15" t="inlineStr">
        <is>
          <t>Days payables outstanding (on cost of revenue)</t>
        </is>
      </c>
      <c r="C15" t="n">
        <v>9.1</v>
      </c>
    </row>
    <row r="16">
      <c r="A16" t="inlineStr">
        <is>
          <t>Shareholder payouts and other financing, % of net income</t>
        </is>
      </c>
      <c r="C16" t="n">
        <v>0.65</v>
      </c>
    </row>
    <row r="17">
      <c r="A17" t="inlineStr">
        <is>
          <t>Interest expense, net, per year ($ in millions)</t>
        </is>
      </c>
      <c r="C17" t="n">
        <v>28.558</v>
      </c>
    </row>
    <row r="18">
      <c r="A18" t="inlineStr">
        <is>
          <t>Other non-operating income, per quarter ($ in millions)</t>
        </is>
      </c>
      <c r="C18" t="n">
        <v>0</v>
      </c>
    </row>
    <row r="19">
      <c r="A19" t="inlineStr">
        <is>
          <t>Other items after tax, per quarter ($ in millions)</t>
        </is>
      </c>
      <c r="C19" t="n">
        <v>0</v>
      </c>
    </row>
    <row r="20">
      <c r="A20" t="inlineStr">
        <is>
          <t>Other investing cash flow, per quarter ($ in millions)</t>
        </is>
      </c>
      <c r="C20" t="n">
        <v>0</v>
      </c>
    </row>
    <row r="21">
      <c r="A21" t="inlineStr">
        <is>
          <t>Exchange rate effect and other cash flow, per quarter ($ in millions)</t>
        </is>
      </c>
      <c r="C21" t="n">
        <v>0</v>
      </c>
    </row>
    <row r="23">
      <c r="A23" t="inlineStr">
        <is>
          <t>WACC</t>
        </is>
      </c>
      <c r="C23" t="n">
        <v>0.09</v>
      </c>
    </row>
    <row r="24">
      <c r="A24" t="inlineStr">
        <is>
          <t>Terminal growth rate</t>
        </is>
      </c>
      <c r="C24" t="n">
        <v>0.025</v>
      </c>
    </row>
    <row r="26">
      <c r="A26" t="inlineStr">
        <is>
          <t>Revenue growth drivers by region: see the Revenue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revenue by region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Other countries</t>
        </is>
      </c>
      <c r="C6" t="n">
        <v>59.154</v>
      </c>
      <c r="D6" t="n">
        <v>71.845</v>
      </c>
      <c r="E6" t="n">
        <v>73.429</v>
      </c>
      <c r="F6">
        <f>G6-C6-D6-E6</f>
        <v/>
      </c>
      <c r="G6" t="n">
        <v>269.725</v>
      </c>
      <c r="H6" t="n">
        <v>66.54900000000001</v>
      </c>
      <c r="I6">
        <f>D6*(1+L11)</f>
        <v/>
      </c>
      <c r="J6">
        <f>E6*(1+L11)</f>
        <v/>
      </c>
      <c r="K6">
        <f>F6*(1+L11)</f>
        <v/>
      </c>
      <c r="L6">
        <f>SUM(H6:K6)</f>
        <v/>
      </c>
      <c r="M6">
        <f>L6*(1+M11)</f>
        <v/>
      </c>
      <c r="N6">
        <f>M6*(1+N11)</f>
        <v/>
      </c>
      <c r="O6">
        <f>N6*(1+O11)</f>
        <v/>
      </c>
      <c r="P6">
        <f>O6*(1+P11)</f>
        <v/>
      </c>
    </row>
    <row r="7">
      <c r="A7" t="inlineStr">
        <is>
          <t>United States</t>
        </is>
      </c>
      <c r="C7" t="n">
        <v>763.35</v>
      </c>
      <c r="D7" t="n">
        <v>927.682</v>
      </c>
      <c r="E7" t="n">
        <v>952.677</v>
      </c>
      <c r="F7">
        <f>G7-C7-D7-E7</f>
        <v/>
      </c>
      <c r="G7" t="n">
        <v>3491.325</v>
      </c>
      <c r="H7" t="n">
        <v>839.875</v>
      </c>
      <c r="I7">
        <f>D7*(1+L12)</f>
        <v/>
      </c>
      <c r="J7">
        <f>E7*(1+L12)</f>
        <v/>
      </c>
      <c r="K7">
        <f>F7*(1+L12)</f>
        <v/>
      </c>
      <c r="L7">
        <f>SUM(H7:K7)</f>
        <v/>
      </c>
      <c r="M7">
        <f>L7*(1+M12)</f>
        <v/>
      </c>
      <c r="N7">
        <f>M7*(1+N12)</f>
        <v/>
      </c>
      <c r="O7">
        <f>N7*(1+O12)</f>
        <v/>
      </c>
      <c r="P7">
        <f>O7*(1+P12)</f>
        <v/>
      </c>
    </row>
    <row r="8">
      <c r="A8" t="inlineStr">
        <is>
          <t>Total revenue</t>
        </is>
      </c>
      <c r="C8">
        <f>C6+C7</f>
        <v/>
      </c>
      <c r="D8">
        <f>D6+D7</f>
        <v/>
      </c>
      <c r="E8">
        <f>E6+E7</f>
        <v/>
      </c>
      <c r="F8">
        <f>F6+F7</f>
        <v/>
      </c>
      <c r="G8">
        <f>G6+G7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  <c r="L8">
        <f>L6+L7</f>
        <v/>
      </c>
      <c r="M8">
        <f>M6+M7</f>
        <v/>
      </c>
      <c r="N8">
        <f>N6+N7</f>
        <v/>
      </c>
      <c r="O8">
        <f>O6+O7</f>
        <v/>
      </c>
      <c r="P8">
        <f>P6+P7</f>
        <v/>
      </c>
    </row>
    <row r="10">
      <c r="A10" t="inlineStr">
        <is>
          <t>Growth drivers: FY2026 quarters vs. the same quarter of FY2025 (column L), and each forecast year</t>
        </is>
      </c>
    </row>
    <row r="11">
      <c r="A11" t="inlineStr">
        <is>
          <t>Growth: Other countries</t>
        </is>
      </c>
      <c r="L11" t="n">
        <v>0.099</v>
      </c>
      <c r="M11" t="n">
        <v>0.099</v>
      </c>
      <c r="N11" t="n">
        <v>0.08400000000000001</v>
      </c>
      <c r="O11" t="n">
        <v>0.06900000000000001</v>
      </c>
      <c r="P11" t="n">
        <v>0.054</v>
      </c>
    </row>
    <row r="12">
      <c r="A12" t="inlineStr">
        <is>
          <t>Growth: United States</t>
        </is>
      </c>
      <c r="L12" t="n">
        <v>0.111</v>
      </c>
      <c r="M12" t="n">
        <v>0.111</v>
      </c>
      <c r="N12" t="n">
        <v>0.094</v>
      </c>
      <c r="O12" t="n">
        <v>0.078</v>
      </c>
      <c r="P12" t="n">
        <v>0.061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income statement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>
        <f>Revenue!C8</f>
        <v/>
      </c>
      <c r="D6">
        <f>Revenue!D8</f>
        <v/>
      </c>
      <c r="E6">
        <f>Revenue!E8</f>
        <v/>
      </c>
      <c r="F6">
        <f>Revenue!F8</f>
        <v/>
      </c>
      <c r="G6">
        <f>Revenue!G8</f>
        <v/>
      </c>
      <c r="H6">
        <f>Revenue!H8</f>
        <v/>
      </c>
      <c r="I6">
        <f>Revenue!I8</f>
        <v/>
      </c>
      <c r="J6">
        <f>Revenue!J8</f>
        <v/>
      </c>
      <c r="K6">
        <f>Revenue!K8</f>
        <v/>
      </c>
      <c r="L6">
        <f>Revenue!L8</f>
        <v/>
      </c>
      <c r="M6">
        <f>Revenue!M8</f>
        <v/>
      </c>
      <c r="N6">
        <f>Revenue!N8</f>
        <v/>
      </c>
      <c r="O6">
        <f>Revenue!O8</f>
        <v/>
      </c>
      <c r="P6">
        <f>Revenue!P8</f>
        <v/>
      </c>
    </row>
    <row r="7">
      <c r="A7" t="inlineStr">
        <is>
          <t>Cost of revenue</t>
        </is>
      </c>
      <c r="C7" t="n">
        <v>400.134</v>
      </c>
      <c r="D7" t="n">
        <v>461.861</v>
      </c>
      <c r="E7" t="n">
        <v>467.45</v>
      </c>
      <c r="F7">
        <f>G7-C7-D7-E7</f>
        <v/>
      </c>
      <c r="G7" t="n">
        <v>1777.006</v>
      </c>
      <c r="H7" t="n">
        <v>445.522</v>
      </c>
      <c r="I7">
        <f>I6*(1-Inputs!$C$7)</f>
        <v/>
      </c>
      <c r="J7">
        <f>J6*(1-Inputs!$C$7)</f>
        <v/>
      </c>
      <c r="K7">
        <f>K6*(1-Inputs!$C$7)</f>
        <v/>
      </c>
      <c r="L7">
        <f>SUM(H7:K7)</f>
        <v/>
      </c>
      <c r="M7">
        <f>M6*(1-Inputs!$C$7)</f>
        <v/>
      </c>
      <c r="N7">
        <f>N6*(1-Inputs!$C$7)</f>
        <v/>
      </c>
      <c r="O7">
        <f>O6*(1-Inputs!$C$7)</f>
        <v/>
      </c>
      <c r="P7">
        <f>P6*(1-Inputs!$C$7)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250.513</v>
      </c>
      <c r="D9" t="n">
        <v>307.596</v>
      </c>
      <c r="E9" t="n">
        <v>301.404</v>
      </c>
      <c r="F9">
        <f>G9-C9-D9-E9</f>
        <v/>
      </c>
      <c r="G9" t="n">
        <v>1133.232</v>
      </c>
      <c r="H9" t="n">
        <v>282.918</v>
      </c>
      <c r="I9">
        <f>I6*Inputs!$C$8</f>
        <v/>
      </c>
      <c r="J9">
        <f>J6*Inputs!$C$8</f>
        <v/>
      </c>
      <c r="K9">
        <f>K6*Inputs!$C$8</f>
        <v/>
      </c>
      <c r="L9">
        <f>SUM(H9:K9)</f>
        <v/>
      </c>
      <c r="M9">
        <f>M6*Inputs!$C$8</f>
        <v/>
      </c>
      <c r="N9">
        <f>N6*Inputs!$C$8</f>
        <v/>
      </c>
      <c r="O9">
        <f>O6*Inputs!$C$8</f>
        <v/>
      </c>
      <c r="P9">
        <f>P6*Inputs!$C$8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I6*Inputs!$C$9</f>
        <v/>
      </c>
      <c r="J10">
        <f>J6*Inputs!$C$9</f>
        <v/>
      </c>
      <c r="K10">
        <f>K6*Inputs!$C$9</f>
        <v/>
      </c>
      <c r="L10">
        <f>L8-L9-L11</f>
        <v/>
      </c>
      <c r="M10">
        <f>M6*Inputs!$C$9</f>
        <v/>
      </c>
      <c r="N10">
        <f>N6*Inputs!$C$9</f>
        <v/>
      </c>
      <c r="O10">
        <f>O6*Inputs!$C$9</f>
        <v/>
      </c>
      <c r="P10">
        <f>P6*Inputs!$C$9</f>
        <v/>
      </c>
    </row>
    <row r="11">
      <c r="A11" t="inlineStr">
        <is>
          <t>Operating income</t>
        </is>
      </c>
      <c r="C11" t="n">
        <v>142.648</v>
      </c>
      <c r="D11" t="n">
        <v>198.333</v>
      </c>
      <c r="E11" t="n">
        <v>225.021</v>
      </c>
      <c r="F11">
        <f>G11-C11-D11-E11</f>
        <v/>
      </c>
      <c r="G11" t="n">
        <v>726.068</v>
      </c>
      <c r="H11" t="n">
        <v>145.486</v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5.796</v>
      </c>
      <c r="D12" t="n">
        <v>7.38</v>
      </c>
      <c r="E12" t="n">
        <v>7.942</v>
      </c>
      <c r="F12">
        <f>G12-C12-D12-E12</f>
        <v/>
      </c>
      <c r="G12" t="n">
        <v>28.558</v>
      </c>
      <c r="H12" t="n">
        <v>8.851000000000001</v>
      </c>
      <c r="I12">
        <f>Inputs!$C$17/4</f>
        <v/>
      </c>
      <c r="J12">
        <f>Inputs!$C$17/4</f>
        <v/>
      </c>
      <c r="K12">
        <f>Inputs!$C$17/4</f>
        <v/>
      </c>
      <c r="L12">
        <f>SUM(H12:K12)</f>
        <v/>
      </c>
      <c r="M12">
        <f>Inputs!$C$17</f>
        <v/>
      </c>
      <c r="N12">
        <f>Inputs!$C$17</f>
        <v/>
      </c>
      <c r="O12">
        <f>Inputs!$C$17</f>
        <v/>
      </c>
      <c r="P12">
        <f>Inputs!$C$17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Inputs!$C$18</f>
        <v/>
      </c>
      <c r="J13">
        <f>Inputs!$C$18</f>
        <v/>
      </c>
      <c r="K13">
        <f>Inputs!$C$18</f>
        <v/>
      </c>
      <c r="L13">
        <f>L14-L11+L12</f>
        <v/>
      </c>
      <c r="M13">
        <f>Inputs!$C$18*4</f>
        <v/>
      </c>
      <c r="N13">
        <f>Inputs!$C$18*4</f>
        <v/>
      </c>
      <c r="O13">
        <f>Inputs!$C$18*4</f>
        <v/>
      </c>
      <c r="P13">
        <f>Inputs!$C$18*4</f>
        <v/>
      </c>
    </row>
    <row r="14">
      <c r="A14" t="inlineStr">
        <is>
          <t>Income before income taxes</t>
        </is>
      </c>
      <c r="C14" t="n">
        <v>137.544</v>
      </c>
      <c r="D14" t="n">
        <v>191.245</v>
      </c>
      <c r="E14" t="n">
        <v>217.429</v>
      </c>
      <c r="F14">
        <f>G14-C14-D14-E14</f>
        <v/>
      </c>
      <c r="G14" t="n">
        <v>700.926</v>
      </c>
      <c r="H14" t="n">
        <v>137.098</v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32.296</v>
      </c>
      <c r="D15" t="n">
        <v>49.756</v>
      </c>
      <c r="E15" t="n">
        <v>53.902</v>
      </c>
      <c r="F15">
        <f>G15-C15-D15-E15</f>
        <v/>
      </c>
      <c r="G15" t="n">
        <v>174.221</v>
      </c>
      <c r="H15" t="n">
        <v>29.26</v>
      </c>
      <c r="I15">
        <f>I14*Inputs!$C$12</f>
        <v/>
      </c>
      <c r="J15">
        <f>J14*Inputs!$C$12</f>
        <v/>
      </c>
      <c r="K15">
        <f>K14*Inputs!$C$12</f>
        <v/>
      </c>
      <c r="L15">
        <f>SUM(H15:K15)</f>
        <v/>
      </c>
      <c r="M15">
        <f>M14*Inputs!$C$12</f>
        <v/>
      </c>
      <c r="N15">
        <f>N14*Inputs!$C$12</f>
        <v/>
      </c>
      <c r="O15">
        <f>O14*Inputs!$C$12</f>
        <v/>
      </c>
      <c r="P15">
        <f>P14*Inputs!$C$12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Inputs!$C$19</f>
        <v/>
      </c>
      <c r="J16">
        <f>Inputs!$C$19</f>
        <v/>
      </c>
      <c r="K16">
        <f>Inputs!$C$19</f>
        <v/>
      </c>
      <c r="L16">
        <f>L17-(L14-L15)</f>
        <v/>
      </c>
      <c r="M16">
        <f>Inputs!$C$19*4</f>
        <v/>
      </c>
      <c r="N16">
        <f>Inputs!$C$19*4</f>
        <v/>
      </c>
      <c r="O16">
        <f>Inputs!$C$19*4</f>
        <v/>
      </c>
      <c r="P16">
        <f>Inputs!$C$19*4</f>
        <v/>
      </c>
    </row>
    <row r="17">
      <c r="A17" t="inlineStr">
        <is>
          <t>Net income attributable to the company</t>
        </is>
      </c>
      <c r="C17" t="n">
        <v>105.248</v>
      </c>
      <c r="D17" t="n">
        <v>141.489</v>
      </c>
      <c r="E17" t="n">
        <v>163.527</v>
      </c>
      <c r="F17">
        <f>G17-C17-D17-E17</f>
        <v/>
      </c>
      <c r="G17" t="n">
        <v>526.705</v>
      </c>
      <c r="H17" t="n">
        <v>107.838</v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I6*Inputs!$C$10</f>
        <v/>
      </c>
      <c r="J18">
        <f>J6*Inputs!$C$10</f>
        <v/>
      </c>
      <c r="K18">
        <f>K6*Inputs!$C$10</f>
        <v/>
      </c>
      <c r="L18">
        <f>SUM(H18:K18)</f>
        <v/>
      </c>
      <c r="M18">
        <f>M6*Inputs!$C$10</f>
        <v/>
      </c>
      <c r="N18">
        <f>N6*Inputs!$C$10</f>
        <v/>
      </c>
      <c r="O18">
        <f>O6*Inputs!$C$10</f>
        <v/>
      </c>
      <c r="P18">
        <f>P6*Inputs!$C$10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balance sheet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100.004</v>
      </c>
      <c r="H6" t="n">
        <v>116.543</v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202.518</v>
      </c>
      <c r="H7" t="n">
        <v>210.721</v>
      </c>
      <c r="I7">
        <f>IS!I6*Inputs!$C$13/91.25</f>
        <v/>
      </c>
      <c r="J7">
        <f>IS!J6*Inputs!$C$13/91.25</f>
        <v/>
      </c>
      <c r="K7">
        <f>IS!K6*Inputs!$C$13/91.25</f>
        <v/>
      </c>
      <c r="M7">
        <f>IS!M6*Inputs!$C$13/365</f>
        <v/>
      </c>
      <c r="N7">
        <f>IS!N6*Inputs!$C$13/365</f>
        <v/>
      </c>
      <c r="O7">
        <f>IS!O6*Inputs!$C$13/365</f>
        <v/>
      </c>
      <c r="P7">
        <f>IS!P6*Inputs!$C$13/365</f>
        <v/>
      </c>
    </row>
    <row r="8">
      <c r="A8" t="inlineStr">
        <is>
          <t>Inventories</t>
        </is>
      </c>
      <c r="G8" t="n">
        <v>42.982</v>
      </c>
      <c r="H8" t="n">
        <v>44.128</v>
      </c>
      <c r="I8">
        <f>IS!I7*Inputs!$C$14/91.25</f>
        <v/>
      </c>
      <c r="J8">
        <f>IS!J7*Inputs!$C$14/91.25</f>
        <v/>
      </c>
      <c r="K8">
        <f>IS!K7*Inputs!$C$14/91.25</f>
        <v/>
      </c>
      <c r="M8">
        <f>IS!M7*Inputs!$C$14/365</f>
        <v/>
      </c>
      <c r="N8">
        <f>IS!N7*Inputs!$C$14/365</f>
        <v/>
      </c>
      <c r="O8">
        <f>IS!O7*Inputs!$C$14/365</f>
        <v/>
      </c>
      <c r="P8">
        <f>IS!P7*Inputs!$C$14/365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472.682</v>
      </c>
      <c r="H10" t="n">
        <v>513.678</v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126.187</v>
      </c>
      <c r="H11" t="n">
        <v>124.91</v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1374.664</v>
      </c>
      <c r="H12" t="n">
        <v>1384.591</v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582.384</v>
      </c>
      <c r="H13" t="n">
        <v>565.723</v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3140.523</v>
      </c>
      <c r="H15" t="n">
        <v>3160.234</v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44.361</v>
      </c>
      <c r="H16" t="n">
        <v>61.188</v>
      </c>
      <c r="I16">
        <f>IS!I7*Inputs!$C$15/91.25</f>
        <v/>
      </c>
      <c r="J16">
        <f>IS!J7*Inputs!$C$15/91.25</f>
        <v/>
      </c>
      <c r="K16">
        <f>IS!K7*Inputs!$C$15/91.25</f>
        <v/>
      </c>
      <c r="M16">
        <f>IS!M7*Inputs!$C$15/365</f>
        <v/>
      </c>
      <c r="N16">
        <f>IS!N7*Inputs!$C$15/365</f>
        <v/>
      </c>
      <c r="O16">
        <f>IS!O7*Inputs!$C$15/365</f>
        <v/>
      </c>
      <c r="P16">
        <f>IS!P7*Inputs!$C$15/365</f>
        <v/>
      </c>
    </row>
    <row r="17">
      <c r="A17" t="inlineStr">
        <is>
          <t>Short-term borrowings</t>
        </is>
      </c>
      <c r="G17" t="n">
        <v>123.683</v>
      </c>
      <c r="H17" t="n">
        <v>163.926</v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0</v>
      </c>
      <c r="H18" t="n">
        <v>0</v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785.525</v>
      </c>
      <c r="H20" t="n">
        <v>794.663</v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486.147</v>
      </c>
      <c r="H21" t="n">
        <v>486.627</v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H28-H20-H21-H24-H25-H26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 t="n">
        <v>0</v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1374.321</v>
      </c>
      <c r="H25" t="n">
        <v>1381.688</v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 t="n">
        <v>0</v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3140.523</v>
      </c>
      <c r="H28" t="n">
        <v>3160.234</v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cash flow statement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-IS!I6*Inputs!$C$11</f>
        <v/>
      </c>
      <c r="J10">
        <f>-IS!J6*Inputs!$C$11</f>
        <v/>
      </c>
      <c r="K10">
        <f>-IS!K6*Inputs!$C$11</f>
        <v/>
      </c>
      <c r="L10">
        <f>SUM(H10:K10)</f>
        <v/>
      </c>
      <c r="M10">
        <f>-IS!M6*Inputs!$C$11</f>
        <v/>
      </c>
      <c r="N10">
        <f>-IS!N6*Inputs!$C$11</f>
        <v/>
      </c>
      <c r="O10">
        <f>-IS!O6*Inputs!$C$11</f>
        <v/>
      </c>
      <c r="P10">
        <f>-IS!P6*Inputs!$C$11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Inputs!$C$20</f>
        <v/>
      </c>
      <c r="J11">
        <f>Inputs!$C$20</f>
        <v/>
      </c>
      <c r="K11">
        <f>Inputs!$C$20</f>
        <v/>
      </c>
      <c r="L11">
        <f>SUM(H11:K11)</f>
        <v/>
      </c>
      <c r="M11">
        <f>Inputs!$C$20*4</f>
        <v/>
      </c>
      <c r="N11">
        <f>Inputs!$C$20*4</f>
        <v/>
      </c>
      <c r="O11">
        <f>Inputs!$C$20*4</f>
        <v/>
      </c>
      <c r="P11">
        <f>Inputs!$C$20*4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-IS!I17*Inputs!$C$16</f>
        <v/>
      </c>
      <c r="J13">
        <f>-IS!J17*Inputs!$C$16</f>
        <v/>
      </c>
      <c r="K13">
        <f>-IS!K17*Inputs!$C$16</f>
        <v/>
      </c>
      <c r="L13">
        <f>SUM(H13:K13)</f>
        <v/>
      </c>
      <c r="M13">
        <f>-IS!M17*Inputs!$C$16</f>
        <v/>
      </c>
      <c r="N13">
        <f>-IS!N17*Inputs!$C$16</f>
        <v/>
      </c>
      <c r="O13">
        <f>-IS!O17*Inputs!$C$16</f>
        <v/>
      </c>
      <c r="P13">
        <f>-IS!P17*Inputs!$C$16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Inputs!$C$21</f>
        <v/>
      </c>
      <c r="J14">
        <f>Inputs!$C$21</f>
        <v/>
      </c>
      <c r="K14">
        <f>Inputs!$C$21</f>
        <v/>
      </c>
      <c r="L14">
        <f>SUM(H14:K14)</f>
        <v/>
      </c>
      <c r="M14">
        <f>Inputs!$C$21*4</f>
        <v/>
      </c>
      <c r="N14">
        <f>Inputs!$C$21*4</f>
        <v/>
      </c>
      <c r="O14">
        <f>Inputs!$C$21*4</f>
        <v/>
      </c>
      <c r="P14">
        <f>Inputs!$C$21*4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678.107</v>
      </c>
      <c r="H21" t="n">
        <v>118.367</v>
      </c>
    </row>
    <row r="22">
      <c r="A22" t="inlineStr">
        <is>
          <t>Capital expenditures, year to date (as reported)</t>
        </is>
      </c>
      <c r="G22" t="n">
        <v>-28.086</v>
      </c>
      <c r="H22" t="n">
        <v>-7.139</v>
      </c>
    </row>
    <row r="23">
      <c r="A23" t="inlineStr">
        <is>
          <t>Cash from investing activities, year to date (as reported)</t>
        </is>
      </c>
      <c r="G23" t="n">
        <v>-326.699</v>
      </c>
      <c r="H23" t="n">
        <v>-24.567</v>
      </c>
    </row>
    <row r="24">
      <c r="A24" t="inlineStr">
        <is>
          <t>Cash from financing activities, year to date (as reported)</t>
        </is>
      </c>
      <c r="G24" t="n">
        <v>-343.579</v>
      </c>
      <c r="H24" t="n">
        <v>-76.19199999999999</v>
      </c>
    </row>
    <row r="25">
      <c r="A25" t="inlineStr">
        <is>
          <t>Depreciation and amortization, year to date (as reported)</t>
        </is>
      </c>
      <c r="C25" t="n">
        <v>29.209</v>
      </c>
      <c r="D25" t="n">
        <v>60.946</v>
      </c>
      <c r="E25" t="n">
        <v>93.17700000000001</v>
      </c>
      <c r="G25" t="n">
        <v>124.744</v>
      </c>
      <c r="H25" t="n">
        <v>32.498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unlevered DCF and valuation</t>
        </is>
      </c>
    </row>
    <row r="2">
      <c r="A2" t="inlineStr">
        <is>
          <t>$ in millions</t>
        </is>
      </c>
    </row>
    <row r="3"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-H7*Inputs!$C$12</f>
        <v/>
      </c>
      <c r="I8">
        <f>-I7*Inputs!$C$12</f>
        <v/>
      </c>
      <c r="J8">
        <f>-J7*Inputs!$C$12</f>
        <v/>
      </c>
      <c r="K8">
        <f>-K7*Inputs!$C$12</f>
        <v/>
      </c>
      <c r="M8">
        <f>-M7*Inputs!$C$12</f>
        <v/>
      </c>
      <c r="N8">
        <f>-N7*Inputs!$C$12</f>
        <v/>
      </c>
      <c r="O8">
        <f>-O7*Inputs!$C$12</f>
        <v/>
      </c>
      <c r="P8">
        <f>-P7*Inputs!$C$12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1/(1+Inputs!$C$23)^M14</f>
        <v/>
      </c>
      <c r="N15">
        <f>1/(1+Inputs!$C$23)^N14</f>
        <v/>
      </c>
      <c r="O15">
        <f>1/(1+Inputs!$C$23)^O14</f>
        <v/>
      </c>
      <c r="P15">
        <f>1/(1+Inputs!$C$23)^P14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SUM(IS!D6:F6)+SUM(IS!H6:H6)</f>
        <v/>
      </c>
    </row>
    <row r="19">
      <c r="A19" t="inlineStr">
        <is>
          <t>EBITDA, last four reported quarters</t>
        </is>
      </c>
      <c r="C19">
        <f>SUM(IS!D19:F19)+SUM(IS!H19:H19)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1/(1+Inputs!$C$23)^C20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P13*(1+Inputs!$C$24)/(Inputs!$C$23-Inputs!$C$24)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BS!H6</f>
        <v/>
      </c>
    </row>
    <row r="28">
      <c r="A28" t="inlineStr">
        <is>
          <t>Short-term borrowings (latest reported balance sheet)</t>
        </is>
      </c>
      <c r="C28">
        <f>BS!H17</f>
        <v/>
      </c>
    </row>
    <row r="29">
      <c r="A29" t="inlineStr">
        <is>
          <t>Current portion of long-term debt (latest reported balance sheet)</t>
        </is>
      </c>
      <c r="C29">
        <f>BS!H18</f>
        <v/>
      </c>
    </row>
    <row r="30">
      <c r="A30" t="inlineStr">
        <is>
          <t>Long-term debt (latest reported balance sheet)</t>
        </is>
      </c>
      <c r="C30">
        <f>BS!H21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BS!H26+BS!H24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2026-10-14T06:17:50Z</dcterms:modified>
</cp:coreProperties>
</file>