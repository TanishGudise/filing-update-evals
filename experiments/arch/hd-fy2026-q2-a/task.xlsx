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evenue" sheetId="2" state="visible" r:id="rId2"/>
    <sheet name="IS" sheetId="3" state="visible" r:id="rId3"/>
    <sheet name="BS" sheetId="4" state="visible" r:id="rId4"/>
    <sheet name="CF" sheetId="5" state="visible" r:id="rId5"/>
    <sheet name="DCF" sheetId="6" state="visible" r:id="rId6"/>
    <sheet name="Scrat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HOME DEPOT, INC.: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Last reported quarter of FY2026</t>
        </is>
      </c>
      <c r="C4" t="n">
        <v>1</v>
      </c>
    </row>
    <row r="5">
      <c r="A5" t="inlineStr">
        <is>
          <t>Shares outstanding, latest 10-Q/10-K cover (millions)</t>
        </is>
      </c>
      <c r="C5" t="n">
        <v>997.116682</v>
      </c>
    </row>
    <row r="7">
      <c r="A7" t="inlineStr">
        <is>
          <t>Gross margin</t>
        </is>
      </c>
      <c r="C7" t="n">
        <v>0.3341</v>
      </c>
    </row>
    <row r="8">
      <c r="A8" t="inlineStr">
        <is>
          <t>SG&amp;A, % of revenue</t>
        </is>
      </c>
      <c r="C8" t="n">
        <v>0.1868</v>
      </c>
    </row>
    <row r="9">
      <c r="A9" t="inlineStr">
        <is>
          <t>Other operating expenses, % of revenue</t>
        </is>
      </c>
      <c r="C9" t="n">
        <v>0.02</v>
      </c>
    </row>
    <row r="10">
      <c r="A10" t="inlineStr">
        <is>
          <t>Depreciation and amortization, % of revenue</t>
        </is>
      </c>
      <c r="C10" t="n">
        <v>0.0213</v>
      </c>
    </row>
    <row r="11">
      <c r="A11" t="inlineStr">
        <is>
          <t>Capital expenditures, % of revenue</t>
        </is>
      </c>
      <c r="C11" t="n">
        <v>0.0223</v>
      </c>
    </row>
    <row r="12">
      <c r="A12" t="inlineStr">
        <is>
          <t>Tax rate</t>
        </is>
      </c>
      <c r="C12" t="n">
        <v>0.239</v>
      </c>
    </row>
    <row r="13">
      <c r="A13" t="inlineStr">
        <is>
          <t>Days sales outstanding (on revenue)</t>
        </is>
      </c>
      <c r="C13" t="n">
        <v>12.4</v>
      </c>
    </row>
    <row r="14">
      <c r="A14" t="inlineStr">
        <is>
          <t>Days inventory outstanding (on cost of revenue)</t>
        </is>
      </c>
      <c r="C14" t="n">
        <v>85.8</v>
      </c>
    </row>
    <row r="15">
      <c r="A15" t="inlineStr">
        <is>
          <t>Days payables outstanding (on cost of revenue)</t>
        </is>
      </c>
      <c r="C15" t="n">
        <v>38.2</v>
      </c>
    </row>
    <row r="16">
      <c r="A16" t="inlineStr">
        <is>
          <t>Shareholder payouts and other financing, % of net income</t>
        </is>
      </c>
      <c r="C16" t="n">
        <v>0.54</v>
      </c>
    </row>
    <row r="17">
      <c r="A17" t="inlineStr">
        <is>
          <t>Interest expense, net, per year ($ in millions)</t>
        </is>
      </c>
      <c r="C17" t="n">
        <v>2412</v>
      </c>
    </row>
    <row r="18">
      <c r="A18" t="inlineStr">
        <is>
          <t>Other non-operating income, per quarter ($ in millions)</t>
        </is>
      </c>
      <c r="C18" t="n">
        <v>0</v>
      </c>
    </row>
    <row r="19">
      <c r="A19" t="inlineStr">
        <is>
          <t>Other items after tax, per quarter ($ in millions)</t>
        </is>
      </c>
      <c r="C19" t="n">
        <v>0</v>
      </c>
    </row>
    <row r="20">
      <c r="A20" t="inlineStr">
        <is>
          <t>Other investing cash flow, per quarter ($ in millions)</t>
        </is>
      </c>
      <c r="C20" t="n">
        <v>0</v>
      </c>
    </row>
    <row r="21">
      <c r="A21" t="inlineStr">
        <is>
          <t>Exchange rate effect and other cash flow, per quarter ($ in millions)</t>
        </is>
      </c>
      <c r="C21" t="n">
        <v>0</v>
      </c>
    </row>
    <row r="23">
      <c r="A23" t="inlineStr">
        <is>
          <t>WACC</t>
        </is>
      </c>
      <c r="C23" t="n">
        <v>0.09</v>
      </c>
    </row>
    <row r="24">
      <c r="A24" t="inlineStr">
        <is>
          <t>Terminal growth rate</t>
        </is>
      </c>
      <c r="C24" t="n">
        <v>0.025</v>
      </c>
    </row>
    <row r="26">
      <c r="A26" t="inlineStr">
        <is>
          <t>Revenue growth drivers by segment: see the Revenue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HOME DEPOT, INC.: revenue by segment</t>
        </is>
      </c>
    </row>
    <row r="2">
      <c r="A2" t="inlineStr">
        <is>
          <t>$ in millions</t>
        </is>
      </c>
    </row>
    <row r="3">
      <c r="C3" t="inlineStr">
        <is>
          <t>Q1 FY2025</t>
        </is>
      </c>
      <c r="D3" t="inlineStr">
        <is>
          <t>Q2 FY2025</t>
        </is>
      </c>
      <c r="E3" t="inlineStr">
        <is>
          <t>Q3 FY2025</t>
        </is>
      </c>
      <c r="F3" t="inlineStr">
        <is>
          <t>Q4 FY2025</t>
        </is>
      </c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Other</t>
        </is>
      </c>
      <c r="C6" t="n">
        <v>2569</v>
      </c>
      <c r="D6" t="n">
        <v>3120</v>
      </c>
      <c r="E6" t="n">
        <v>3890</v>
      </c>
      <c r="F6">
        <f>G6-C6-D6-E6</f>
        <v/>
      </c>
      <c r="G6" t="n">
        <v>12717</v>
      </c>
      <c r="H6" t="n">
        <v>4002</v>
      </c>
      <c r="I6">
        <f>D6*(1+L11)</f>
        <v/>
      </c>
      <c r="J6">
        <f>E6*(1+L11)</f>
        <v/>
      </c>
      <c r="K6">
        <f>F6*(1+L11)</f>
        <v/>
      </c>
      <c r="L6">
        <f>SUM(H6:K6)</f>
        <v/>
      </c>
      <c r="M6">
        <f>L6*(1+M11)</f>
        <v/>
      </c>
      <c r="N6">
        <f>M6*(1+N11)</f>
        <v/>
      </c>
      <c r="O6">
        <f>N6*(1+O11)</f>
        <v/>
      </c>
      <c r="P6">
        <f>O6*(1+P11)</f>
        <v/>
      </c>
    </row>
    <row r="7">
      <c r="A7" t="inlineStr">
        <is>
          <t>Primary</t>
        </is>
      </c>
      <c r="C7" t="n">
        <v>37287</v>
      </c>
      <c r="D7" t="n">
        <v>42157</v>
      </c>
      <c r="E7" t="n">
        <v>37462</v>
      </c>
      <c r="F7">
        <f>G7-C7-D7-E7</f>
        <v/>
      </c>
      <c r="G7" t="n">
        <v>151966</v>
      </c>
      <c r="H7" t="n">
        <v>37763</v>
      </c>
      <c r="I7">
        <f>D7*(1+L12)</f>
        <v/>
      </c>
      <c r="J7">
        <f>E7*(1+L12)</f>
        <v/>
      </c>
      <c r="K7">
        <f>F7*(1+L12)</f>
        <v/>
      </c>
      <c r="L7">
        <f>SUM(H7:K7)</f>
        <v/>
      </c>
      <c r="M7">
        <f>L7*(1+M12)</f>
        <v/>
      </c>
      <c r="N7">
        <f>M7*(1+N12)</f>
        <v/>
      </c>
      <c r="O7">
        <f>N7*(1+O12)</f>
        <v/>
      </c>
      <c r="P7">
        <f>O7*(1+P12)</f>
        <v/>
      </c>
    </row>
    <row r="8">
      <c r="A8" t="inlineStr">
        <is>
          <t>Total revenue</t>
        </is>
      </c>
      <c r="C8">
        <f>C6+C7</f>
        <v/>
      </c>
      <c r="D8">
        <f>D6+D7</f>
        <v/>
      </c>
      <c r="E8">
        <f>E6+E7</f>
        <v/>
      </c>
      <c r="F8">
        <f>F6+F7</f>
        <v/>
      </c>
      <c r="G8">
        <f>G6+G7</f>
        <v/>
      </c>
      <c r="H8">
        <f>H6+H7</f>
        <v/>
      </c>
      <c r="I8">
        <f>I6+I7</f>
        <v/>
      </c>
      <c r="J8">
        <f>J6+J7</f>
        <v/>
      </c>
      <c r="K8">
        <f>K6+K7</f>
        <v/>
      </c>
      <c r="L8">
        <f>L6+L7</f>
        <v/>
      </c>
      <c r="M8">
        <f>M6+M7</f>
        <v/>
      </c>
      <c r="N8">
        <f>N6+N7</f>
        <v/>
      </c>
      <c r="O8">
        <f>O6+O7</f>
        <v/>
      </c>
      <c r="P8">
        <f>P6+P7</f>
        <v/>
      </c>
    </row>
    <row r="10">
      <c r="A10" t="inlineStr">
        <is>
          <t>Growth drivers: FY2026 quarters vs. the same quarter of FY2025 (column L), and each forecast year</t>
        </is>
      </c>
    </row>
    <row r="11">
      <c r="A11" t="inlineStr">
        <is>
          <t>Growth: Other</t>
        </is>
      </c>
      <c r="L11" t="n">
        <v>0.985</v>
      </c>
      <c r="M11" t="n">
        <v>0.985</v>
      </c>
      <c r="N11" t="n">
        <v>0.837</v>
      </c>
      <c r="O11" t="n">
        <v>0.6899999999999999</v>
      </c>
      <c r="P11" t="n">
        <v>0.542</v>
      </c>
    </row>
    <row r="12">
      <c r="A12" t="inlineStr">
        <is>
          <t>Growth: Primary</t>
        </is>
      </c>
      <c r="L12" t="n">
        <v>-0.007</v>
      </c>
      <c r="M12" t="n">
        <v>0.02</v>
      </c>
      <c r="N12" t="n">
        <v>0.02</v>
      </c>
      <c r="O12" t="n">
        <v>0.02</v>
      </c>
      <c r="P12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HOME DEPOT, INC.: income statement</t>
        </is>
      </c>
    </row>
    <row r="2">
      <c r="A2" t="inlineStr">
        <is>
          <t>$ in millions</t>
        </is>
      </c>
    </row>
    <row r="3">
      <c r="C3" t="inlineStr">
        <is>
          <t>Q1 FY2025</t>
        </is>
      </c>
      <c r="D3" t="inlineStr">
        <is>
          <t>Q2 FY2025</t>
        </is>
      </c>
      <c r="E3" t="inlineStr">
        <is>
          <t>Q3 FY2025</t>
        </is>
      </c>
      <c r="F3" t="inlineStr">
        <is>
          <t>Q4 FY2025</t>
        </is>
      </c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>
        <f>Revenue!C8</f>
        <v/>
      </c>
      <c r="D6">
        <f>Revenue!D8</f>
        <v/>
      </c>
      <c r="E6">
        <f>Revenue!E8</f>
        <v/>
      </c>
      <c r="F6">
        <f>Revenue!F8</f>
        <v/>
      </c>
      <c r="G6">
        <f>Revenue!G8</f>
        <v/>
      </c>
      <c r="H6">
        <f>Revenue!H8</f>
        <v/>
      </c>
      <c r="I6">
        <f>Revenue!I8</f>
        <v/>
      </c>
      <c r="J6">
        <f>Revenue!J8</f>
        <v/>
      </c>
      <c r="K6">
        <f>Revenue!K8</f>
        <v/>
      </c>
      <c r="L6">
        <f>Revenue!L8</f>
        <v/>
      </c>
      <c r="M6">
        <f>Revenue!M8</f>
        <v/>
      </c>
      <c r="N6">
        <f>Revenue!N8</f>
        <v/>
      </c>
      <c r="O6">
        <f>Revenue!O8</f>
        <v/>
      </c>
      <c r="P6">
        <f>Revenue!P8</f>
        <v/>
      </c>
    </row>
    <row r="7">
      <c r="A7" t="inlineStr">
        <is>
          <t>Cost of revenue</t>
        </is>
      </c>
      <c r="C7" t="n">
        <v>26397</v>
      </c>
      <c r="D7" t="n">
        <v>30152</v>
      </c>
      <c r="E7" t="n">
        <v>27537</v>
      </c>
      <c r="F7">
        <f>G7-C7-D7-E7</f>
        <v/>
      </c>
      <c r="G7" t="n">
        <v>109818</v>
      </c>
      <c r="H7" t="n">
        <v>27984</v>
      </c>
      <c r="I7">
        <f>I6*(1-Inputs!$C$7)</f>
        <v/>
      </c>
      <c r="J7">
        <f>J6*(1-Inputs!$C$7)</f>
        <v/>
      </c>
      <c r="K7">
        <f>K6*(1-Inputs!$C$7)</f>
        <v/>
      </c>
      <c r="L7">
        <f>SUM(H7:K7)</f>
        <v/>
      </c>
      <c r="M7">
        <f>M6*(1-Inputs!$C$7)</f>
        <v/>
      </c>
      <c r="N7">
        <f>N6*(1-Inputs!$C$7)</f>
        <v/>
      </c>
      <c r="O7">
        <f>O6*(1-Inputs!$C$7)</f>
        <v/>
      </c>
      <c r="P7">
        <f>P6*(1-Inputs!$C$7)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7530</v>
      </c>
      <c r="D9" t="n">
        <v>7764</v>
      </c>
      <c r="E9" t="n">
        <v>7636</v>
      </c>
      <c r="F9">
        <f>G9-C9-D9-E9</f>
        <v/>
      </c>
      <c r="G9" t="n">
        <v>30702</v>
      </c>
      <c r="H9" t="n">
        <v>7959</v>
      </c>
      <c r="I9">
        <f>I6*Inputs!$C$8</f>
        <v/>
      </c>
      <c r="J9">
        <f>J6*Inputs!$C$8</f>
        <v/>
      </c>
      <c r="K9">
        <f>K6*Inputs!$C$8</f>
        <v/>
      </c>
      <c r="L9">
        <f>SUM(H9:K9)</f>
        <v/>
      </c>
      <c r="M9">
        <f>M6*Inputs!$C$8</f>
        <v/>
      </c>
      <c r="N9">
        <f>N6*Inputs!$C$8</f>
        <v/>
      </c>
      <c r="O9">
        <f>O6*Inputs!$C$8</f>
        <v/>
      </c>
      <c r="P9">
        <f>P6*Inputs!$C$8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I6*Inputs!$C$9</f>
        <v/>
      </c>
      <c r="J10">
        <f>J6*Inputs!$C$9</f>
        <v/>
      </c>
      <c r="K10">
        <f>K6*Inputs!$C$9</f>
        <v/>
      </c>
      <c r="L10">
        <f>L8-L9-L11</f>
        <v/>
      </c>
      <c r="M10">
        <f>M6*Inputs!$C$9</f>
        <v/>
      </c>
      <c r="N10">
        <f>N6*Inputs!$C$9</f>
        <v/>
      </c>
      <c r="O10">
        <f>O6*Inputs!$C$9</f>
        <v/>
      </c>
      <c r="P10">
        <f>P6*Inputs!$C$9</f>
        <v/>
      </c>
    </row>
    <row r="11">
      <c r="A11" t="inlineStr">
        <is>
          <t>Operating income</t>
        </is>
      </c>
      <c r="C11" t="n">
        <v>5133</v>
      </c>
      <c r="D11" t="n">
        <v>6555</v>
      </c>
      <c r="E11" t="n">
        <v>5353</v>
      </c>
      <c r="F11">
        <f>G11-C11-D11-E11</f>
        <v/>
      </c>
      <c r="G11" t="n">
        <v>20890</v>
      </c>
      <c r="H11" t="n">
        <v>4981</v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</t>
        </is>
      </c>
      <c r="C12" t="n">
        <v>615</v>
      </c>
      <c r="D12" t="n">
        <v>575</v>
      </c>
      <c r="E12" t="n">
        <v>628</v>
      </c>
      <c r="F12">
        <f>G12-C12-D12-E12</f>
        <v/>
      </c>
      <c r="G12" t="n">
        <v>2412</v>
      </c>
      <c r="H12" t="n">
        <v>611</v>
      </c>
      <c r="I12">
        <f>Inputs!$C$17/4</f>
        <v/>
      </c>
      <c r="J12">
        <f>Inputs!$C$17/4</f>
        <v/>
      </c>
      <c r="K12">
        <f>Inputs!$C$17/4</f>
        <v/>
      </c>
      <c r="L12">
        <f>SUM(H12:K12)</f>
        <v/>
      </c>
      <c r="M12">
        <f>Inputs!$C$17</f>
        <v/>
      </c>
      <c r="N12">
        <f>Inputs!$C$17</f>
        <v/>
      </c>
      <c r="O12">
        <f>Inputs!$C$17</f>
        <v/>
      </c>
      <c r="P12">
        <f>Inputs!$C$17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Inputs!$C$18</f>
        <v/>
      </c>
      <c r="J13">
        <f>Inputs!$C$18</f>
        <v/>
      </c>
      <c r="K13">
        <f>Inputs!$C$18</f>
        <v/>
      </c>
      <c r="L13">
        <f>L14-L11+L12</f>
        <v/>
      </c>
      <c r="M13">
        <f>Inputs!$C$18*4</f>
        <v/>
      </c>
      <c r="N13">
        <f>Inputs!$C$18*4</f>
        <v/>
      </c>
      <c r="O13">
        <f>Inputs!$C$18*4</f>
        <v/>
      </c>
      <c r="P13">
        <f>Inputs!$C$18*4</f>
        <v/>
      </c>
    </row>
    <row r="14">
      <c r="A14" t="inlineStr">
        <is>
          <t>Income before income taxes</t>
        </is>
      </c>
      <c r="C14" t="n">
        <v>4542</v>
      </c>
      <c r="D14" t="n">
        <v>6005</v>
      </c>
      <c r="E14" t="n">
        <v>4757</v>
      </c>
      <c r="F14">
        <f>G14-C14-D14-E14</f>
        <v/>
      </c>
      <c r="G14" t="n">
        <v>18602</v>
      </c>
      <c r="H14" t="n">
        <v>4377</v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1109</v>
      </c>
      <c r="D15" t="n">
        <v>1454</v>
      </c>
      <c r="E15" t="n">
        <v>1156</v>
      </c>
      <c r="F15">
        <f>G15-C15-D15-E15</f>
        <v/>
      </c>
      <c r="G15" t="n">
        <v>4446</v>
      </c>
      <c r="H15" t="n">
        <v>1088</v>
      </c>
      <c r="I15">
        <f>I14*Inputs!$C$12</f>
        <v/>
      </c>
      <c r="J15">
        <f>J14*Inputs!$C$12</f>
        <v/>
      </c>
      <c r="K15">
        <f>K14*Inputs!$C$12</f>
        <v/>
      </c>
      <c r="L15">
        <f>SUM(H15:K15)</f>
        <v/>
      </c>
      <c r="M15">
        <f>M14*Inputs!$C$12</f>
        <v/>
      </c>
      <c r="N15">
        <f>N14*Inputs!$C$12</f>
        <v/>
      </c>
      <c r="O15">
        <f>O14*Inputs!$C$12</f>
        <v/>
      </c>
      <c r="P15">
        <f>P14*Inputs!$C$12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Inputs!$C$19</f>
        <v/>
      </c>
      <c r="J16">
        <f>Inputs!$C$19</f>
        <v/>
      </c>
      <c r="K16">
        <f>Inputs!$C$19</f>
        <v/>
      </c>
      <c r="L16">
        <f>L17-(L14-L15)</f>
        <v/>
      </c>
      <c r="M16">
        <f>Inputs!$C$19*4</f>
        <v/>
      </c>
      <c r="N16">
        <f>Inputs!$C$19*4</f>
        <v/>
      </c>
      <c r="O16">
        <f>Inputs!$C$19*4</f>
        <v/>
      </c>
      <c r="P16">
        <f>Inputs!$C$19*4</f>
        <v/>
      </c>
    </row>
    <row r="17">
      <c r="A17" t="inlineStr">
        <is>
          <t>Net income attributable to the company</t>
        </is>
      </c>
      <c r="C17" t="n">
        <v>3433</v>
      </c>
      <c r="D17" t="n">
        <v>4551</v>
      </c>
      <c r="E17" t="n">
        <v>3601</v>
      </c>
      <c r="F17">
        <f>G17-C17-D17-E17</f>
        <v/>
      </c>
      <c r="G17" t="n">
        <v>14156</v>
      </c>
      <c r="H17" t="n">
        <v>3289</v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amortization, excluding amortization of intangible assets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I6*Inputs!$C$10</f>
        <v/>
      </c>
      <c r="J18">
        <f>J6*Inputs!$C$10</f>
        <v/>
      </c>
      <c r="K18">
        <f>K6*Inputs!$C$10</f>
        <v/>
      </c>
      <c r="L18">
        <f>SUM(H18:K18)</f>
        <v/>
      </c>
      <c r="M18">
        <f>M6*Inputs!$C$10</f>
        <v/>
      </c>
      <c r="N18">
        <f>N6*Inputs!$C$10</f>
        <v/>
      </c>
      <c r="O18">
        <f>O6*Inputs!$C$10</f>
        <v/>
      </c>
      <c r="P18">
        <f>P6*Inputs!$C$10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HOME DEPOT, INC.: balance sheet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1389</v>
      </c>
      <c r="H6" t="n">
        <v>1601</v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5597</v>
      </c>
      <c r="H7" t="n">
        <v>6624</v>
      </c>
      <c r="I7">
        <f>IS!I6*Inputs!$C$13/91.25</f>
        <v/>
      </c>
      <c r="J7">
        <f>IS!J6*Inputs!$C$13/91.25</f>
        <v/>
      </c>
      <c r="K7">
        <f>IS!K6*Inputs!$C$13/91.25</f>
        <v/>
      </c>
      <c r="M7">
        <f>IS!M6*Inputs!$C$13/365</f>
        <v/>
      </c>
      <c r="N7">
        <f>IS!N6*Inputs!$C$13/365</f>
        <v/>
      </c>
      <c r="O7">
        <f>IS!O6*Inputs!$C$13/365</f>
        <v/>
      </c>
      <c r="P7">
        <f>IS!P6*Inputs!$C$13/365</f>
        <v/>
      </c>
    </row>
    <row r="8">
      <c r="A8" t="inlineStr">
        <is>
          <t>Inventories</t>
        </is>
      </c>
      <c r="G8" t="n">
        <v>25817</v>
      </c>
      <c r="H8" t="n">
        <v>27280</v>
      </c>
      <c r="I8">
        <f>IS!I7*Inputs!$C$14/91.25</f>
        <v/>
      </c>
      <c r="J8">
        <f>IS!J7*Inputs!$C$14/91.25</f>
        <v/>
      </c>
      <c r="K8">
        <f>IS!K7*Inputs!$C$14/91.25</f>
        <v/>
      </c>
      <c r="M8">
        <f>IS!M7*Inputs!$C$14/365</f>
        <v/>
      </c>
      <c r="N8">
        <f>IS!N7*Inputs!$C$14/365</f>
        <v/>
      </c>
      <c r="O8">
        <f>IS!O7*Inputs!$C$14/365</f>
        <v/>
      </c>
      <c r="P8">
        <f>IS!P7*Inputs!$C$14/365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34391</v>
      </c>
      <c r="H10" t="n">
        <v>37172</v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28021</v>
      </c>
      <c r="H11" t="n">
        <v>27930</v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22344</v>
      </c>
      <c r="H12" t="n">
        <v>22479</v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10329</v>
      </c>
      <c r="H13" t="n">
        <v>10244</v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105095</v>
      </c>
      <c r="H15" t="n">
        <v>107904</v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11491</v>
      </c>
      <c r="H16" t="n">
        <v>14373</v>
      </c>
      <c r="I16">
        <f>IS!I7*Inputs!$C$15/91.25</f>
        <v/>
      </c>
      <c r="J16">
        <f>IS!J7*Inputs!$C$15/91.25</f>
        <v/>
      </c>
      <c r="K16">
        <f>IS!K7*Inputs!$C$15/91.25</f>
        <v/>
      </c>
      <c r="M16">
        <f>IS!M7*Inputs!$C$15/365</f>
        <v/>
      </c>
      <c r="N16">
        <f>IS!N7*Inputs!$C$15/365</f>
        <v/>
      </c>
      <c r="O16">
        <f>IS!O7*Inputs!$C$15/365</f>
        <v/>
      </c>
      <c r="P16">
        <f>IS!P7*Inputs!$C$15/365</f>
        <v/>
      </c>
    </row>
    <row r="17">
      <c r="A17" t="inlineStr">
        <is>
          <t>Short-term borrowings</t>
        </is>
      </c>
      <c r="G17" t="n">
        <v>4464</v>
      </c>
      <c r="H17" t="n">
        <v>3503</v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4967</v>
      </c>
      <c r="H18" t="n">
        <v>5178</v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32424</v>
      </c>
      <c r="H20" t="n">
        <v>35580</v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46341</v>
      </c>
      <c r="H21" t="n">
        <v>44828</v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H28-H20-H21-H24-H25-H26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 t="n">
        <v>0</v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12813</v>
      </c>
      <c r="H25" t="n">
        <v>13874</v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0</v>
      </c>
      <c r="H26" t="n">
        <v>0</v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105095</v>
      </c>
      <c r="H28" t="n">
        <v>107904</v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HOME DEPOT, INC.: cash flow statement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amortization, excluding amortization of intangible assets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-IS!I6*Inputs!$C$11</f>
        <v/>
      </c>
      <c r="J10">
        <f>-IS!J6*Inputs!$C$11</f>
        <v/>
      </c>
      <c r="K10">
        <f>-IS!K6*Inputs!$C$11</f>
        <v/>
      </c>
      <c r="L10">
        <f>SUM(H10:K10)</f>
        <v/>
      </c>
      <c r="M10">
        <f>-IS!M6*Inputs!$C$11</f>
        <v/>
      </c>
      <c r="N10">
        <f>-IS!N6*Inputs!$C$11</f>
        <v/>
      </c>
      <c r="O10">
        <f>-IS!O6*Inputs!$C$11</f>
        <v/>
      </c>
      <c r="P10">
        <f>-IS!P6*Inputs!$C$11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Inputs!$C$20</f>
        <v/>
      </c>
      <c r="J11">
        <f>Inputs!$C$20</f>
        <v/>
      </c>
      <c r="K11">
        <f>Inputs!$C$20</f>
        <v/>
      </c>
      <c r="L11">
        <f>SUM(H11:K11)</f>
        <v/>
      </c>
      <c r="M11">
        <f>Inputs!$C$20*4</f>
        <v/>
      </c>
      <c r="N11">
        <f>Inputs!$C$20*4</f>
        <v/>
      </c>
      <c r="O11">
        <f>Inputs!$C$20*4</f>
        <v/>
      </c>
      <c r="P11">
        <f>Inputs!$C$20*4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-IS!I17*Inputs!$C$16</f>
        <v/>
      </c>
      <c r="J13">
        <f>-IS!J17*Inputs!$C$16</f>
        <v/>
      </c>
      <c r="K13">
        <f>-IS!K17*Inputs!$C$16</f>
        <v/>
      </c>
      <c r="L13">
        <f>SUM(H13:K13)</f>
        <v/>
      </c>
      <c r="M13">
        <f>-IS!M17*Inputs!$C$16</f>
        <v/>
      </c>
      <c r="N13">
        <f>-IS!N17*Inputs!$C$16</f>
        <v/>
      </c>
      <c r="O13">
        <f>-IS!O17*Inputs!$C$16</f>
        <v/>
      </c>
      <c r="P13">
        <f>-IS!P17*Inputs!$C$16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Inputs!$C$21</f>
        <v/>
      </c>
      <c r="J14">
        <f>Inputs!$C$21</f>
        <v/>
      </c>
      <c r="K14">
        <f>Inputs!$C$21</f>
        <v/>
      </c>
      <c r="L14">
        <f>SUM(H14:K14)</f>
        <v/>
      </c>
      <c r="M14">
        <f>Inputs!$C$21*4</f>
        <v/>
      </c>
      <c r="N14">
        <f>Inputs!$C$21*4</f>
        <v/>
      </c>
      <c r="O14">
        <f>Inputs!$C$21*4</f>
        <v/>
      </c>
      <c r="P14">
        <f>Inputs!$C$21*4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16325</v>
      </c>
      <c r="H21" t="n">
        <v>6032</v>
      </c>
    </row>
    <row r="22">
      <c r="A22" t="inlineStr">
        <is>
          <t>Capital expenditures, year to date (as reported)</t>
        </is>
      </c>
      <c r="G22" t="n">
        <v>-3679</v>
      </c>
      <c r="H22" t="n">
        <v>-844</v>
      </c>
    </row>
    <row r="23">
      <c r="A23" t="inlineStr">
        <is>
          <t>Cash from investing activities, year to date (as reported)</t>
        </is>
      </c>
      <c r="G23" t="n">
        <v>-8980</v>
      </c>
      <c r="H23" t="n">
        <v>-1109</v>
      </c>
    </row>
    <row r="24">
      <c r="A24" t="inlineStr">
        <is>
          <t>Cash from financing activities, year to date (as reported)</t>
        </is>
      </c>
      <c r="G24" t="n">
        <v>-7714</v>
      </c>
      <c r="H24" t="n">
        <v>-4713</v>
      </c>
    </row>
    <row r="25">
      <c r="A25" t="inlineStr">
        <is>
          <t>Depreciation and amortization, excluding amortization of intangible assets, year to date (as reported)</t>
        </is>
      </c>
      <c r="C25" t="n">
        <v>855</v>
      </c>
      <c r="D25" t="n">
        <v>1720</v>
      </c>
      <c r="E25" t="n">
        <v>2606</v>
      </c>
      <c r="G25" t="n">
        <v>3514</v>
      </c>
      <c r="H25" t="n">
        <v>910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HOME DEPOT, INC.: unlevered DCF and valuation</t>
        </is>
      </c>
    </row>
    <row r="2">
      <c r="A2" t="inlineStr">
        <is>
          <t>$ in millions</t>
        </is>
      </c>
    </row>
    <row r="3"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-H7*Inputs!$C$12</f>
        <v/>
      </c>
      <c r="I8">
        <f>-I7*Inputs!$C$12</f>
        <v/>
      </c>
      <c r="J8">
        <f>-J7*Inputs!$C$12</f>
        <v/>
      </c>
      <c r="K8">
        <f>-K7*Inputs!$C$12</f>
        <v/>
      </c>
      <c r="M8">
        <f>-M7*Inputs!$C$12</f>
        <v/>
      </c>
      <c r="N8">
        <f>-N7*Inputs!$C$12</f>
        <v/>
      </c>
      <c r="O8">
        <f>-O7*Inputs!$C$12</f>
        <v/>
      </c>
      <c r="P8">
        <f>-P7*Inputs!$C$12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amortization, excluding amortization of intangible assets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1/(1+Inputs!$C$23)^M14</f>
        <v/>
      </c>
      <c r="N15">
        <f>1/(1+Inputs!$C$23)^N14</f>
        <v/>
      </c>
      <c r="O15">
        <f>1/(1+Inputs!$C$23)^O14</f>
        <v/>
      </c>
      <c r="P15">
        <f>1/(1+Inputs!$C$23)^P14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SUM(IS!D6:F6)+SUM(IS!H6:H6)</f>
        <v/>
      </c>
    </row>
    <row r="19">
      <c r="A19" t="inlineStr">
        <is>
          <t>EBITDA, last four reported quarters</t>
        </is>
      </c>
      <c r="C19">
        <f>SUM(IS!D19:F19)+SUM(IS!H19:H19)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1/(1+Inputs!$C$23)^C20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P13*(1+Inputs!$C$24)/(Inputs!$C$23-Inputs!$C$24)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BS!H6</f>
        <v/>
      </c>
    </row>
    <row r="28">
      <c r="A28" t="inlineStr">
        <is>
          <t>Short-term borrowings (latest reported balance sheet)</t>
        </is>
      </c>
      <c r="C28">
        <f>BS!H17</f>
        <v/>
      </c>
    </row>
    <row r="29">
      <c r="A29" t="inlineStr">
        <is>
          <t>Current portion of long-term debt (latest reported balance sheet)</t>
        </is>
      </c>
      <c r="C29">
        <f>BS!H18</f>
        <v/>
      </c>
    </row>
    <row r="30">
      <c r="A30" t="inlineStr">
        <is>
          <t>Long-term debt (latest reported balance sheet)</t>
        </is>
      </c>
      <c r="C30">
        <f>BS!H21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BS!H26+BS!H24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2026-10-14T06:17:47Z</dcterms:modified>
</cp:coreProperties>
</file>