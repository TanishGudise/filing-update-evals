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1280.04519</v>
      </c>
    </row>
    <row r="7">
      <c r="A7" t="inlineStr">
        <is>
          <t>Revenue growth, FY2027 quarters vs. same quarter of FY2026</t>
        </is>
      </c>
      <c r="C7" t="n">
        <v>0.08400000000000001</v>
      </c>
    </row>
    <row r="8">
      <c r="A8" t="inlineStr">
        <is>
          <t>Revenue growth by forecast year</t>
        </is>
      </c>
      <c r="M8" t="n">
        <v>0.08400000000000001</v>
      </c>
      <c r="N8" t="n">
        <v>0.07099999999999999</v>
      </c>
      <c r="O8" t="n">
        <v>0.059</v>
      </c>
      <c r="P8" t="n">
        <v>0.046</v>
      </c>
    </row>
    <row r="9">
      <c r="A9" t="inlineStr">
        <is>
          <t>Gross margin</t>
        </is>
      </c>
      <c r="C9" t="n">
        <v>0.6518</v>
      </c>
    </row>
    <row r="10">
      <c r="A10" t="inlineStr">
        <is>
          <t>SG&amp;A, % of revenue</t>
        </is>
      </c>
      <c r="C10" t="n">
        <v>0.3275</v>
      </c>
    </row>
    <row r="11">
      <c r="A11" t="inlineStr">
        <is>
          <t>Other operating expenses, % of revenue</t>
        </is>
      </c>
      <c r="C11" t="n">
        <v>0.1496</v>
      </c>
    </row>
    <row r="12">
      <c r="A12" t="inlineStr">
        <is>
          <t>Depreciation and amortization, % of revenue</t>
        </is>
      </c>
      <c r="C12" t="n">
        <v>0.0813</v>
      </c>
    </row>
    <row r="13">
      <c r="A13" t="inlineStr">
        <is>
          <t>Capital expenditures, % of revenue</t>
        </is>
      </c>
      <c r="C13" t="n">
        <v>0.0524</v>
      </c>
    </row>
    <row r="14">
      <c r="A14" t="inlineStr">
        <is>
          <t>Tax rate</t>
        </is>
      </c>
      <c r="C14" t="n">
        <v>0.212</v>
      </c>
    </row>
    <row r="15">
      <c r="A15" t="inlineStr">
        <is>
          <t>Days sales outstanding (on revenue)</t>
        </is>
      </c>
      <c r="C15" t="n">
        <v>66.7</v>
      </c>
    </row>
    <row r="16">
      <c r="A16" t="inlineStr">
        <is>
          <t>Days inventory outstanding (on cost of revenue)</t>
        </is>
      </c>
      <c r="C16" t="n">
        <v>170.8</v>
      </c>
    </row>
    <row r="17">
      <c r="A17" t="inlineStr">
        <is>
          <t>Days payables outstanding (on cost of revenue)</t>
        </is>
      </c>
      <c r="C17" t="n">
        <v>75.90000000000001</v>
      </c>
    </row>
    <row r="18">
      <c r="A18" t="inlineStr">
        <is>
          <t>Shareholder payouts and other financing, % of net income</t>
        </is>
      </c>
      <c r="C18" t="n">
        <v>0.99</v>
      </c>
    </row>
    <row r="19">
      <c r="A19" t="inlineStr">
        <is>
          <t>Interest expense, net, per year ($ in millions)</t>
        </is>
      </c>
      <c r="C19" t="n">
        <v>715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8578</v>
      </c>
      <c r="D6" t="n">
        <v>8961</v>
      </c>
      <c r="E6" t="n">
        <v>9017</v>
      </c>
      <c r="F6">
        <f>G6-C6-D6-E6</f>
        <v/>
      </c>
      <c r="G6" t="n">
        <v>36364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3001</v>
      </c>
      <c r="D7" t="n">
        <v>3061</v>
      </c>
      <c r="E7" t="n">
        <v>3261</v>
      </c>
      <c r="F7">
        <f>G7-C7-D7-E7</f>
        <v/>
      </c>
      <c r="G7" t="n">
        <v>12721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2806</v>
      </c>
      <c r="D9" t="n">
        <v>2965</v>
      </c>
      <c r="E9" t="n">
        <v>2956</v>
      </c>
      <c r="F9">
        <f>G9-C9-D9-E9</f>
        <v/>
      </c>
      <c r="G9" t="n">
        <v>11784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1445</v>
      </c>
      <c r="D11" t="n">
        <v>1686</v>
      </c>
      <c r="E11" t="n">
        <v>1464</v>
      </c>
      <c r="F11">
        <f>G11-C11-D11-E11</f>
        <v/>
      </c>
      <c r="G11" t="n">
        <v>6467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176</v>
      </c>
      <c r="D12" t="n">
        <v>181</v>
      </c>
      <c r="E12" t="n">
        <v>181</v>
      </c>
      <c r="F12">
        <f>G12-C12-D12-E12</f>
        <v/>
      </c>
      <c r="G12" t="n">
        <v>715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1302</v>
      </c>
      <c r="D14" t="n">
        <v>1597</v>
      </c>
      <c r="E14" t="n">
        <v>1404</v>
      </c>
      <c r="F14">
        <f>G14-C14-D14-E14</f>
        <v/>
      </c>
      <c r="G14" t="n">
        <v>6136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255</v>
      </c>
      <c r="D15" t="n">
        <v>215</v>
      </c>
      <c r="E15" t="n">
        <v>254</v>
      </c>
      <c r="F15">
        <f>G15-C15-D15-E15</f>
        <v/>
      </c>
      <c r="G15" t="n">
        <v>1299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1040</v>
      </c>
      <c r="D17" t="n">
        <v>1374</v>
      </c>
      <c r="E17" t="n">
        <v>1143</v>
      </c>
      <c r="F17">
        <f>G17-C17-D17-E17</f>
        <v/>
      </c>
      <c r="G17" t="n">
        <v>4801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CF!C29</f>
        <v/>
      </c>
      <c r="D18">
        <f>CF!D29-CF!C29</f>
        <v/>
      </c>
      <c r="E18">
        <f>CF!E29-CF!D29</f>
        <v/>
      </c>
      <c r="F18">
        <f>CF!G29-CF!E29</f>
        <v/>
      </c>
      <c r="G18">
        <f>CF!G29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1949</v>
      </c>
      <c r="H6">
        <f>H28-(H7+H8+H9+H11+H12+H13+H14)</f>
        <v/>
      </c>
      <c r="I6">
        <f>I28-(I7+I8+I9+I11+I12+I13+I14)</f>
        <v/>
      </c>
      <c r="J6">
        <f>J28-(J7+J8+J9+J11+J12+J13+J14)</f>
        <v/>
      </c>
      <c r="K6">
        <f>K28-(K7+K8+K9+K11+K12+K13+K14)</f>
        <v/>
      </c>
      <c r="M6">
        <f>M28-(M7+M8+M9+M11+M12+M13+M14)</f>
        <v/>
      </c>
      <c r="N6">
        <f>N28-(N7+N8+N9+N11+N12+N13+N14)</f>
        <v/>
      </c>
      <c r="O6">
        <f>O28-(O7+O8+O9+O11+O12+O13+O14)</f>
        <v/>
      </c>
      <c r="P6">
        <f>P28-(P7+P8+P9+P11+P12+P13+P14)</f>
        <v/>
      </c>
    </row>
    <row r="7">
      <c r="A7" t="inlineStr">
        <is>
          <t>Accounts receivable, net</t>
        </is>
      </c>
      <c r="G7" t="n">
        <v>6643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5951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24787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7417</v>
      </c>
      <c r="H11">
        <f>G11+IS!H6*Inputs!$C$13-IS!H18</f>
        <v/>
      </c>
      <c r="I11">
        <f>H11+IS!I6*Inputs!$C$13-IS!I18</f>
        <v/>
      </c>
      <c r="J11">
        <f>I11+IS!J6*Inputs!$C$13-IS!J18</f>
        <v/>
      </c>
      <c r="K11">
        <f>J11+IS!K6*Inputs!$C$13-IS!K18</f>
        <v/>
      </c>
      <c r="M11">
        <f>K11+IS!M6*Inputs!$C$13-IS!M18</f>
        <v/>
      </c>
      <c r="N11">
        <f>M11+IS!N6*Inputs!$C$13-IS!N18</f>
        <v/>
      </c>
      <c r="O11">
        <f>N11+IS!O6*Inputs!$C$13-IS!O18</f>
        <v/>
      </c>
      <c r="P11">
        <f>O11+IS!P6*Inputs!$C$13-IS!P18</f>
        <v/>
      </c>
    </row>
    <row r="12">
      <c r="A12" t="inlineStr">
        <is>
          <t>Goodwill</t>
        </is>
      </c>
      <c r="G12" t="n">
        <v>42587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10146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93028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2644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1788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11658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26173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49463</v>
      </c>
      <c r="H25">
        <f>G25+IS!H17*(1-Inputs!$C$18)</f>
        <v/>
      </c>
      <c r="I25">
        <f>H25+IS!I17*(1-Inputs!$C$18)</f>
        <v/>
      </c>
      <c r="J25">
        <f>I25+IS!J17*(1-Inputs!$C$18)</f>
        <v/>
      </c>
      <c r="K25">
        <f>J25+IS!K17*(1-Inputs!$C$18)</f>
        <v/>
      </c>
      <c r="M25">
        <f>K25+IS!M17*(1-Inputs!$C$18)</f>
        <v/>
      </c>
      <c r="N25">
        <f>M25+IS!N17*(1-Inputs!$C$18)</f>
        <v/>
      </c>
      <c r="O25">
        <f>N25+IS!O17*(1-Inputs!$C$18)</f>
        <v/>
      </c>
      <c r="P25">
        <f>O25+IS!P17*(1-Inputs!$C$18)</f>
        <v/>
      </c>
    </row>
    <row r="26">
      <c r="A26" t="inlineStr">
        <is>
          <t>Non-controlling interests</t>
        </is>
      </c>
      <c r="G26" t="n">
        <v>609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93028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cash flow statement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 attributable to the company</t>
        </is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(Increase) decrease in accounts receivable</t>
        </is>
      </c>
      <c r="H8">
        <f>BS!G7-BS!H7</f>
        <v/>
      </c>
      <c r="I8">
        <f>BS!H7-BS!I7</f>
        <v/>
      </c>
      <c r="J8">
        <f>BS!I7-BS!J7</f>
        <v/>
      </c>
      <c r="K8">
        <f>BS!J7-BS!K7</f>
        <v/>
      </c>
      <c r="L8">
        <f>SUM(H8:K8)</f>
        <v/>
      </c>
      <c r="M8">
        <f>BS!K7-BS!M7</f>
        <v/>
      </c>
      <c r="N8">
        <f>BS!M7-BS!N7</f>
        <v/>
      </c>
      <c r="O8">
        <f>BS!N7-BS!O7</f>
        <v/>
      </c>
      <c r="P8">
        <f>BS!O7-BS!P7</f>
        <v/>
      </c>
    </row>
    <row r="9">
      <c r="A9" t="inlineStr">
        <is>
          <t>(Increase) decrease in inventories</t>
        </is>
      </c>
      <c r="H9">
        <f>BS!G8-BS!H8</f>
        <v/>
      </c>
      <c r="I9">
        <f>BS!H8-BS!I8</f>
        <v/>
      </c>
      <c r="J9">
        <f>BS!I8-BS!J8</f>
        <v/>
      </c>
      <c r="K9">
        <f>BS!J8-BS!K8</f>
        <v/>
      </c>
      <c r="L9">
        <f>SUM(H9:K9)</f>
        <v/>
      </c>
      <c r="M9">
        <f>BS!K8-BS!M8</f>
        <v/>
      </c>
      <c r="N9">
        <f>BS!M8-BS!N8</f>
        <v/>
      </c>
      <c r="O9">
        <f>BS!N8-BS!O8</f>
        <v/>
      </c>
      <c r="P9">
        <f>BS!O8-BS!P8</f>
        <v/>
      </c>
    </row>
    <row r="10">
      <c r="A10" t="inlineStr">
        <is>
          <t>(Increase) decrease in other current assets</t>
        </is>
      </c>
      <c r="H10">
        <f>BS!G9-BS!H9</f>
        <v/>
      </c>
      <c r="I10">
        <f>BS!H9-BS!I9</f>
        <v/>
      </c>
      <c r="J10">
        <f>BS!I9-BS!J9</f>
        <v/>
      </c>
      <c r="K10">
        <f>BS!J9-BS!K9</f>
        <v/>
      </c>
      <c r="L10">
        <f>SUM(H10:K10)</f>
        <v/>
      </c>
      <c r="M10">
        <f>BS!K9-BS!M9</f>
        <v/>
      </c>
      <c r="N10">
        <f>BS!M9-BS!N9</f>
        <v/>
      </c>
      <c r="O10">
        <f>BS!N9-BS!O9</f>
        <v/>
      </c>
      <c r="P10">
        <f>BS!O9-BS!P9</f>
        <v/>
      </c>
    </row>
    <row r="11">
      <c r="A11" t="inlineStr">
        <is>
          <t>Increase (decrease) in accounts payable</t>
        </is>
      </c>
      <c r="H11">
        <f>BS!H16-BS!G16</f>
        <v/>
      </c>
      <c r="I11">
        <f>BS!I16-BS!H16</f>
        <v/>
      </c>
      <c r="J11">
        <f>BS!J16-BS!I16</f>
        <v/>
      </c>
      <c r="K11">
        <f>BS!K16-BS!J16</f>
        <v/>
      </c>
      <c r="L11">
        <f>SUM(H11:K11)</f>
        <v/>
      </c>
      <c r="M11">
        <f>BS!M16-BS!K16</f>
        <v/>
      </c>
      <c r="N11">
        <f>BS!N16-BS!M16</f>
        <v/>
      </c>
      <c r="O11">
        <f>BS!O16-BS!N16</f>
        <v/>
      </c>
      <c r="P11">
        <f>BS!P16-BS!O16</f>
        <v/>
      </c>
    </row>
    <row r="12">
      <c r="A12" t="inlineStr">
        <is>
          <t>Increase (decrease) in other current liabilities</t>
        </is>
      </c>
      <c r="H12">
        <f>BS!H19-BS!G19</f>
        <v/>
      </c>
      <c r="I12">
        <f>BS!I19-BS!H19</f>
        <v/>
      </c>
      <c r="J12">
        <f>BS!J19-BS!I19</f>
        <v/>
      </c>
      <c r="K12">
        <f>BS!K19-BS!J19</f>
        <v/>
      </c>
      <c r="L12">
        <f>SUM(H12:K12)</f>
        <v/>
      </c>
      <c r="M12">
        <f>BS!M19-BS!K19</f>
        <v/>
      </c>
      <c r="N12">
        <f>BS!N19-BS!M19</f>
        <v/>
      </c>
      <c r="O12">
        <f>BS!O19-BS!N19</f>
        <v/>
      </c>
      <c r="P12">
        <f>BS!P19-BS!O19</f>
        <v/>
      </c>
    </row>
    <row r="13">
      <c r="A13" t="inlineStr">
        <is>
          <t>Change in working capital</t>
        </is>
      </c>
      <c r="H13">
        <f>H8+H9+H10+H11+H12</f>
        <v/>
      </c>
      <c r="I13">
        <f>I8+I9+I10+I11+I12</f>
        <v/>
      </c>
      <c r="J13">
        <f>J8+J9+J10+J11+J12</f>
        <v/>
      </c>
      <c r="K13">
        <f>K8+K9+K10+K11+K12</f>
        <v/>
      </c>
      <c r="L13">
        <f>SUM(H13:K13)</f>
        <v/>
      </c>
      <c r="M13">
        <f>M8+M9+M10+M11+M12</f>
        <v/>
      </c>
      <c r="N13">
        <f>N8+N9+N10+N11+N12</f>
        <v/>
      </c>
      <c r="O13">
        <f>O8+O9+O10+O11+O12</f>
        <v/>
      </c>
      <c r="P13">
        <f>P8+P9+P10+P11+P12</f>
        <v/>
      </c>
    </row>
    <row r="14">
      <c r="A14" t="inlineStr">
        <is>
          <t>Change in other non-current liabilities, net of other non-current assets</t>
        </is>
      </c>
      <c r="H14">
        <f>BS!H22-BS!G22-(BS!H14-BS!G14)</f>
        <v/>
      </c>
      <c r="I14">
        <f>BS!I22-BS!H22-(BS!I14-BS!H14)</f>
        <v/>
      </c>
      <c r="J14">
        <f>BS!J22-BS!I22-(BS!J14-BS!I14)</f>
        <v/>
      </c>
      <c r="K14">
        <f>BS!K22-BS!J22-(BS!K14-BS!J14)</f>
        <v/>
      </c>
      <c r="L14">
        <f>SUM(H14:K14)</f>
        <v/>
      </c>
      <c r="M14">
        <f>BS!M22-BS!K22-(BS!M14-BS!K14)</f>
        <v/>
      </c>
      <c r="N14">
        <f>BS!N22-BS!M22-(BS!N14-BS!M14)</f>
        <v/>
      </c>
      <c r="O14">
        <f>BS!O22-BS!N22-(BS!O14-BS!N14)</f>
        <v/>
      </c>
      <c r="P14">
        <f>BS!P22-BS!O22-(BS!P14-BS!O14)</f>
        <v/>
      </c>
    </row>
    <row r="15">
      <c r="A15" t="inlineStr">
        <is>
          <t>Cash from operating activities</t>
        </is>
      </c>
      <c r="H15">
        <f>H6+H7+H13+H14</f>
        <v/>
      </c>
      <c r="I15">
        <f>I6+I7+I13+I14</f>
        <v/>
      </c>
      <c r="J15">
        <f>J6+J7+J13+J14</f>
        <v/>
      </c>
      <c r="K15">
        <f>K6+K7+K13+K14</f>
        <v/>
      </c>
      <c r="L15">
        <f>SUM(H15:K15)</f>
        <v/>
      </c>
      <c r="M15">
        <f>M6+M7+M13+M14</f>
        <v/>
      </c>
      <c r="N15">
        <f>N6+N7+N13+N14</f>
        <v/>
      </c>
      <c r="O15">
        <f>O6+O7+O13+O14</f>
        <v/>
      </c>
      <c r="P15">
        <f>P6+P7+P13+P14</f>
        <v/>
      </c>
    </row>
    <row r="16">
      <c r="A16" t="inlineStr">
        <is>
          <t>Capital expenditures (change in PP&amp;E plus D&amp;A)</t>
        </is>
      </c>
      <c r="H16">
        <f>-(BS!H11-BS!G11+H7)</f>
        <v/>
      </c>
      <c r="I16">
        <f>-(BS!I11-BS!H11+I7)</f>
        <v/>
      </c>
      <c r="J16">
        <f>-(BS!J11-BS!I11+J7)</f>
        <v/>
      </c>
      <c r="K16">
        <f>-(BS!K11-BS!J11+K7)</f>
        <v/>
      </c>
      <c r="L16">
        <f>SUM(H16:K16)</f>
        <v/>
      </c>
      <c r="M16">
        <f>-(BS!M11-BS!K11+M7)</f>
        <v/>
      </c>
      <c r="N16">
        <f>-(BS!N11-BS!M11+N7)</f>
        <v/>
      </c>
      <c r="O16">
        <f>-(BS!O11-BS!N11+O7)</f>
        <v/>
      </c>
      <c r="P16">
        <f>-(BS!P11-BS!O11+P7)</f>
        <v/>
      </c>
    </row>
    <row r="17">
      <c r="A17" t="inlineStr">
        <is>
          <t>Acquisitions and other investing (change in goodwill and intangibles)</t>
        </is>
      </c>
      <c r="H17">
        <f>-(BS!H12-BS!G12+BS!H13-BS!G13)</f>
        <v/>
      </c>
      <c r="I17">
        <f>-(BS!I12-BS!H12+BS!I13-BS!H13)</f>
        <v/>
      </c>
      <c r="J17">
        <f>-(BS!J12-BS!I12+BS!J13-BS!I13)</f>
        <v/>
      </c>
      <c r="K17">
        <f>-(BS!K12-BS!J12+BS!K13-BS!J13)</f>
        <v/>
      </c>
      <c r="L17">
        <f>SUM(H17:K17)</f>
        <v/>
      </c>
      <c r="M17">
        <f>-(BS!M12-BS!K12+BS!M13-BS!K13)</f>
        <v/>
      </c>
      <c r="N17">
        <f>-(BS!N12-BS!M12+BS!N13-BS!M13)</f>
        <v/>
      </c>
      <c r="O17">
        <f>-(BS!O12-BS!N12+BS!O13-BS!N13)</f>
        <v/>
      </c>
      <c r="P17">
        <f>-(BS!P12-BS!O12+BS!P13-BS!O13)</f>
        <v/>
      </c>
    </row>
    <row r="18">
      <c r="A18" t="inlineStr">
        <is>
          <t>Cash from investing activities</t>
        </is>
      </c>
      <c r="H18">
        <f>H16+H17</f>
        <v/>
      </c>
      <c r="I18">
        <f>I16+I17</f>
        <v/>
      </c>
      <c r="J18">
        <f>J16+J17</f>
        <v/>
      </c>
      <c r="K18">
        <f>K16+K17</f>
        <v/>
      </c>
      <c r="L18">
        <f>SUM(H18:K18)</f>
        <v/>
      </c>
      <c r="M18">
        <f>M16+M17</f>
        <v/>
      </c>
      <c r="N18">
        <f>N16+N17</f>
        <v/>
      </c>
      <c r="O18">
        <f>O16+O17</f>
        <v/>
      </c>
      <c r="P18">
        <f>P16+P17</f>
        <v/>
      </c>
    </row>
    <row r="19">
      <c r="A19" t="inlineStr">
        <is>
          <t>Change in debt</t>
        </is>
      </c>
      <c r="H19">
        <f>BS!H17-BS!G17+BS!H18-BS!G18+BS!H21-BS!G21</f>
        <v/>
      </c>
      <c r="I19">
        <f>BS!I17-BS!H17+BS!I18-BS!H18+BS!I21-BS!H21</f>
        <v/>
      </c>
      <c r="J19">
        <f>BS!J17-BS!I17+BS!J18-BS!I18+BS!J21-BS!I21</f>
        <v/>
      </c>
      <c r="K19">
        <f>BS!K17-BS!J17+BS!K18-BS!J18+BS!K21-BS!J21</f>
        <v/>
      </c>
      <c r="L19">
        <f>SUM(H19:K19)</f>
        <v/>
      </c>
      <c r="M19">
        <f>BS!M17-BS!K17+BS!M18-BS!K18+BS!M21-BS!K21</f>
        <v/>
      </c>
      <c r="N19">
        <f>BS!N17-BS!M17+BS!N18-BS!M18+BS!N21-BS!M21</f>
        <v/>
      </c>
      <c r="O19">
        <f>BS!O17-BS!N17+BS!O18-BS!N18+BS!O21-BS!N21</f>
        <v/>
      </c>
      <c r="P19">
        <f>BS!P17-BS!O17+BS!P18-BS!O18+BS!P21-BS!O21</f>
        <v/>
      </c>
    </row>
    <row r="20">
      <c r="A20" t="inlineStr">
        <is>
          <t>Change in equity other than net income, incl. non-controlling interests</t>
        </is>
      </c>
      <c r="H20">
        <f>BS!H25-BS!G25-H6+BS!H26-BS!G26+BS!H24-BS!G24</f>
        <v/>
      </c>
      <c r="I20">
        <f>BS!I25-BS!H25-I6+BS!I26-BS!H26+BS!I24-BS!H24</f>
        <v/>
      </c>
      <c r="J20">
        <f>BS!J25-BS!I25-J6+BS!J26-BS!I26+BS!J24-BS!I24</f>
        <v/>
      </c>
      <c r="K20">
        <f>BS!K25-BS!J25-K6+BS!K26-BS!J26+BS!K24-BS!J24</f>
        <v/>
      </c>
      <c r="L20">
        <f>SUM(H20:K20)</f>
        <v/>
      </c>
      <c r="M20">
        <f>BS!M25-BS!K25-M6+BS!M26-BS!K26+BS!M24-BS!K24</f>
        <v/>
      </c>
      <c r="N20">
        <f>BS!N25-BS!M25-N6+BS!N26-BS!M26+BS!N24-BS!M24</f>
        <v/>
      </c>
      <c r="O20">
        <f>BS!O25-BS!N25-O6+BS!O26-BS!N26+BS!O24-BS!N24</f>
        <v/>
      </c>
      <c r="P20">
        <f>BS!P25-BS!O25-P6+BS!P26-BS!O26+BS!P24-BS!O24</f>
        <v/>
      </c>
    </row>
    <row r="21">
      <c r="A21" t="inlineStr">
        <is>
          <t>Cash from financing activities</t>
        </is>
      </c>
      <c r="H21">
        <f>H19+H20</f>
        <v/>
      </c>
      <c r="I21">
        <f>I19+I20</f>
        <v/>
      </c>
      <c r="J21">
        <f>J19+J20</f>
        <v/>
      </c>
      <c r="K21">
        <f>K19+K20</f>
        <v/>
      </c>
      <c r="L21">
        <f>SUM(H21:K21)</f>
        <v/>
      </c>
      <c r="M21">
        <f>M19+M20</f>
        <v/>
      </c>
      <c r="N21">
        <f>N19+N20</f>
        <v/>
      </c>
      <c r="O21">
        <f>O19+O20</f>
        <v/>
      </c>
      <c r="P21">
        <f>P19+P20</f>
        <v/>
      </c>
    </row>
    <row r="22">
      <c r="A22" t="inlineStr">
        <is>
          <t>Net change in cash</t>
        </is>
      </c>
      <c r="H22">
        <f>H15+H18+H21</f>
        <v/>
      </c>
      <c r="I22">
        <f>I15+I18+I21</f>
        <v/>
      </c>
      <c r="J22">
        <f>J15+J18+J21</f>
        <v/>
      </c>
      <c r="K22">
        <f>K15+K18+K21</f>
        <v/>
      </c>
      <c r="L22">
        <f>SUM(H22:K22)</f>
        <v/>
      </c>
      <c r="M22">
        <f>M15+M18+M21</f>
        <v/>
      </c>
      <c r="N22">
        <f>N15+N18+N21</f>
        <v/>
      </c>
      <c r="O22">
        <f>O15+O18+O21</f>
        <v/>
      </c>
      <c r="P22">
        <f>P15+P18+P21</f>
        <v/>
      </c>
    </row>
    <row r="23">
      <c r="A23" t="inlineStr">
        <is>
          <t>Cash, beginning of period</t>
        </is>
      </c>
      <c r="H23">
        <f>BS!G6</f>
        <v/>
      </c>
      <c r="I23">
        <f>BS!H6</f>
        <v/>
      </c>
      <c r="J23">
        <f>BS!I6</f>
        <v/>
      </c>
      <c r="K23">
        <f>BS!J6</f>
        <v/>
      </c>
      <c r="L23">
        <f>BS!G6</f>
        <v/>
      </c>
      <c r="M23">
        <f>BS!K6</f>
        <v/>
      </c>
      <c r="N23">
        <f>BS!M6</f>
        <v/>
      </c>
      <c r="O23">
        <f>BS!N6</f>
        <v/>
      </c>
      <c r="P23">
        <f>BS!O6</f>
        <v/>
      </c>
    </row>
    <row r="24">
      <c r="A24" t="inlineStr">
        <is>
          <t>Cash, end of period</t>
        </is>
      </c>
      <c r="H24">
        <f>H23+H22</f>
        <v/>
      </c>
      <c r="I24">
        <f>I23+I22</f>
        <v/>
      </c>
      <c r="J24">
        <f>J23+J22</f>
        <v/>
      </c>
      <c r="K24">
        <f>K23+K22</f>
        <v/>
      </c>
      <c r="L24">
        <f>L23+L22</f>
        <v/>
      </c>
      <c r="M24">
        <f>M23+M22</f>
        <v/>
      </c>
      <c r="N24">
        <f>N23+N22</f>
        <v/>
      </c>
      <c r="O24">
        <f>O23+O22</f>
        <v/>
      </c>
      <c r="P24">
        <f>P23+P22</f>
        <v/>
      </c>
    </row>
    <row r="25">
      <c r="A25" t="inlineStr">
        <is>
          <t>Check: end of period cash less balance sheet cash</t>
        </is>
      </c>
      <c r="H25">
        <f>H24-BS!H6</f>
        <v/>
      </c>
      <c r="I25">
        <f>I24-BS!I6</f>
        <v/>
      </c>
      <c r="J25">
        <f>J24-BS!J6</f>
        <v/>
      </c>
      <c r="K25">
        <f>K24-BS!K6</f>
        <v/>
      </c>
      <c r="L25">
        <f>L24-BS!K6</f>
        <v/>
      </c>
      <c r="M25">
        <f>M24-BS!M6</f>
        <v/>
      </c>
      <c r="N25">
        <f>N24-BS!N6</f>
        <v/>
      </c>
      <c r="O25">
        <f>O24-BS!O6</f>
        <v/>
      </c>
      <c r="P25">
        <f>P24-BS!P6</f>
        <v/>
      </c>
    </row>
    <row r="26">
      <c r="A26" t="inlineStr">
        <is>
          <t>Free cash flow (operating cash flow + capital expenditures)</t>
        </is>
      </c>
      <c r="H26">
        <f>H15+H16</f>
        <v/>
      </c>
      <c r="I26">
        <f>I15+I16</f>
        <v/>
      </c>
      <c r="J26">
        <f>J15+J16</f>
        <v/>
      </c>
      <c r="K26">
        <f>K15+K16</f>
        <v/>
      </c>
      <c r="L26">
        <f>SUM(H26:K26)</f>
        <v/>
      </c>
      <c r="M26">
        <f>M15+M16</f>
        <v/>
      </c>
      <c r="N26">
        <f>N15+N16</f>
        <v/>
      </c>
      <c r="O26">
        <f>O15+O16</f>
        <v/>
      </c>
      <c r="P26">
        <f>P15+P16</f>
        <v/>
      </c>
    </row>
    <row r="28">
      <c r="A28" t="inlineStr">
        <is>
          <t>As reported in each filing (year to date)</t>
        </is>
      </c>
    </row>
    <row r="29">
      <c r="A29" t="inlineStr">
        <is>
          <t>Depreciation and amortization, year to date (as reported)</t>
        </is>
      </c>
      <c r="C29" t="n">
        <v>748</v>
      </c>
      <c r="D29" t="n">
        <v>1493</v>
      </c>
      <c r="E29" t="n">
        <v>2242</v>
      </c>
      <c r="G29" t="n">
        <v>2958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Medtronic plc: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CF!H16</f>
        <v/>
      </c>
      <c r="I11">
        <f>CF!I16</f>
        <v/>
      </c>
      <c r="J11">
        <f>CF!J16</f>
        <v/>
      </c>
      <c r="K11">
        <f>CF!K16</f>
        <v/>
      </c>
      <c r="M11">
        <f>CF!M16</f>
        <v/>
      </c>
      <c r="N11">
        <f>CF!N16</f>
        <v/>
      </c>
      <c r="O11">
        <f>CF!O16</f>
        <v/>
      </c>
      <c r="P11">
        <f>CF!P16</f>
        <v/>
      </c>
    </row>
    <row r="12">
      <c r="A12" t="inlineStr">
        <is>
          <t>Working capital and other</t>
        </is>
      </c>
      <c r="H12">
        <f>CF!H13</f>
        <v/>
      </c>
      <c r="I12">
        <f>CF!I13</f>
        <v/>
      </c>
      <c r="J12">
        <f>CF!J13</f>
        <v/>
      </c>
      <c r="K12">
        <f>CF!K13</f>
        <v/>
      </c>
      <c r="M12">
        <f>CF!M13</f>
        <v/>
      </c>
      <c r="N12">
        <f>CF!N13</f>
        <v/>
      </c>
      <c r="O12">
        <f>CF!O13</f>
        <v/>
      </c>
      <c r="P12">
        <f>CF!P13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2026-10-14T06:46:25Z</dcterms:modified>
</cp:coreProperties>
</file>