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style1.xml" ContentType="application/vnd.ms-office.chartstyle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olors1.xml" ContentType="application/vnd.ms-office.chartcolorstyle+xml"/>
  <Override PartName="/xl/charts/chart6.xml" ContentType="application/vnd.openxmlformats-officedocument.drawingml.chart+xml"/>
  <Override PartName="/xl/charts/chart2.xml" ContentType="application/vnd.openxmlformats-officedocument.drawingml.chart+xml"/>
  <Override PartName="/xl/charts/style2.xml" ContentType="application/vnd.ms-office.chartstyle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style4.xml" ContentType="application/vnd.ms-office.chartstyle+xml"/>
  <Override PartName="/xl/charts/colors4.xml" ContentType="application/vnd.ms-office.chartcolorstyle+xml"/>
  <Override PartName="/xl/charts/style5.xml" ContentType="application/vnd.ms-office.chartstyle+xml"/>
  <Override PartName="/xl/charts/colors2.xml" ContentType="application/vnd.ms-office.chartcolorstyle+xml"/>
  <Override PartName="/xl/charts/colors5.xml" ContentType="application/vnd.ms-office.chartcolorstyle+xml"/>
  <Override PartName="/xl/charts/colors3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27" firstSheet="0" activeTab="6"/>
  </bookViews>
  <sheets>
    <sheet name="Income Statement" sheetId="1" state="visible" r:id="rId3"/>
    <sheet name="Balance Sheet" sheetId="2" state="visible" r:id="rId4"/>
    <sheet name="Cash Flow" sheetId="3" state="visible" r:id="rId5"/>
    <sheet name="Dep Capex" sheetId="4" state="visible" r:id="rId6"/>
    <sheet name="Working Capital" sheetId="5" state="visible" r:id="rId7"/>
    <sheet name="Debt" sheetId="6" state="visible" r:id="rId8"/>
    <sheet name="Dashboard" sheetId="7" state="visible" r:id="rId9"/>
    <sheet name="Tables" sheetId="8" state="hidden" r:id="rId10"/>
  </sheets>
  <definedNames>
    <definedName function="false" hidden="true" name="CIQWBGuid" vbProcedure="false">"4c07ec0d-a4bd-43e1-8f7d-edc964c69827"</definedName>
    <definedName function="false" hidden="true" name="IQRCOMPSE5" vbProcedure="false">#ref!</definedName>
    <definedName function="false" hidden="true" name="IQ_CH" vbProcedure="false">110000</definedName>
    <definedName function="false" hidden="true" name="IQ_CQ" vbProcedure="false">5000</definedName>
    <definedName function="false" hidden="true" name="IQ_CY" vbProcedure="false">10000</definedName>
    <definedName function="false" hidden="true" name="IQ_DAILY" vbProcedure="false">500000</definedName>
    <definedName function="false" hidden="true" name="IQ_DNTM" vbProcedure="false">700000</definedName>
    <definedName function="false" hidden="true" name="IQ_FH" vbProcedure="false">100000</definedName>
    <definedName function="false" hidden="tru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tru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true" name="IQ_LTM" vbProcedure="false">2000</definedName>
    <definedName function="false" hidden="true" name="IQ_LTMMONTH" vbProcedure="false">120000</definedName>
    <definedName function="false" hidden="true" name="IQ_MONTH" vbProcedure="false">15000</definedName>
    <definedName function="false" hidden="true" name="IQ_MTD" vbProcedure="false">800000</definedName>
    <definedName function="false" hidden="true" name="IQ_NAMES_REVISION_DATE_" vbProcedure="false">41647.7127314815</definedName>
    <definedName function="false" hidden="tru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true" name="IQ_WEEK" vbProcedure="false">50000</definedName>
    <definedName function="false" hidden="true" name="IQ_YTD" vbProcedure="false">3000</definedName>
    <definedName function="false" hidden="true" name="IQ_YTDMONTH" vbProcedure="false">130000</definedName>
    <definedName function="false" hidden="false" name="tax_rate" vbProcedure="false">#ref!</definedName>
    <definedName function="false" hidden="true" localSheetId="2" name="IQRCOMPSE5" vbProcedure="false">#ref!</definedName>
    <definedName function="false" hidden="true" localSheetId="3" name="IQRCOMPSE5" vbProcedure="false">#ref!</definedName>
    <definedName function="false" hidden="true" localSheetId="4" name="IQRCOMPSE5" vbProcedure="false">#ref!</definedName>
    <definedName function="false" hidden="true" localSheetId="5" name="IQRCOMPSE5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<sst xmlns="http://schemas.openxmlformats.org/spreadsheetml/2006/main" count="285" uniqueCount="147">
  <si>
    <t xml:space="preserve">Apex Solutions - Income Statement</t>
  </si>
  <si>
    <t xml:space="preserve">Historicals</t>
  </si>
  <si>
    <t xml:space="preserve">Reported</t>
  </si>
  <si>
    <t xml:space="preserve">Forecasts</t>
  </si>
  <si>
    <t xml:space="preserve">(All Data is in Millions $, Except Per Share Information)</t>
  </si>
  <si>
    <t xml:space="preserve">Actuals 1</t>
  </si>
  <si>
    <t xml:space="preserve">Actuals 2</t>
  </si>
  <si>
    <t xml:space="preserve">Actuals 3</t>
  </si>
  <si>
    <t xml:space="preserve">Q1 Year 1 (actual)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</si>
  <si>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</si>
  <si>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</si>
  <si>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</si>
  <si>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</si>
  <si>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</si>
  <si>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Revenues</t>
  </si>
  <si>
    <t xml:space="preserve">Software </t>
  </si>
  <si>
    <t xml:space="preserve">Hardware </t>
  </si>
  <si>
    <t xml:space="preserve">IT Services</t>
  </si>
  <si>
    <t xml:space="preserve">Total Revenues</t>
  </si>
  <si>
    <t xml:space="preserve">Cost of Sales</t>
  </si>
  <si>
    <t xml:space="preserve">Total Operating Costs</t>
  </si>
  <si>
    <t xml:space="preserve">Gross Margin</t>
  </si>
  <si>
    <t xml:space="preserve">SG&amp;A Expense</t>
  </si>
  <si>
    <t xml:space="preserve">EBITDA</t>
  </si>
  <si>
    <t xml:space="preserve">Depreciation</t>
  </si>
  <si>
    <t xml:space="preserve">Amortization</t>
  </si>
  <si>
    <t xml:space="preserve">EBIT</t>
  </si>
  <si>
    <t xml:space="preserve">Interest Expense</t>
  </si>
  <si>
    <t xml:space="preserve">Interest Income</t>
  </si>
  <si>
    <t xml:space="preserve">Net Interest Expense</t>
  </si>
  <si>
    <t xml:space="preserve">EBT</t>
  </si>
  <si>
    <t xml:space="preserve">Tax </t>
  </si>
  <si>
    <t xml:space="preserve">Net income</t>
  </si>
  <si>
    <t xml:space="preserve">EBITDA Margin</t>
  </si>
  <si>
    <t xml:space="preserve">EBIT Margin</t>
  </si>
  <si>
    <t xml:space="preserve">EBT Margin</t>
  </si>
  <si>
    <t xml:space="preserve">Net Income Margin</t>
  </si>
  <si>
    <t xml:space="preserve">Drivers</t>
  </si>
  <si>
    <t xml:space="preserve">Software Revenue</t>
  </si>
  <si>
    <t xml:space="preserve">Software Cost of Sales</t>
  </si>
  <si>
    <t xml:space="preserve">Cost of Sales (%)</t>
  </si>
  <si>
    <t xml:space="preserve">Margin ($ million)</t>
  </si>
  <si>
    <t xml:space="preserve">Margin (%)</t>
  </si>
  <si>
    <t xml:space="preserve">Hardware</t>
  </si>
  <si>
    <t xml:space="preserve">Hardware Revenue</t>
  </si>
  <si>
    <t xml:space="preserve">Hardware Cost of Sales</t>
  </si>
  <si>
    <t xml:space="preserve">IT Services Revenues</t>
  </si>
  <si>
    <t xml:space="preserve">IT Services Cost of Sales</t>
  </si>
  <si>
    <t xml:space="preserve">Effective Tax Rate</t>
  </si>
  <si>
    <t xml:space="preserve">Apex Solutions - Balance Sheet</t>
  </si>
  <si>
    <t xml:space="preserve">Assets</t>
  </si>
  <si>
    <t xml:space="preserve">Current Assets</t>
  </si>
  <si>
    <t xml:space="preserve">Cash and Equivalents</t>
  </si>
  <si>
    <t xml:space="preserve">Accounts Receivables</t>
  </si>
  <si>
    <t xml:space="preserve">Inventory</t>
  </si>
  <si>
    <t xml:space="preserve">Total Current Assets</t>
  </si>
  <si>
    <t xml:space="preserve">Fixed Assets</t>
  </si>
  <si>
    <t xml:space="preserve">Net PPE</t>
  </si>
  <si>
    <t xml:space="preserve">Other Assets</t>
  </si>
  <si>
    <t xml:space="preserve">Goodwill</t>
  </si>
  <si>
    <t xml:space="preserve">Intangible Assets</t>
  </si>
  <si>
    <t xml:space="preserve">Total Other Assets</t>
  </si>
  <si>
    <t xml:space="preserve">Total Assets</t>
  </si>
  <si>
    <t xml:space="preserve">Liabilities and Shareholders Equity</t>
  </si>
  <si>
    <t xml:space="preserve">Current Liabilities</t>
  </si>
  <si>
    <t xml:space="preserve">Accounts Payable</t>
  </si>
  <si>
    <t xml:space="preserve">Accrued Liabilities</t>
  </si>
  <si>
    <t xml:space="preserve">Total Current Liabilities</t>
  </si>
  <si>
    <t xml:space="preserve">Term Loan</t>
  </si>
  <si>
    <t xml:space="preserve">Total Debt</t>
  </si>
  <si>
    <t xml:space="preserve">Common Stock </t>
  </si>
  <si>
    <t xml:space="preserve">Treasury Stock</t>
  </si>
  <si>
    <t xml:space="preserve">Retained Earnings</t>
  </si>
  <si>
    <t xml:space="preserve">Total Shareholders' Equity</t>
  </si>
  <si>
    <t xml:space="preserve">Total Liabilities and Shareholders' Equity (Deficit)</t>
  </si>
  <si>
    <t xml:space="preserve">Check</t>
  </si>
  <si>
    <t xml:space="preserve">Liquidity Ratio</t>
  </si>
  <si>
    <t xml:space="preserve">Current Ratio (Current Assets / Current Liablities)</t>
  </si>
  <si>
    <t xml:space="preserve">Quick Ratio</t>
  </si>
  <si>
    <t xml:space="preserve">Cash Ratio</t>
  </si>
  <si>
    <t xml:space="preserve">Leverage Ratio</t>
  </si>
  <si>
    <t xml:space="preserve">Debt to Equity Ratio</t>
  </si>
  <si>
    <t xml:space="preserve">ROE (Net Income / Shareholders Equity)</t>
  </si>
  <si>
    <t xml:space="preserve">*We are assuming that management has made a decision of not buying back stock for now.</t>
  </si>
  <si>
    <t xml:space="preserve">*Hence, we assume that Treasury Stock remains the same in the years forecasted</t>
  </si>
  <si>
    <t xml:space="preserve">*Also, since there is not Follow on IPO we are assuming that the common stock forecasted for the future also remains the same</t>
  </si>
  <si>
    <t xml:space="preserve">*We are assuming that No Dividends were given and hence all of the net income was invested back into the company</t>
  </si>
  <si>
    <t xml:space="preserve">*Hence, Retained Earnings forecasted is equal to the sum of the previous year Retained Earning and Net Income</t>
  </si>
  <si>
    <t xml:space="preserve">Apex Solutions - Cash Flow</t>
  </si>
  <si>
    <t xml:space="preserve">Operating Activities</t>
  </si>
  <si>
    <t xml:space="preserve">Net Income</t>
  </si>
  <si>
    <t xml:space="preserve">Add Depreciation</t>
  </si>
  <si>
    <t xml:space="preserve">Add Amortization</t>
  </si>
  <si>
    <t xml:space="preserve">Change in Working Capital</t>
  </si>
  <si>
    <t xml:space="preserve">Change in Receivable</t>
  </si>
  <si>
    <t xml:space="preserve">Change in Inventory</t>
  </si>
  <si>
    <t xml:space="preserve">Change in Accounts Payable</t>
  </si>
  <si>
    <t xml:space="preserve">Cash Flow from Operating Activities</t>
  </si>
  <si>
    <t xml:space="preserve">Investment Activities</t>
  </si>
  <si>
    <t xml:space="preserve">Capital Expenditures</t>
  </si>
  <si>
    <t xml:space="preserve">Additions to Intangibles</t>
  </si>
  <si>
    <t xml:space="preserve">Cash Flow from Investing Activities</t>
  </si>
  <si>
    <t xml:space="preserve">Financing Activities</t>
  </si>
  <si>
    <t xml:space="preserve">Proceeds from/ (repayment of) Term Loan</t>
  </si>
  <si>
    <t xml:space="preserve">Cash Flow from Financing Activities</t>
  </si>
  <si>
    <t xml:space="preserve">Net Change in Cash</t>
  </si>
  <si>
    <t xml:space="preserve">Beginning Cash Balance</t>
  </si>
  <si>
    <t xml:space="preserve">Ending Cash Balance</t>
  </si>
  <si>
    <t xml:space="preserve">Apex Solutions - Depreciation Capex</t>
  </si>
  <si>
    <t xml:space="preserve">Revenue</t>
  </si>
  <si>
    <t xml:space="preserve">Depreciation as % of Revenue</t>
  </si>
  <si>
    <t xml:space="preserve">Beginning PP&amp;E</t>
  </si>
  <si>
    <t xml:space="preserve">Capital Expenditure</t>
  </si>
  <si>
    <t xml:space="preserve">Apex Solutions -  Working Capital</t>
  </si>
  <si>
    <t xml:space="preserve">Working Capital Balances</t>
  </si>
  <si>
    <t xml:space="preserve">Operating Costs</t>
  </si>
  <si>
    <t xml:space="preserve">Turnover Ratios </t>
  </si>
  <si>
    <t xml:space="preserve">Receivables turnover = (Sales / Accounts Receivables)</t>
  </si>
  <si>
    <t xml:space="preserve">days</t>
  </si>
  <si>
    <t xml:space="preserve">Inventory turnover (COGS / Inventory)</t>
  </si>
  <si>
    <t xml:space="preserve">Payables turnover (COGS / Payables)</t>
  </si>
  <si>
    <t xml:space="preserve">Receivables collection period (365/receivables turnover)</t>
  </si>
  <si>
    <t xml:space="preserve">Inventory processing period (365/inventory turnover)</t>
  </si>
  <si>
    <t xml:space="preserve">Payment period (365/payables turnover)</t>
  </si>
  <si>
    <t xml:space="preserve">Cash Collection Cycle</t>
  </si>
  <si>
    <t xml:space="preserve"> </t>
  </si>
  <si>
    <t xml:space="preserve">Apex Solutions - Debt and Interest</t>
  </si>
  <si>
    <t xml:space="preserve">Beginning Balance</t>
  </si>
  <si>
    <t xml:space="preserve">Issuance</t>
  </si>
  <si>
    <t xml:space="preserve">(Repayment/ Amortization)</t>
  </si>
  <si>
    <t xml:space="preserve">Ending Balance</t>
  </si>
  <si>
    <t xml:space="preserve">Interest Expense Calculation</t>
  </si>
  <si>
    <t xml:space="preserve">Average Oustanding</t>
  </si>
  <si>
    <t xml:space="preserve">Interest Rate</t>
  </si>
  <si>
    <t xml:space="preserve">Interest Income Calculation</t>
  </si>
  <si>
    <t xml:space="preserve">Cash &amp; Cash Equivalents</t>
  </si>
  <si>
    <t xml:space="preserve">Effective Cash Interest Rate:</t>
  </si>
  <si>
    <t xml:space="preserve">Interest Income </t>
  </si>
  <si>
    <t xml:space="preserve">*For Cash &amp; Cash Equivalents we are using Beginning Cash Balance</t>
  </si>
  <si>
    <t xml:space="preserve">*We are assuming the year's interest income is based on the cash available at the start of the year</t>
  </si>
  <si>
    <t xml:space="preserve">APEX SOLUTIONS INC</t>
  </si>
  <si>
    <t xml:space="preserve">FINANCIAL STATEMENT ANALYSIS DASHBOARD</t>
  </si>
  <si>
    <t xml:space="preserve">Cash Balance</t>
  </si>
  <si>
    <t xml:space="preserve">Free Cash Flow</t>
  </si>
  <si>
    <t xml:space="preserve">Year</t>
  </si>
  <si>
    <t xml:space="preserve">Software</t>
  </si>
  <si>
    <t xml:space="preserve">Revenue Growth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</si>
</sst>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#,##0.0;\(#,##0.0\);\-"/>
    <numFmt numFmtId="166" formatCode="0.0%"/>
    <numFmt numFmtId="167" formatCode="_(* #,##0.00_);_(* \(#,##0.00\);_(* \-??_);_(@_)"/>
    <numFmt numFmtId="168" formatCode="_ * #,##0.00_ ;_ * \-#,##0.00_ ;_ * \-??_ ;_ @_ "/>
    <numFmt numFmtId="169" formatCode="_(\$* #,##0.00_);_(\$* \(#,##0.00\);_(\$* \-??_);_(@_)"/>
    <numFmt numFmtId="170" formatCode="0%"/>
    <numFmt numFmtId="171" formatCode="&quot;FY &quot;0"/>
    <numFmt numFmtId="172" formatCode="_(* #,##0.0_);_(* \(#,##0.0\);_(* \-??_);_(@_)"/>
    <numFmt numFmtId="173" formatCode="#,##0.00;\(#,##0.00\);\-"/>
    <numFmt numFmtId="174" formatCode="#,##0.00"/>
    <numFmt numFmtId="175" formatCode="0.0"/>
    <numFmt numFmtId="176" formatCode="#,##0.0"/>
    <numFmt numFmtId="177" formatCode="#,##0.0;[RED]\-#,##0.0"/>
    <numFmt numFmtId="178" formatCode="[$$-409]#,##0"/>
    <numFmt numFmtId="179" formatCode="0.00%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70C0"/>
      <name val="Calibri"/>
      <family val="2"/>
      <charset val="1"/>
    </font>
    <font>
      <sz val="11"/>
      <color theme="1" tint="0.4999"/>
      <name val="Calibri"/>
      <family val="2"/>
      <charset val="1"/>
    </font>
    <font>
      <sz val="10"/>
      <name val="Arial"/>
      <family val="2"/>
      <charset val="1"/>
    </font>
    <font>
      <sz val="9"/>
      <name val="Geneva"/>
      <family val="0"/>
      <charset val="1"/>
    </font>
    <font>
      <sz val="7"/>
      <color rgb="FFFF0000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6"/>
      <color theme="0"/>
      <name val="Arial"/>
      <family val="2"/>
      <charset val="1"/>
    </font>
    <font>
      <sz val="11"/>
      <color theme="0"/>
      <name val="Arial"/>
      <family val="2"/>
      <charset val="1"/>
    </font>
    <font>
      <b val="true"/>
      <u val="single"/>
      <sz val="11"/>
      <color theme="0"/>
      <name val="Arial"/>
      <family val="2"/>
      <charset val="1"/>
    </font>
    <font>
      <i val="true"/>
      <sz val="11"/>
      <color theme="0"/>
      <name val="Arial"/>
      <family val="2"/>
      <charset val="1"/>
    </font>
    <font>
      <u val="single"/>
      <sz val="11"/>
      <color theme="0"/>
      <name val="Arial"/>
      <family val="2"/>
      <charset val="1"/>
    </font>
    <font>
      <b val="true"/>
      <sz val="11"/>
      <color rgb="FF0BA1A1"/>
      <name val="Arial"/>
      <family val="2"/>
      <charset val="1"/>
    </font>
    <font>
      <sz val="11"/>
      <color rgb="FF0000FF"/>
      <name val="Arial"/>
      <family val="2"/>
      <charset val="1"/>
    </font>
    <font>
      <sz val="11"/>
      <color theme="4"/>
      <name val="Arial"/>
      <family val="2"/>
      <charset val="1"/>
    </font>
    <font>
      <sz val="11"/>
      <name val="Arial"/>
      <family val="2"/>
      <charset val="1"/>
    </font>
    <font>
      <sz val="11"/>
      <color rgb="FF009600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1"/>
      <color rgb="FF00B0F0"/>
      <name val="Arial"/>
      <family val="2"/>
      <charset val="1"/>
    </font>
    <font>
      <b val="true"/>
      <sz val="11"/>
      <color theme="0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rgb="FF009600"/>
      <name val="Arial"/>
      <family val="2"/>
      <charset val="1"/>
    </font>
    <font>
      <b val="true"/>
      <sz val="11"/>
      <color rgb="FF0000FF"/>
      <name val="Arial"/>
      <family val="2"/>
      <charset val="1"/>
    </font>
    <font>
      <sz val="11"/>
      <color rgb="FF00B050"/>
      <name val="Arial"/>
      <family val="2"/>
      <charset val="1"/>
    </font>
    <font>
      <b val="true"/>
      <sz val="11"/>
      <color rgb="FF00B050"/>
      <name val="Arial"/>
      <family val="2"/>
      <charset val="1"/>
    </font>
    <font>
      <b val="true"/>
      <u val="single"/>
      <sz val="11"/>
      <color theme="1"/>
      <name val="Arial"/>
      <family val="2"/>
      <charset val="1"/>
    </font>
    <font>
      <b val="true"/>
      <sz val="22"/>
      <color theme="1"/>
      <name val="Calibri"/>
      <family val="2"/>
      <charset val="1"/>
    </font>
    <font>
      <b val="true"/>
      <sz val="24"/>
      <color theme="1"/>
      <name val="Calibri"/>
      <family val="2"/>
      <charset val="1"/>
    </font>
    <font>
      <b val="true"/>
      <sz val="20"/>
      <color theme="1"/>
      <name val="Calibri"/>
      <family val="2"/>
      <charset val="1"/>
    </font>
    <font>
      <sz val="22"/>
      <color theme="1"/>
      <name val="Calibri"/>
      <family val="2"/>
      <charset val="1"/>
    </font>
    <font>
      <sz val="16"/>
      <color rgb="FF000000"/>
      <name val="Calibri"/>
      <family val="2"/>
    </font>
    <font>
      <sz val="10"/>
      <color rgb="FF000000"/>
      <name val="Calibri"/>
      <family val="2"/>
    </font>
    <font>
      <sz val="10"/>
      <color rgb="FF59595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 tint="-0.05"/>
        <bgColor rgb="FFFFFFFF"/>
      </patternFill>
    </fill>
    <fill>
      <patternFill patternType="solid">
        <fgColor rgb="FF0C4E54"/>
        <bgColor rgb="FF003300"/>
      </patternFill>
    </fill>
    <fill>
      <patternFill patternType="solid">
        <fgColor theme="0" tint="-0.15"/>
        <bgColor rgb="FFF2F2F2"/>
      </patternFill>
    </fill>
    <fill>
      <patternFill patternType="solid">
        <fgColor theme="0" tint="-0.25"/>
        <bgColor rgb="FFD9D9D9"/>
      </patternFill>
    </fill>
    <fill>
      <patternFill patternType="solid">
        <fgColor theme="0"/>
        <bgColor rgb="FFF2F2F2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dashed">
        <color theme="0" tint="-0.25"/>
      </left>
      <right style="dashed">
        <color theme="0" tint="-0.25"/>
      </right>
      <top style="dashed">
        <color theme="0" tint="-0.25"/>
      </top>
      <bottom style="dashed">
        <color theme="0" tint="-0.25"/>
      </bottom>
      <diagonal/>
    </border>
    <border diagonalUp="false" diagonalDown="false">
      <left/>
      <right/>
      <top style="thin">
        <color theme="0" tint="-0.25"/>
      </top>
      <bottom style="thin">
        <color theme="0" tint="-0.25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/>
      <top style="thin"/>
      <bottom style="thin"/>
      <diagonal/>
    </border>
  </borders>
  <cellStyleXfs count="3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3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1" fontId="1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11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1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1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6" fillId="0" borderId="0" xfId="3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2" shrinkToFit="false"/>
      <protection locked="true" hidden="false"/>
    </xf>
    <xf numFmtId="165" fontId="17" fillId="0" borderId="0" xfId="3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0" borderId="0" xfId="3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left" vertical="center" textRotation="0" wrapText="true" indent="2" shrinkToFit="false"/>
      <protection locked="true" hidden="false"/>
    </xf>
    <xf numFmtId="164" fontId="2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20" fillId="0" borderId="3" xfId="15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3" fontId="21" fillId="0" borderId="0" xfId="3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2" fontId="20" fillId="0" borderId="0" xfId="15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16" fillId="0" borderId="0" xfId="3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0" borderId="0" xfId="3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7" fillId="0" borderId="0" xfId="3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75" fontId="19" fillId="0" borderId="0" xfId="3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20" fillId="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0" fillId="5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6" fontId="20" fillId="5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6" fontId="20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6" fontId="9" fillId="0" borderId="0" xfId="19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6" fillId="0" borderId="0" xfId="19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8" fillId="0" borderId="0" xfId="19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9" fillId="0" borderId="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8" fillId="0" borderId="5" xfId="3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23" fillId="0" borderId="5" xfId="3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3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5" fontId="20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true" indent="2" shrinkToFit="false"/>
      <protection locked="true" hidden="false"/>
    </xf>
    <xf numFmtId="165" fontId="2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9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23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0" fillId="5" borderId="4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72" fontId="20" fillId="5" borderId="4" xfId="15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23" fillId="0" borderId="3" xfId="3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3" fillId="0" borderId="0" xfId="3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3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23" fillId="0" borderId="6" xfId="15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6" borderId="0" xfId="3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9" fillId="0" borderId="0" xfId="3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6" xfId="3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8" fillId="0" borderId="0" xfId="3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3" fillId="6" borderId="0" xfId="3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3" fillId="0" borderId="0" xfId="3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5" borderId="4" xfId="3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3" fillId="5" borderId="4" xfId="3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23" fillId="0" borderId="0" xfId="3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20" fillId="0" borderId="0" xfId="1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7" fillId="0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7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5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5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6" fillId="0" borderId="0" xfId="3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7" fillId="0" borderId="0" xfId="3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0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4" fillId="0" borderId="6" xfId="3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3" fillId="0" borderId="6" xfId="3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0" borderId="0" xfId="19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2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8" fontId="32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2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8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ssume #" xfId="20"/>
    <cellStyle name="Assume %" xfId="21"/>
    <cellStyle name="Comma 2" xfId="22"/>
    <cellStyle name="Comma 2 2" xfId="23"/>
    <cellStyle name="Comma 3" xfId="24"/>
    <cellStyle name="Comma 4" xfId="25"/>
    <cellStyle name="Comma 5" xfId="26"/>
    <cellStyle name="Currency 2" xfId="27"/>
    <cellStyle name="Currency 3" xfId="28"/>
    <cellStyle name="Estimates" xfId="29"/>
    <cellStyle name="GivenData" xfId="30"/>
    <cellStyle name="Normal 2" xfId="31"/>
    <cellStyle name="Normal 2 2" xfId="32"/>
    <cellStyle name="Normal 2 2 2" xfId="33"/>
    <cellStyle name="Normal 3" xfId="34"/>
    <cellStyle name="Percent 2" xfId="35"/>
    <cellStyle name="Percent 2 2" xfId="36"/>
    <cellStyle name="Percent 3" xfId="37"/>
    <cellStyle name="TTS" xfId="3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9600"/>
      <rgbColor rgb="FF000080"/>
      <rgbColor rgb="FF808000"/>
      <rgbColor rgb="FF800080"/>
      <rgbColor rgb="FF0BA1A1"/>
      <rgbColor rgb="FFBFBFBF"/>
      <rgbColor rgb="FF7F7F7F"/>
      <rgbColor rgb="FF9999FF"/>
      <rgbColor rgb="FF993366"/>
      <rgbColor rgb="FFFFFFCC"/>
      <rgbColor rgb="FFF2F2F2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36363"/>
      <rgbColor rgb="FF8B8B8B"/>
      <rgbColor rgb="FF0C4E54"/>
      <rgbColor rgb="FF00B050"/>
      <rgbColor rgb="FF003300"/>
      <rgbColor rgb="FF333300"/>
      <rgbColor rgb="FF993300"/>
      <rgbColor rgb="FF993366"/>
      <rgbColor rgb="FF595959"/>
      <rgbColor rgb="FF2929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600" b="0" u="none" strike="noStrike">
                <a:solidFill>
                  <a:srgbClr val="000000"/>
                </a:solidFill>
                <a:uFillTx/>
                <a:latin typeface="Calibri"/>
              </a:rPr>
              <a:t>Total Assets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Tables!$V$3</c:f>
              <c:strCache>
                <c:ptCount val="1"/>
                <c:pt idx="0">
                  <c:v>Total Assets</c:v>
                </c:pt>
              </c:strCache>
            </c:strRef>
          </c:tx>
          <c:spPr>
            <a:solidFill>
              <a:srgbClr val="636363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Tables!$U$4:$U$8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Tables!$V$4:$V$8</c:f>
              <c:numCache>
                <c:formatCode>[$$-409]#,##0</c:formatCode>
                <c:ptCount val="5"/>
                <c:pt idx="0">
                  <c:v>49683.3759054795</c:v>
                </c:pt>
                <c:pt idx="1">
                  <c:v>60634.1873797298</c:v>
                </c:pt>
                <c:pt idx="2">
                  <c:v>74187.2424643347</c:v>
                </c:pt>
                <c:pt idx="3">
                  <c:v>90843.9674596958</c:v>
                </c:pt>
                <c:pt idx="4">
                  <c:v>111229.894223296</c:v>
                </c:pt>
              </c:numCache>
            </c:numRef>
          </c:val>
        </c:ser>
        <c:gapWidth val="182"/>
        <c:overlap val="0"/>
        <c:axId val="52089215"/>
        <c:axId val="42798380"/>
      </c:barChart>
      <c:catAx>
        <c:axId val="520892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lang="en-US" sz="1000" b="0" u="none" strike="noStrike">
                <a:solidFill>
                  <a:schemeClr val="tx1"/>
                </a:solidFill>
                <a:uFillTx/>
                <a:latin typeface="Calibri"/>
              </a:defRPr>
            </a:pPr>
          </a:p>
        </c:txPr>
        <c:crossAx val="42798380"/>
        <c:crosses val="autoZero"/>
        <c:auto val="1"/>
        <c:lblAlgn val="ctr"/>
        <c:lblOffset val="100"/>
        <c:noMultiLvlLbl val="0"/>
      </c:catAx>
      <c:valAx>
        <c:axId val="42798380"/>
        <c:scaling>
          <c:orientation val="minMax"/>
        </c:scaling>
        <c:delete val="0"/>
        <c:axPos val="l"/>
        <c:numFmt formatCode="[$$-409]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lang="en-US" sz="1000" b="0" u="none" strike="noStrike">
                <a:solidFill>
                  <a:schemeClr val="tx1"/>
                </a:solidFill>
                <a:uFillTx/>
                <a:latin typeface="Calibri"/>
              </a:defRPr>
            </a:pPr>
          </a:p>
        </c:txPr>
        <c:crossAx val="520892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noFill/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600" b="0" u="none" strike="noStrike">
                <a:solidFill>
                  <a:srgbClr val="000000"/>
                </a:solidFill>
                <a:uFillTx/>
                <a:latin typeface="Calibri"/>
              </a:rPr>
              <a:t>Total Debt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Tables!$S$3</c:f>
              <c:strCache>
                <c:ptCount val="1"/>
                <c:pt idx="0">
                  <c:v>Total Debt</c:v>
                </c:pt>
              </c:strCache>
            </c:strRef>
          </c:tx>
          <c:spPr>
            <a:solidFill>
              <a:srgbClr val="636363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lang="en-US" sz="1000" b="0" u="none" strike="noStrike">
                    <a:solidFill>
                      <a:schemeClr val="tx1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Tables!$R$4:$R$8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Tables!$S$4:$S$8</c:f>
              <c:numCache>
                <c:formatCode>[$$-409]#,##0</c:formatCode>
                <c:ptCount val="5"/>
                <c:pt idx="0">
                  <c:v>24200</c:v>
                </c:pt>
                <c:pt idx="1">
                  <c:v>23200</c:v>
                </c:pt>
                <c:pt idx="2">
                  <c:v>22200</c:v>
                </c:pt>
                <c:pt idx="3">
                  <c:v>21200</c:v>
                </c:pt>
                <c:pt idx="4">
                  <c:v>20200</c:v>
                </c:pt>
              </c:numCache>
            </c:numRef>
          </c:val>
        </c:ser>
        <c:gapWidth val="219"/>
        <c:overlap val="-27"/>
        <c:axId val="3051068"/>
        <c:axId val="12087281"/>
      </c:barChart>
      <c:catAx>
        <c:axId val="30510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lang="en-US" sz="1000" b="0" u="none" strike="noStrike">
                <a:solidFill>
                  <a:schemeClr val="tx1"/>
                </a:solidFill>
                <a:uFillTx/>
                <a:latin typeface="Calibri"/>
              </a:defRPr>
            </a:pPr>
          </a:p>
        </c:txPr>
        <c:crossAx val="12087281"/>
        <c:crosses val="autoZero"/>
        <c:auto val="1"/>
        <c:lblAlgn val="ctr"/>
        <c:lblOffset val="100"/>
        <c:noMultiLvlLbl val="0"/>
      </c:catAx>
      <c:valAx>
        <c:axId val="12087281"/>
        <c:scaling>
          <c:orientation val="minMax"/>
        </c:scaling>
        <c:delete val="0"/>
        <c:axPos val="l"/>
        <c:numFmt formatCode="[$$-409]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lang="en-US" sz="1000" b="0" u="none" strike="noStrike">
                <a:solidFill>
                  <a:schemeClr val="tx1"/>
                </a:solidFill>
                <a:uFillTx/>
                <a:latin typeface="Calibri"/>
              </a:defRPr>
            </a:pPr>
          </a:p>
        </c:txPr>
        <c:crossAx val="30510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noFill/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600" b="0" u="none" strike="noStrike">
                <a:solidFill>
                  <a:srgbClr val="000000"/>
                </a:solidFill>
                <a:uFillTx/>
                <a:latin typeface="Calibri"/>
              </a:rPr>
              <a:t>Net Income Growth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Tables!$I$3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636363"/>
            </a:solidFill>
            <a:ln cap="rnd" w="28440">
              <a:solidFill>
                <a:srgbClr val="63636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Tables!$H$4:$H$8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Tables!$I$4:$I$8</c:f>
              <c:numCache>
                <c:formatCode>[$$-409]#,##0</c:formatCode>
                <c:ptCount val="5"/>
                <c:pt idx="0">
                  <c:v>9297.2867</c:v>
                </c:pt>
                <c:pt idx="1">
                  <c:v>11396.3247323326</c:v>
                </c:pt>
                <c:pt idx="2">
                  <c:v>13894.8744387309</c:v>
                </c:pt>
                <c:pt idx="3">
                  <c:v>16875.3301801887</c:v>
                </c:pt>
                <c:pt idx="4">
                  <c:v>20458.1002967715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7121404"/>
        <c:axId val="12071314"/>
      </c:lineChart>
      <c:catAx>
        <c:axId val="871214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12071314"/>
        <c:crosses val="autoZero"/>
        <c:auto val="1"/>
        <c:lblAlgn val="ctr"/>
        <c:lblOffset val="100"/>
        <c:noMultiLvlLbl val="0"/>
      </c:catAx>
      <c:valAx>
        <c:axId val="12071314"/>
        <c:scaling>
          <c:orientation val="minMax"/>
        </c:scaling>
        <c:delete val="0"/>
        <c:axPos val="l"/>
        <c:numFmt formatCode="[$$-409]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lang="en-US" sz="1000" b="0" u="none" strike="noStrike">
                <a:solidFill>
                  <a:schemeClr val="tx1"/>
                </a:solidFill>
                <a:uFillTx/>
                <a:latin typeface="Calibri"/>
              </a:defRPr>
            </a:pPr>
          </a:p>
        </c:txPr>
        <c:crossAx val="871214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noFill/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600" b="0" u="none" strike="noStrike">
                <a:solidFill>
                  <a:srgbClr val="000000"/>
                </a:solidFill>
                <a:uFillTx/>
                <a:latin typeface="Calibri"/>
              </a:rPr>
              <a:t>Total Operating Costs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Tables!$L$3</c:f>
              <c:strCache>
                <c:ptCount val="1"/>
                <c:pt idx="0">
                  <c:v>Total Operating Costs</c:v>
                </c:pt>
              </c:strCache>
            </c:strRef>
          </c:tx>
          <c:spPr>
            <a:solidFill>
              <a:srgbClr val="636363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Tables!$K$4:$K$8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Tables!$L$4:$L$8</c:f>
              <c:numCache>
                <c:formatCode>[$$-409]#,##0</c:formatCode>
                <c:ptCount val="5"/>
                <c:pt idx="0">
                  <c:v>22706.72</c:v>
                </c:pt>
                <c:pt idx="1">
                  <c:v>26923.1296</c:v>
                </c:pt>
                <c:pt idx="2">
                  <c:v>31928.044928</c:v>
                </c:pt>
                <c:pt idx="3">
                  <c:v>37869.90133504</c:v>
                </c:pt>
                <c:pt idx="4">
                  <c:v>44925.2484265472</c:v>
                </c:pt>
              </c:numCache>
            </c:numRef>
          </c:val>
        </c:ser>
        <c:gapWidth val="219"/>
        <c:overlap val="-27"/>
        <c:axId val="20198924"/>
        <c:axId val="13050741"/>
      </c:barChart>
      <c:catAx>
        <c:axId val="201989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lang="en-US" sz="1000" b="0" u="none" strike="noStrike">
                <a:solidFill>
                  <a:schemeClr val="tx1"/>
                </a:solidFill>
                <a:uFillTx/>
                <a:latin typeface="Calibri"/>
              </a:defRPr>
            </a:pPr>
          </a:p>
        </c:txPr>
        <c:crossAx val="13050741"/>
        <c:crosses val="autoZero"/>
        <c:auto val="1"/>
        <c:lblAlgn val="ctr"/>
        <c:lblOffset val="100"/>
        <c:noMultiLvlLbl val="0"/>
      </c:catAx>
      <c:valAx>
        <c:axId val="13050741"/>
        <c:scaling>
          <c:orientation val="minMax"/>
        </c:scaling>
        <c:delete val="0"/>
        <c:axPos val="l"/>
        <c:numFmt formatCode="[$$-409]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lang="en-US" sz="1000" b="0" u="none" strike="noStrike">
                <a:solidFill>
                  <a:schemeClr val="tx1"/>
                </a:solidFill>
                <a:uFillTx/>
                <a:latin typeface="Calibri"/>
              </a:defRPr>
            </a:pPr>
          </a:p>
        </c:txPr>
        <c:crossAx val="201989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noFill/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600" b="0" u="none" strike="noStrike">
                <a:solidFill>
                  <a:srgbClr val="000000"/>
                </a:solidFill>
                <a:uFillTx/>
                <a:latin typeface="Calibri"/>
              </a:rPr>
              <a:t>Revenue Growth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Tables!$P$3</c:f>
              <c:strCache>
                <c:ptCount val="1"/>
                <c:pt idx="0">
                  <c:v>Revenue Growth</c:v>
                </c:pt>
              </c:strCache>
            </c:strRef>
          </c:tx>
          <c:spPr>
            <a:solidFill>
              <a:srgbClr val="636363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lang="en-US" sz="1000" b="0" u="none" strike="noStrike">
                    <a:solidFill>
                      <a:schemeClr val="tx1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Tables!$O$4:$O$8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Tables!$P$4:$P$8</c:f>
              <c:numCache>
                <c:formatCode>[$$-409]#,##0</c:formatCode>
                <c:ptCount val="5"/>
                <c:pt idx="0">
                  <c:v>45994</c:v>
                </c:pt>
                <c:pt idx="1">
                  <c:v>54531.32</c:v>
                </c:pt>
                <c:pt idx="2">
                  <c:v>64664.4616</c:v>
                </c:pt>
                <c:pt idx="3">
                  <c:v>76693.681328</c:v>
                </c:pt>
                <c:pt idx="4">
                  <c:v>90976.07366944</c:v>
                </c:pt>
              </c:numCache>
            </c:numRef>
          </c:val>
        </c:ser>
        <c:gapWidth val="182"/>
        <c:overlap val="0"/>
        <c:axId val="55900656"/>
        <c:axId val="35245920"/>
      </c:barChart>
      <c:catAx>
        <c:axId val="559006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lang="en-US" sz="1000" b="0" u="none" strike="noStrike">
                <a:solidFill>
                  <a:schemeClr val="tx1"/>
                </a:solidFill>
                <a:uFillTx/>
                <a:latin typeface="Calibri"/>
              </a:defRPr>
            </a:pPr>
          </a:p>
        </c:txPr>
        <c:crossAx val="35245920"/>
        <c:crosses val="autoZero"/>
        <c:auto val="1"/>
        <c:lblAlgn val="ctr"/>
        <c:lblOffset val="100"/>
        <c:noMultiLvlLbl val="0"/>
      </c:catAx>
      <c:valAx>
        <c:axId val="35245920"/>
        <c:scaling>
          <c:orientation val="minMax"/>
        </c:scaling>
        <c:delete val="0"/>
        <c:axPos val="l"/>
        <c:numFmt formatCode="[$$-409]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lang="en-US" sz="1000" b="0" u="none" strike="noStrike">
                <a:solidFill>
                  <a:schemeClr val="tx1"/>
                </a:solidFill>
                <a:uFillTx/>
                <a:latin typeface="Calibri"/>
              </a:defRPr>
            </a:pPr>
          </a:p>
        </c:txPr>
        <c:crossAx val="559006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noFill/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600" b="0" u="none" strike="noStrike">
                <a:solidFill>
                  <a:srgbClr val="000000"/>
                </a:solidFill>
                <a:uFillTx/>
                <a:latin typeface="Calibri"/>
              </a:rPr>
              <a:t>Revenue By Business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Tables!$C$3</c:f>
              <c:strCache>
                <c:ptCount val="1"/>
                <c:pt idx="0">
                  <c:v>Software</c:v>
                </c:pt>
              </c:strCache>
            </c:strRef>
          </c:tx>
          <c:spPr>
            <a:solidFill>
              <a:srgbClr val="636363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Tables!$B$4:$B$8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Tables!$C$4:$C$8</c:f>
              <c:numCache>
                <c:formatCode>[$$-409]#,##0</c:formatCode>
                <c:ptCount val="5"/>
                <c:pt idx="0">
                  <c:v>22200</c:v>
                </c:pt>
                <c:pt idx="1">
                  <c:v>26640</c:v>
                </c:pt>
                <c:pt idx="2">
                  <c:v>31968</c:v>
                </c:pt>
                <c:pt idx="3">
                  <c:v>38361.6</c:v>
                </c:pt>
                <c:pt idx="4">
                  <c:v>46033.92</c:v>
                </c:pt>
              </c:numCache>
            </c:numRef>
          </c:val>
        </c:ser>
        <c:ser>
          <c:idx val="1"/>
          <c:order val="1"/>
          <c:tx>
            <c:strRef>
              <c:f>Tables!$E$3</c:f>
              <c:strCache>
                <c:ptCount val="1"/>
                <c:pt idx="0">
                  <c:v>Hardware</c:v>
                </c:pt>
              </c:strCache>
            </c:strRef>
          </c:tx>
          <c:spPr>
            <a:solidFill>
              <a:srgbClr val="8B8B8B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Tables!$B$4:$B$8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Tables!$E$4:$E$8</c:f>
              <c:numCache>
                <c:formatCode>[$$-409]#,##0</c:formatCode>
                <c:ptCount val="5"/>
                <c:pt idx="0">
                  <c:v>14514</c:v>
                </c:pt>
                <c:pt idx="1">
                  <c:v>17126.52</c:v>
                </c:pt>
                <c:pt idx="2">
                  <c:v>20209.2936</c:v>
                </c:pt>
                <c:pt idx="3">
                  <c:v>23846.966448</c:v>
                </c:pt>
                <c:pt idx="4">
                  <c:v>28139.42040864</c:v>
                </c:pt>
              </c:numCache>
            </c:numRef>
          </c:val>
        </c:ser>
        <c:ser>
          <c:idx val="2"/>
          <c:order val="2"/>
          <c:tx>
            <c:strRef>
              <c:f>Tables!$F$3</c:f>
              <c:strCache>
                <c:ptCount val="1"/>
                <c:pt idx="0">
                  <c:v>IT Services</c:v>
                </c:pt>
              </c:strCache>
            </c:strRef>
          </c:tx>
          <c:spPr>
            <a:solidFill>
              <a:srgbClr val="292929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Tables!$B$4:$B$8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Tables!$F$4:$F$8</c:f>
              <c:numCache>
                <c:formatCode>[$$-409]#,##0</c:formatCode>
                <c:ptCount val="5"/>
                <c:pt idx="0">
                  <c:v>9280</c:v>
                </c:pt>
                <c:pt idx="1">
                  <c:v>10764.8</c:v>
                </c:pt>
                <c:pt idx="2">
                  <c:v>12487.168</c:v>
                </c:pt>
                <c:pt idx="3">
                  <c:v>14485.11488</c:v>
                </c:pt>
                <c:pt idx="4">
                  <c:v>16802.7332608</c:v>
                </c:pt>
              </c:numCache>
            </c:numRef>
          </c:val>
        </c:ser>
        <c:gapWidth val="150"/>
        <c:overlap val="100"/>
        <c:axId val="69940897"/>
        <c:axId val="97783756"/>
      </c:barChart>
      <c:catAx>
        <c:axId val="6994089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lang="en-US" sz="1000" b="0" u="none" strike="noStrike">
                <a:solidFill>
                  <a:schemeClr val="tx1"/>
                </a:solidFill>
                <a:uFillTx/>
                <a:latin typeface="Calibri"/>
              </a:defRPr>
            </a:pPr>
          </a:p>
        </c:txPr>
        <c:crossAx val="97783756"/>
        <c:crosses val="autoZero"/>
        <c:auto val="1"/>
        <c:lblAlgn val="ctr"/>
        <c:lblOffset val="100"/>
        <c:noMultiLvlLbl val="0"/>
      </c:catAx>
      <c:valAx>
        <c:axId val="97783756"/>
        <c:scaling>
          <c:orientation val="minMax"/>
        </c:scaling>
        <c:delete val="0"/>
        <c:axPos val="l"/>
        <c:numFmt formatCode="[$$-409]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lang="en-US" sz="1000" b="0" u="none" strike="noStrike">
                <a:solidFill>
                  <a:schemeClr val="tx1"/>
                </a:solidFill>
                <a:uFillTx/>
                <a:latin typeface="Calibri"/>
              </a:defRPr>
            </a:pPr>
          </a:p>
        </c:txPr>
        <c:crossAx val="69940897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lang="en-US" sz="1000" b="0" u="none" strike="noStrike">
              <a:solidFill>
                <a:schemeClr val="tx1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</cs:colorStyle>
</file>

<file path=xl/charts/colors6.xml><?xml version="1.0" encoding="utf-8"?>
<cs:colorStyle xmlns:cs="http://schemas.microsoft.com/office/drawing/2012/chartStyle" xmlns:a="http://schemas.openxmlformats.org/drawingml/2006/main" meth="cycle" id="20">
  <a:schemeClr val="dk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518040</xdr:colOff>
      <xdr:row>25</xdr:row>
      <xdr:rowOff>68760</xdr:rowOff>
    </xdr:from>
    <xdr:to>
      <xdr:col>25</xdr:col>
      <xdr:colOff>540720</xdr:colOff>
      <xdr:row>40</xdr:row>
      <xdr:rowOff>99000</xdr:rowOff>
    </xdr:to>
    <xdr:graphicFrame>
      <xdr:nvGraphicFramePr>
        <xdr:cNvPr id="1" name="Chart 38"/>
        <xdr:cNvGraphicFramePr/>
      </xdr:nvGraphicFramePr>
      <xdr:xfrm>
        <a:off x="8868960" y="5002560"/>
        <a:ext cx="4413600" cy="274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579240</xdr:colOff>
      <xdr:row>25</xdr:row>
      <xdr:rowOff>106560</xdr:rowOff>
    </xdr:from>
    <xdr:to>
      <xdr:col>17</xdr:col>
      <xdr:colOff>350280</xdr:colOff>
      <xdr:row>40</xdr:row>
      <xdr:rowOff>83520</xdr:rowOff>
    </xdr:to>
    <xdr:graphicFrame>
      <xdr:nvGraphicFramePr>
        <xdr:cNvPr id="2" name="Chart 39"/>
        <xdr:cNvGraphicFramePr/>
      </xdr:nvGraphicFramePr>
      <xdr:xfrm>
        <a:off x="4053960" y="5040360"/>
        <a:ext cx="4647240" cy="269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60840</xdr:colOff>
      <xdr:row>25</xdr:row>
      <xdr:rowOff>122040</xdr:rowOff>
    </xdr:from>
    <xdr:to>
      <xdr:col>7</xdr:col>
      <xdr:colOff>471960</xdr:colOff>
      <xdr:row>40</xdr:row>
      <xdr:rowOff>64440</xdr:rowOff>
    </xdr:to>
    <xdr:graphicFrame>
      <xdr:nvGraphicFramePr>
        <xdr:cNvPr id="3" name="Chart 40"/>
        <xdr:cNvGraphicFramePr/>
      </xdr:nvGraphicFramePr>
      <xdr:xfrm>
        <a:off x="60840" y="5055840"/>
        <a:ext cx="3885840" cy="2657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38160</xdr:colOff>
      <xdr:row>9</xdr:row>
      <xdr:rowOff>137160</xdr:rowOff>
    </xdr:from>
    <xdr:to>
      <xdr:col>17</xdr:col>
      <xdr:colOff>357840</xdr:colOff>
      <xdr:row>24</xdr:row>
      <xdr:rowOff>114120</xdr:rowOff>
    </xdr:to>
    <xdr:graphicFrame>
      <xdr:nvGraphicFramePr>
        <xdr:cNvPr id="4" name="Chart 41"/>
        <xdr:cNvGraphicFramePr/>
      </xdr:nvGraphicFramePr>
      <xdr:xfrm>
        <a:off x="4240440" y="2166120"/>
        <a:ext cx="4468320" cy="270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83880</xdr:colOff>
      <xdr:row>9</xdr:row>
      <xdr:rowOff>122040</xdr:rowOff>
    </xdr:from>
    <xdr:to>
      <xdr:col>8</xdr:col>
      <xdr:colOff>45360</xdr:colOff>
      <xdr:row>24</xdr:row>
      <xdr:rowOff>129240</xdr:rowOff>
    </xdr:to>
    <xdr:graphicFrame>
      <xdr:nvGraphicFramePr>
        <xdr:cNvPr id="5" name="Chart 42"/>
        <xdr:cNvGraphicFramePr/>
      </xdr:nvGraphicFramePr>
      <xdr:xfrm>
        <a:off x="83880" y="2151000"/>
        <a:ext cx="4062240" cy="2731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17</xdr:col>
      <xdr:colOff>419040</xdr:colOff>
      <xdr:row>9</xdr:row>
      <xdr:rowOff>114480</xdr:rowOff>
    </xdr:from>
    <xdr:to>
      <xdr:col>26</xdr:col>
      <xdr:colOff>106200</xdr:colOff>
      <xdr:row>24</xdr:row>
      <xdr:rowOff>106560</xdr:rowOff>
    </xdr:to>
    <xdr:graphicFrame>
      <xdr:nvGraphicFramePr>
        <xdr:cNvPr id="6" name="Chart 45"/>
        <xdr:cNvGraphicFramePr/>
      </xdr:nvGraphicFramePr>
      <xdr:xfrm>
        <a:off x="8769960" y="2143440"/>
        <a:ext cx="4704120" cy="2716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Custom 2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0000FF"/>
      </a:accent1>
      <a:accent2>
        <a:srgbClr val="009600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048576"/>
  <sheetViews>
    <sheetView showFormulas="false" showGridLines="false" showRowColHeaders="true" showZeros="true" rightToLeft="false" tabSelected="false" showOutlineSymbols="true" defaultGridColor="true" view="normal" topLeftCell="A1" colorId="64" zoomScale="114" zoomScaleNormal="114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L7" activeCellId="0" sqref="L7"/>
    </sheetView>
  </sheetViews>
  <sheetFormatPr defaultColWidth="8.66796875" defaultRowHeight="13.5" customHeight="false" zeroHeight="true" outlineLevelRow="0" outlineLevelCol="0"/>
  <cols>
    <col collapsed="false" customWidth="true" hidden="false" outlineLevel="0" max="1" min="1" style="1" width="3.56"/>
    <col collapsed="false" customWidth="true" hidden="false" outlineLevel="0" max="2" min="2" style="2" width="48.88"/>
    <col collapsed="false" customWidth="true" hidden="false" outlineLevel="0" max="3" min="3" style="1" width="14.11"/>
    <col collapsed="false" customWidth="true" hidden="false" outlineLevel="0" max="5" min="4" style="1" width="11.67"/>
    <col collapsed="false" customWidth="true" hidden="false" outlineLevel="0" max="9" min="6" style="1" width="13.11"/>
    <col collapsed="false" customWidth="true" hidden="false" outlineLevel="0" max="10" min="10" style="1" width="14.56"/>
    <col collapsed="false" customWidth="true" hidden="false" outlineLevel="0" max="11" min="11" style="1" width="13.11"/>
    <col collapsed="false" customWidth="false" hidden="false" outlineLevel="0" max="16384" min="12" style="1" width="8.67"/>
  </cols>
  <sheetData>
    <row r="1" customFormat="false" ht="33.75" hidden="false" customHeight="true" outlineLevel="0" collapsed="false">
      <c r="A1" s="3" t="s">
        <v>0</v>
      </c>
      <c r="B1" s="4"/>
      <c r="C1" s="5" t="s">
        <v>1</v>
      </c>
      <c r="D1" s="5"/>
      <c r="E1" s="5"/>
      <c r="F1" s="6" t="s">
        <v>2</v>
      </c>
      <c r="G1" s="5" t="s">
        <v>3</v>
      </c>
      <c r="H1" s="5"/>
      <c r="I1" s="5"/>
      <c r="J1" s="5"/>
      <c r="K1" s="5"/>
    </row>
    <row r="2" customFormat="false" ht="13.8" hidden="false" customHeight="false" outlineLevel="0" collapsed="false">
      <c r="A2" s="7" t="s">
        <v>4</v>
      </c>
      <c r="B2" s="8"/>
      <c r="C2" s="9" t="s">
        <v>5</v>
      </c>
      <c r="D2" s="9" t="s">
        <v>6</v>
      </c>
      <c r="E2" s="9" t="s">
        <v>7</v>
      </c>
      <c r="F2" s="9" t="s">
        <v>8</v>
      </c>
      <c r="G2" s="10" t="s">
        <v>9</v>
      </c>
      <c r="H2" s="10" t="s">
        <v>10</v>
      </c>
      <c r="I2" s="10" t="s">
        <v>11</v>
      </c>
      <c r="J2" s="10" t="s">
        <v>12</v>
      </c>
      <c r="K2" s="10" t="s">
        <v>13</v>
      </c>
    </row>
    <row r="3" customFormat="false" ht="13.8" hidden="false" customHeight="false" outlineLevel="0" collapsed="false">
      <c r="A3" s="11"/>
      <c r="B3" s="12"/>
      <c r="C3" s="13"/>
      <c r="D3" s="13"/>
      <c r="E3" s="13"/>
      <c r="F3" s="13"/>
      <c r="G3" s="13"/>
      <c r="H3" s="13"/>
      <c r="I3" s="13"/>
      <c r="J3" s="13"/>
      <c r="K3" s="13"/>
    </row>
    <row r="4" customFormat="false" ht="13.8" hidden="false" customHeight="false" outlineLevel="0" collapsed="false">
      <c r="A4" s="11"/>
      <c r="B4" s="12"/>
      <c r="C4" s="13"/>
      <c r="D4" s="13"/>
      <c r="E4" s="13"/>
      <c r="F4" s="13"/>
      <c r="G4" s="13"/>
      <c r="H4" s="13"/>
      <c r="I4" s="13"/>
      <c r="J4" s="13"/>
      <c r="K4" s="13"/>
    </row>
    <row r="5" customFormat="false" ht="14.15" hidden="false" customHeight="false" outlineLevel="0" collapsed="false">
      <c r="B5" s="14" t="s">
        <v>14</v>
      </c>
      <c r="C5" s="2"/>
      <c r="D5" s="2"/>
      <c r="E5" s="2"/>
      <c r="F5" s="2"/>
      <c r="L5" s="15"/>
      <c r="M5" s="15"/>
      <c r="N5" s="15"/>
    </row>
    <row r="6" s="20" customFormat="true" ht="14.15" hidden="false" customHeight="false" outlineLevel="0" collapsed="false">
      <c r="A6" s="1"/>
      <c r="B6" s="16" t="s">
        <v>15</v>
      </c>
      <c r="C6" s="17" t="n">
        <v>12000</v>
      </c>
      <c r="D6" s="17" t="n">
        <v>15000</v>
      </c>
      <c r="E6" s="17" t="n">
        <v>18500</v>
      </c>
      <c r="F6" s="17" t="n">
        <v>5300</v>
      </c>
      <c r="G6" s="18" t="n">
        <f aca="false">E6*(1+G41)</f>
        <v>22200</v>
      </c>
      <c r="H6" s="18" t="n">
        <f aca="false">G6*(1+H41)</f>
        <v>26640</v>
      </c>
      <c r="I6" s="18" t="n">
        <f aca="false">H6*(1+I41)</f>
        <v>31968</v>
      </c>
      <c r="J6" s="18" t="n">
        <f aca="false">I6*(1+J41)</f>
        <v>38361.6</v>
      </c>
      <c r="K6" s="18" t="n">
        <f aca="false">J6*(1+K41)</f>
        <v>46033.92</v>
      </c>
      <c r="L6" s="1"/>
      <c r="M6" s="19"/>
      <c r="N6" s="15"/>
      <c r="O6" s="1"/>
    </row>
    <row r="7" s="20" customFormat="true" ht="14.15" hidden="false" customHeight="false" outlineLevel="0" collapsed="false">
      <c r="A7" s="1"/>
      <c r="B7" s="16" t="s">
        <v>16</v>
      </c>
      <c r="C7" s="17" t="n">
        <v>8500</v>
      </c>
      <c r="D7" s="17" t="n">
        <v>10200</v>
      </c>
      <c r="E7" s="17" t="n">
        <v>12300</v>
      </c>
      <c r="F7" s="17" t="n">
        <v>3500</v>
      </c>
      <c r="G7" s="18" t="n">
        <f aca="false">E7*(1+G42)</f>
        <v>14514</v>
      </c>
      <c r="H7" s="18" t="n">
        <f aca="false">G7*(1+H42)</f>
        <v>17126.52</v>
      </c>
      <c r="I7" s="18" t="n">
        <f aca="false">H7*(1+I42)</f>
        <v>20209.2936</v>
      </c>
      <c r="J7" s="18" t="n">
        <f aca="false">I7*(1+J42)</f>
        <v>23846.966448</v>
      </c>
      <c r="K7" s="18" t="n">
        <f aca="false">J7*(1+K42)</f>
        <v>28139.42040864</v>
      </c>
      <c r="L7" s="21"/>
      <c r="M7" s="19"/>
      <c r="N7" s="15"/>
      <c r="O7" s="1"/>
    </row>
    <row r="8" s="20" customFormat="true" ht="14.15" hidden="false" customHeight="false" outlineLevel="0" collapsed="false">
      <c r="A8" s="1"/>
      <c r="B8" s="16" t="s">
        <v>17</v>
      </c>
      <c r="C8" s="17" t="n">
        <v>5000</v>
      </c>
      <c r="D8" s="17" t="n">
        <v>6500</v>
      </c>
      <c r="E8" s="17" t="n">
        <v>8000</v>
      </c>
      <c r="F8" s="17" t="n">
        <v>2300</v>
      </c>
      <c r="G8" s="18" t="n">
        <f aca="false">E8*(1+G43)</f>
        <v>9280</v>
      </c>
      <c r="H8" s="18" t="n">
        <f aca="false">G8*(1+H43)</f>
        <v>10764.8</v>
      </c>
      <c r="I8" s="18" t="n">
        <f aca="false">H8*(1+I43)</f>
        <v>12487.168</v>
      </c>
      <c r="J8" s="18" t="n">
        <f aca="false">I8*(1+J43)</f>
        <v>14485.11488</v>
      </c>
      <c r="K8" s="18" t="n">
        <f aca="false">J8*(1+K43)</f>
        <v>16802.7332608</v>
      </c>
      <c r="L8" s="1"/>
      <c r="M8" s="22"/>
      <c r="N8" s="15"/>
      <c r="O8" s="1"/>
    </row>
    <row r="9" s="20" customFormat="true" ht="14.15" hidden="false" customHeight="false" outlineLevel="0" collapsed="false">
      <c r="A9" s="1"/>
      <c r="B9" s="23" t="s">
        <v>18</v>
      </c>
      <c r="C9" s="24" t="n">
        <f aca="false">SUM(C6:C8)</f>
        <v>25500</v>
      </c>
      <c r="D9" s="24" t="n">
        <f aca="false">SUM(D6:D8)</f>
        <v>31700</v>
      </c>
      <c r="E9" s="24" t="n">
        <f aca="false">SUM(E6:E8)</f>
        <v>38800</v>
      </c>
      <c r="F9" s="24" t="n">
        <f aca="false">SUM(F6:F8)</f>
        <v>11100</v>
      </c>
      <c r="G9" s="24" t="n">
        <f aca="false">SUM(G6:G8)</f>
        <v>45994</v>
      </c>
      <c r="H9" s="24" t="n">
        <f aca="false">SUM(H6:H8)</f>
        <v>54531.32</v>
      </c>
      <c r="I9" s="24" t="n">
        <f aca="false">SUM(I6:I8)</f>
        <v>64664.4616</v>
      </c>
      <c r="J9" s="24" t="n">
        <f aca="false">SUM(J6:J8)</f>
        <v>76693.681328</v>
      </c>
      <c r="K9" s="24" t="n">
        <f aca="false">SUM(K6:K8)</f>
        <v>90976.07366944</v>
      </c>
      <c r="L9" s="1"/>
      <c r="M9" s="1"/>
      <c r="N9" s="15"/>
      <c r="O9" s="1"/>
    </row>
    <row r="10" s="20" customFormat="true" ht="14.15" hidden="false" customHeight="false" outlineLevel="0" collapsed="false">
      <c r="A10" s="1"/>
      <c r="B10" s="14" t="s">
        <v>19</v>
      </c>
      <c r="C10" s="25"/>
      <c r="D10" s="25"/>
      <c r="E10" s="25"/>
      <c r="F10" s="25"/>
      <c r="G10" s="25"/>
      <c r="H10" s="25"/>
      <c r="I10" s="25"/>
      <c r="J10" s="25"/>
      <c r="K10" s="25"/>
      <c r="L10" s="1"/>
      <c r="M10" s="1"/>
      <c r="N10" s="15"/>
      <c r="O10" s="1"/>
    </row>
    <row r="11" s="20" customFormat="true" ht="14.15" hidden="false" customHeight="false" outlineLevel="0" collapsed="false">
      <c r="A11" s="1"/>
      <c r="B11" s="16" t="s">
        <v>15</v>
      </c>
      <c r="C11" s="17" t="n">
        <v>6000</v>
      </c>
      <c r="D11" s="17" t="n">
        <v>7500</v>
      </c>
      <c r="E11" s="17" t="n">
        <v>9200</v>
      </c>
      <c r="F11" s="17" t="n">
        <v>2600</v>
      </c>
      <c r="G11" s="18" t="n">
        <f aca="false">G47</f>
        <v>11100</v>
      </c>
      <c r="H11" s="18" t="n">
        <f aca="false">H47</f>
        <v>13320</v>
      </c>
      <c r="I11" s="18" t="n">
        <f aca="false">I47</f>
        <v>15984</v>
      </c>
      <c r="J11" s="18" t="n">
        <f aca="false">J47</f>
        <v>19180.8</v>
      </c>
      <c r="K11" s="18" t="n">
        <f aca="false">K47</f>
        <v>23016.96</v>
      </c>
      <c r="L11" s="1"/>
      <c r="M11" s="1"/>
      <c r="N11" s="15"/>
      <c r="O11" s="1"/>
    </row>
    <row r="12" s="20" customFormat="true" ht="14.15" hidden="false" customHeight="false" outlineLevel="0" collapsed="false">
      <c r="A12" s="1"/>
      <c r="B12" s="16" t="s">
        <v>16</v>
      </c>
      <c r="C12" s="17" t="n">
        <v>4000</v>
      </c>
      <c r="D12" s="17" t="n">
        <v>4800</v>
      </c>
      <c r="E12" s="17" t="n">
        <v>5900</v>
      </c>
      <c r="F12" s="17" t="n">
        <v>1700</v>
      </c>
      <c r="G12" s="18" t="n">
        <f aca="false">G54</f>
        <v>6966.72</v>
      </c>
      <c r="H12" s="18" t="n">
        <f aca="false">H54</f>
        <v>8220.7296</v>
      </c>
      <c r="I12" s="18" t="n">
        <f aca="false">I54</f>
        <v>9700.460928</v>
      </c>
      <c r="J12" s="18" t="n">
        <f aca="false">J54</f>
        <v>11446.54389504</v>
      </c>
      <c r="K12" s="18" t="n">
        <f aca="false">K54</f>
        <v>13506.9217961472</v>
      </c>
      <c r="L12" s="1"/>
      <c r="M12" s="1"/>
      <c r="N12" s="15"/>
      <c r="O12" s="1"/>
    </row>
    <row r="13" customFormat="false" ht="14.15" hidden="false" customHeight="false" outlineLevel="0" collapsed="false">
      <c r="B13" s="16" t="s">
        <v>17</v>
      </c>
      <c r="C13" s="17" t="n">
        <v>2500</v>
      </c>
      <c r="D13" s="17" t="n">
        <v>3250</v>
      </c>
      <c r="E13" s="17" t="n">
        <v>4000</v>
      </c>
      <c r="F13" s="17" t="n">
        <v>1150</v>
      </c>
      <c r="G13" s="18" t="n">
        <f aca="false">G61</f>
        <v>4640</v>
      </c>
      <c r="H13" s="18" t="n">
        <f aca="false">H61</f>
        <v>5382.4</v>
      </c>
      <c r="I13" s="18" t="n">
        <f aca="false">I61</f>
        <v>6243.584</v>
      </c>
      <c r="J13" s="18" t="n">
        <f aca="false">J61</f>
        <v>7242.55744</v>
      </c>
      <c r="K13" s="18" t="n">
        <f aca="false">K61</f>
        <v>8401.3666304</v>
      </c>
      <c r="O13" s="26"/>
    </row>
    <row r="14" customFormat="false" ht="14.15" hidden="false" customHeight="false" outlineLevel="0" collapsed="false">
      <c r="B14" s="23" t="s">
        <v>20</v>
      </c>
      <c r="C14" s="24" t="n">
        <f aca="false">SUM(C11:C13)</f>
        <v>12500</v>
      </c>
      <c r="D14" s="24" t="n">
        <f aca="false">SUM(D11:D13)</f>
        <v>15550</v>
      </c>
      <c r="E14" s="24" t="n">
        <f aca="false">SUM(E11:E13)</f>
        <v>19100</v>
      </c>
      <c r="F14" s="24" t="n">
        <f aca="false">SUM(F11:F13)</f>
        <v>5450</v>
      </c>
      <c r="G14" s="24" t="n">
        <f aca="false">SUM(G11:G13)</f>
        <v>22706.72</v>
      </c>
      <c r="H14" s="24" t="n">
        <f aca="false">SUM(H11:H13)</f>
        <v>26923.1296</v>
      </c>
      <c r="I14" s="24" t="n">
        <f aca="false">SUM(I11:I13)</f>
        <v>31928.044928</v>
      </c>
      <c r="J14" s="24" t="n">
        <f aca="false">SUM(J11:J13)</f>
        <v>37869.90133504</v>
      </c>
      <c r="K14" s="24" t="n">
        <f aca="false">SUM(K11:K13)</f>
        <v>44925.2484265472</v>
      </c>
      <c r="O14" s="27"/>
    </row>
    <row r="15" customFormat="false" ht="13.8" hidden="false" customHeight="false" outlineLevel="0" collapsed="false">
      <c r="B15" s="28"/>
      <c r="C15" s="29"/>
      <c r="D15" s="29"/>
      <c r="E15" s="29"/>
      <c r="F15" s="29"/>
      <c r="G15" s="29"/>
      <c r="H15" s="29"/>
      <c r="I15" s="29"/>
      <c r="J15" s="29"/>
      <c r="K15" s="29"/>
      <c r="O15" s="27"/>
    </row>
    <row r="16" customFormat="false" ht="14.15" hidden="false" customHeight="false" outlineLevel="0" collapsed="false">
      <c r="B16" s="28" t="s">
        <v>21</v>
      </c>
      <c r="C16" s="29" t="n">
        <f aca="false">C9-C14</f>
        <v>13000</v>
      </c>
      <c r="D16" s="29" t="n">
        <f aca="false">D9-D14</f>
        <v>16150</v>
      </c>
      <c r="E16" s="29" t="n">
        <f aca="false">E9-E14</f>
        <v>19700</v>
      </c>
      <c r="F16" s="29" t="n">
        <f aca="false">F9-F14</f>
        <v>5650</v>
      </c>
      <c r="G16" s="29" t="n">
        <f aca="false">G9-G14</f>
        <v>23287.28</v>
      </c>
      <c r="H16" s="29" t="n">
        <f aca="false">H9-H14</f>
        <v>27608.1904</v>
      </c>
      <c r="I16" s="29" t="n">
        <f aca="false">I9-I14</f>
        <v>32736.416672</v>
      </c>
      <c r="J16" s="29" t="n">
        <f aca="false">J9-J14</f>
        <v>38823.77999296</v>
      </c>
      <c r="K16" s="29" t="n">
        <f aca="false">K9-K14</f>
        <v>46050.8252428928</v>
      </c>
      <c r="O16" s="27"/>
    </row>
    <row r="17" customFormat="false" ht="14.15" hidden="false" customHeight="false" outlineLevel="0" collapsed="false">
      <c r="B17" s="16" t="s">
        <v>22</v>
      </c>
      <c r="C17" s="17" t="n">
        <v>4000</v>
      </c>
      <c r="D17" s="17" t="n">
        <v>5000</v>
      </c>
      <c r="E17" s="17" t="n">
        <v>6000</v>
      </c>
      <c r="F17" s="17" t="n">
        <v>1600</v>
      </c>
      <c r="G17" s="18" t="n">
        <f aca="false">G9*G66</f>
        <v>6899.1</v>
      </c>
      <c r="H17" s="18" t="n">
        <f aca="false">H9*H66</f>
        <v>8179.698</v>
      </c>
      <c r="I17" s="18" t="n">
        <f aca="false">I9*I66</f>
        <v>9699.66924</v>
      </c>
      <c r="J17" s="18" t="n">
        <f aca="false">J9*J66</f>
        <v>11504.0521992</v>
      </c>
      <c r="K17" s="18" t="n">
        <f aca="false">K9*K66</f>
        <v>13646.411050416</v>
      </c>
      <c r="O17" s="27"/>
    </row>
    <row r="18" customFormat="false" ht="14.15" hidden="false" customHeight="false" outlineLevel="0" collapsed="false">
      <c r="B18" s="23" t="s">
        <v>23</v>
      </c>
      <c r="C18" s="24" t="n">
        <f aca="false">C16-C17</f>
        <v>9000</v>
      </c>
      <c r="D18" s="24" t="n">
        <f aca="false">D16-D17</f>
        <v>11150</v>
      </c>
      <c r="E18" s="24" t="n">
        <f aca="false">E16-E17</f>
        <v>13700</v>
      </c>
      <c r="F18" s="24" t="n">
        <f aca="false">F16-F17</f>
        <v>4050</v>
      </c>
      <c r="G18" s="24" t="n">
        <f aca="false">G16-G17</f>
        <v>16388.18</v>
      </c>
      <c r="H18" s="24" t="n">
        <f aca="false">H16-H17</f>
        <v>19428.4924</v>
      </c>
      <c r="I18" s="24" t="n">
        <f aca="false">I16-I17</f>
        <v>23036.747432</v>
      </c>
      <c r="J18" s="24" t="n">
        <f aca="false">J16-J17</f>
        <v>27319.72779376</v>
      </c>
      <c r="K18" s="24" t="n">
        <f aca="false">K16-K17</f>
        <v>32404.4141924768</v>
      </c>
      <c r="O18" s="27"/>
    </row>
    <row r="19" customFormat="false" ht="13.8" hidden="false" customHeight="false" outlineLevel="0" collapsed="false">
      <c r="B19" s="16"/>
      <c r="C19" s="17"/>
      <c r="D19" s="17"/>
      <c r="E19" s="17"/>
      <c r="F19" s="17"/>
      <c r="G19" s="30"/>
      <c r="H19" s="30"/>
      <c r="I19" s="30"/>
      <c r="J19" s="30"/>
      <c r="K19" s="30"/>
      <c r="O19" s="27"/>
    </row>
    <row r="20" customFormat="false" ht="14.15" hidden="false" customHeight="false" outlineLevel="0" collapsed="false">
      <c r="B20" s="16" t="s">
        <v>24</v>
      </c>
      <c r="C20" s="17" t="n">
        <v>1200</v>
      </c>
      <c r="D20" s="17" t="n">
        <v>1400</v>
      </c>
      <c r="E20" s="17" t="n">
        <v>1700</v>
      </c>
      <c r="F20" s="17" t="n">
        <v>450</v>
      </c>
      <c r="G20" s="31" t="n">
        <f aca="false">'Dep Capex'!F12</f>
        <v>2069.73</v>
      </c>
      <c r="H20" s="31" t="n">
        <f aca="false">'Dep Capex'!G12</f>
        <v>2453.9094</v>
      </c>
      <c r="I20" s="31" t="n">
        <f aca="false">'Dep Capex'!H12</f>
        <v>2909.900772</v>
      </c>
      <c r="J20" s="31" t="n">
        <f aca="false">'Dep Capex'!I12</f>
        <v>3451.21565976</v>
      </c>
      <c r="K20" s="31" t="n">
        <f aca="false">'Dep Capex'!J12</f>
        <v>4093.9233151248</v>
      </c>
      <c r="O20" s="27"/>
    </row>
    <row r="21" customFormat="false" ht="14.15" hidden="false" customHeight="false" outlineLevel="0" collapsed="false">
      <c r="B21" s="16" t="s">
        <v>25</v>
      </c>
      <c r="C21" s="32" t="n">
        <v>0</v>
      </c>
      <c r="D21" s="32" t="n">
        <v>0</v>
      </c>
      <c r="E21" s="32" t="n">
        <v>0</v>
      </c>
      <c r="F21" s="32" t="n">
        <v>0</v>
      </c>
      <c r="G21" s="32" t="n">
        <v>0</v>
      </c>
      <c r="H21" s="32" t="n">
        <v>0</v>
      </c>
      <c r="I21" s="32" t="n">
        <v>0</v>
      </c>
      <c r="J21" s="32" t="n">
        <v>0</v>
      </c>
      <c r="K21" s="32" t="n">
        <v>0</v>
      </c>
      <c r="O21" s="27"/>
    </row>
    <row r="22" customFormat="false" ht="14.15" hidden="false" customHeight="false" outlineLevel="0" collapsed="false">
      <c r="B22" s="23" t="s">
        <v>26</v>
      </c>
      <c r="C22" s="24" t="n">
        <f aca="false">C18-C20-C21</f>
        <v>7800</v>
      </c>
      <c r="D22" s="24" t="n">
        <f aca="false">D18-D20-D21</f>
        <v>9750</v>
      </c>
      <c r="E22" s="24" t="n">
        <f aca="false">E18-E20-E21</f>
        <v>12000</v>
      </c>
      <c r="F22" s="24" t="n">
        <f aca="false">F18-F20-F21</f>
        <v>3600</v>
      </c>
      <c r="G22" s="24" t="n">
        <f aca="false">G18-G20-G21</f>
        <v>14318.45</v>
      </c>
      <c r="H22" s="24" t="n">
        <f aca="false">H18-H20-H21</f>
        <v>16974.583</v>
      </c>
      <c r="I22" s="24" t="n">
        <f aca="false">I18-I20-I21</f>
        <v>20126.84666</v>
      </c>
      <c r="J22" s="24" t="n">
        <f aca="false">J18-J20-J21</f>
        <v>23868.512134</v>
      </c>
      <c r="K22" s="24" t="n">
        <f aca="false">K18-K20-K21</f>
        <v>28310.490877352</v>
      </c>
    </row>
    <row r="23" s="1" customFormat="true" ht="13.5" hidden="false" customHeight="false" outlineLevel="0" collapsed="false">
      <c r="C23" s="30"/>
      <c r="D23" s="30"/>
      <c r="E23" s="30"/>
      <c r="F23" s="30"/>
      <c r="G23" s="30"/>
      <c r="H23" s="30"/>
      <c r="I23" s="30"/>
      <c r="J23" s="30"/>
      <c r="K23" s="30"/>
    </row>
    <row r="24" customFormat="false" ht="13.5" hidden="false" customHeight="false" outlineLevel="0" collapsed="false">
      <c r="B24" s="33" t="s">
        <v>27</v>
      </c>
      <c r="C24" s="17" t="n">
        <v>2200</v>
      </c>
      <c r="D24" s="17" t="n">
        <v>2050</v>
      </c>
      <c r="E24" s="17" t="n">
        <v>1800</v>
      </c>
      <c r="F24" s="17" t="n">
        <v>420</v>
      </c>
      <c r="G24" s="31" t="n">
        <f aca="false">Debt!F15</f>
        <v>2223</v>
      </c>
      <c r="H24" s="31" t="n">
        <f aca="false">Debt!G15</f>
        <v>2133</v>
      </c>
      <c r="I24" s="31" t="n">
        <f aca="false">Debt!H15</f>
        <v>2043</v>
      </c>
      <c r="J24" s="31" t="n">
        <f aca="false">Debt!I15</f>
        <v>1953</v>
      </c>
      <c r="K24" s="31" t="n">
        <f aca="false">Debt!J15</f>
        <v>1863</v>
      </c>
    </row>
    <row r="25" customFormat="false" ht="13.5" hidden="false" customHeight="false" outlineLevel="0" collapsed="false">
      <c r="B25" s="16" t="s">
        <v>28</v>
      </c>
      <c r="C25" s="17" t="n">
        <v>100</v>
      </c>
      <c r="D25" s="17" t="n">
        <v>150</v>
      </c>
      <c r="E25" s="17" t="n">
        <v>200</v>
      </c>
      <c r="F25" s="17" t="n">
        <v>60</v>
      </c>
      <c r="G25" s="34" t="n">
        <f aca="false">Debt!F20</f>
        <v>42</v>
      </c>
      <c r="H25" s="34" t="n">
        <f aca="false">Debt!G20</f>
        <v>36.1255278493151</v>
      </c>
      <c r="I25" s="34" t="n">
        <f aca="false">Debt!H20</f>
        <v>55.6761059672375</v>
      </c>
      <c r="J25" s="34" t="n">
        <f aca="false">Debt!I20</f>
        <v>114.945020293329</v>
      </c>
      <c r="K25" s="34" t="n">
        <f aca="false">Debt!J20</f>
        <v>260.211859947662</v>
      </c>
    </row>
    <row r="26" customFormat="false" ht="13.5" hidden="false" customHeight="false" outlineLevel="0" collapsed="false">
      <c r="B26" s="23" t="s">
        <v>29</v>
      </c>
      <c r="C26" s="24" t="n">
        <f aca="false">C24-C25</f>
        <v>2100</v>
      </c>
      <c r="D26" s="24" t="n">
        <f aca="false">D24-D25</f>
        <v>1900</v>
      </c>
      <c r="E26" s="24" t="n">
        <f aca="false">E24-E25</f>
        <v>1600</v>
      </c>
      <c r="F26" s="24" t="n">
        <f aca="false">F24-F25</f>
        <v>360</v>
      </c>
      <c r="G26" s="24" t="n">
        <f aca="false">G24-G25</f>
        <v>2181</v>
      </c>
      <c r="H26" s="24" t="n">
        <f aca="false">H24-H25</f>
        <v>2096.87447215069</v>
      </c>
      <c r="I26" s="24" t="n">
        <f aca="false">I24-I25</f>
        <v>1987.32389403276</v>
      </c>
      <c r="J26" s="24" t="n">
        <f aca="false">J24-J25</f>
        <v>1838.05497970667</v>
      </c>
      <c r="K26" s="24" t="n">
        <f aca="false">K24-K25</f>
        <v>1602.78814005234</v>
      </c>
    </row>
    <row r="27" customFormat="false" ht="13.5" hidden="false" customHeight="false" outlineLevel="0" collapsed="false">
      <c r="B27" s="16"/>
      <c r="C27" s="30"/>
      <c r="D27" s="30"/>
      <c r="E27" s="30"/>
      <c r="F27" s="30"/>
      <c r="G27" s="30"/>
      <c r="H27" s="30"/>
      <c r="I27" s="30"/>
      <c r="J27" s="30"/>
      <c r="K27" s="30"/>
    </row>
    <row r="28" customFormat="false" ht="14.15" hidden="false" customHeight="false" outlineLevel="0" collapsed="false">
      <c r="B28" s="23" t="s">
        <v>30</v>
      </c>
      <c r="C28" s="35" t="n">
        <f aca="false">C22-C26</f>
        <v>5700</v>
      </c>
      <c r="D28" s="35" t="n">
        <f aca="false">D22-D26</f>
        <v>7850</v>
      </c>
      <c r="E28" s="35" t="n">
        <f aca="false">E22-E26</f>
        <v>10400</v>
      </c>
      <c r="F28" s="35" t="n">
        <f aca="false">F22-F26</f>
        <v>3240</v>
      </c>
      <c r="G28" s="35" t="n">
        <f aca="false">G22-G26</f>
        <v>12137.45</v>
      </c>
      <c r="H28" s="35" t="n">
        <f aca="false">H22-H26</f>
        <v>14877.7085278493</v>
      </c>
      <c r="I28" s="35" t="n">
        <f aca="false">I22-I26</f>
        <v>18139.5227659672</v>
      </c>
      <c r="J28" s="35" t="n">
        <f aca="false">J22-J26</f>
        <v>22030.4571542933</v>
      </c>
      <c r="K28" s="35" t="n">
        <f aca="false">K22-K26</f>
        <v>26707.7027372997</v>
      </c>
    </row>
    <row r="29" customFormat="false" ht="14.15" hidden="false" customHeight="false" outlineLevel="0" collapsed="false">
      <c r="B29" s="16" t="s">
        <v>31</v>
      </c>
      <c r="C29" s="17" t="n">
        <v>1325</v>
      </c>
      <c r="D29" s="17" t="n">
        <v>1837.5</v>
      </c>
      <c r="E29" s="17" t="n">
        <v>2450</v>
      </c>
      <c r="F29" s="17" t="n">
        <v>760</v>
      </c>
      <c r="G29" s="18" t="n">
        <f aca="false">G28*G68</f>
        <v>2840.1633</v>
      </c>
      <c r="H29" s="18" t="n">
        <f aca="false">H28*H68</f>
        <v>3481.38379551674</v>
      </c>
      <c r="I29" s="18" t="n">
        <f aca="false">I28*I68</f>
        <v>4244.64832723633</v>
      </c>
      <c r="J29" s="18" t="n">
        <f aca="false">J28*J68</f>
        <v>5155.12697410464</v>
      </c>
      <c r="K29" s="18" t="n">
        <f aca="false">K28*K68</f>
        <v>6249.60244052812</v>
      </c>
    </row>
    <row r="30" customFormat="false" ht="14.15" hidden="false" customHeight="false" outlineLevel="0" collapsed="false">
      <c r="B30" s="36" t="s">
        <v>32</v>
      </c>
      <c r="C30" s="37" t="n">
        <f aca="false">C28-C29</f>
        <v>4375</v>
      </c>
      <c r="D30" s="37" t="n">
        <f aca="false">D28-D29</f>
        <v>6012.5</v>
      </c>
      <c r="E30" s="37" t="n">
        <f aca="false">E28-E29</f>
        <v>7950</v>
      </c>
      <c r="F30" s="37" t="n">
        <f aca="false">F28-F29</f>
        <v>2480</v>
      </c>
      <c r="G30" s="37" t="n">
        <f aca="false">G28-G29</f>
        <v>9297.2867</v>
      </c>
      <c r="H30" s="37" t="n">
        <f aca="false">H28-H29</f>
        <v>11396.3247323326</v>
      </c>
      <c r="I30" s="37" t="n">
        <f aca="false">I28-I29</f>
        <v>13894.8744387309</v>
      </c>
      <c r="J30" s="37" t="n">
        <f aca="false">J28-J29</f>
        <v>16875.3301801887</v>
      </c>
      <c r="K30" s="37" t="n">
        <f aca="false">K28-K29</f>
        <v>20458.1002967715</v>
      </c>
    </row>
    <row r="31" customFormat="false" ht="13.8" hidden="false" customHeight="false" outlineLevel="0" collapsed="false">
      <c r="B31" s="28"/>
      <c r="C31" s="38"/>
      <c r="D31" s="38"/>
      <c r="E31" s="38"/>
      <c r="F31" s="38"/>
      <c r="G31" s="38"/>
      <c r="H31" s="38"/>
      <c r="I31" s="38"/>
      <c r="J31" s="38"/>
      <c r="K31" s="38"/>
    </row>
    <row r="32" customFormat="false" ht="13.8" hidden="false" customHeight="false" outlineLevel="0" collapsed="false">
      <c r="B32" s="2" t="s">
        <v>21</v>
      </c>
      <c r="C32" s="39" t="n">
        <f aca="false">C16/C9</f>
        <v>0.509803921568627</v>
      </c>
      <c r="D32" s="39" t="n">
        <f aca="false">D16/D9</f>
        <v>0.509463722397476</v>
      </c>
      <c r="E32" s="39" t="n">
        <f aca="false">E16/E9</f>
        <v>0.507731958762887</v>
      </c>
      <c r="F32" s="39" t="n">
        <f aca="false">F16/F9</f>
        <v>0.509009009009009</v>
      </c>
      <c r="G32" s="39" t="n">
        <f aca="false">G16/G9</f>
        <v>0.506311257990173</v>
      </c>
      <c r="H32" s="39" t="n">
        <f aca="false">H16/H9</f>
        <v>0.506281351707606</v>
      </c>
      <c r="I32" s="39" t="n">
        <f aca="false">I16/I9</f>
        <v>0.506250510125642</v>
      </c>
      <c r="J32" s="39" t="n">
        <f aca="false">J16/J9</f>
        <v>0.506218756495992</v>
      </c>
      <c r="K32" s="39" t="n">
        <f aca="false">K16/K9</f>
        <v>0.506186114496628</v>
      </c>
    </row>
    <row r="33" customFormat="false" ht="13.8" hidden="false" customHeight="false" outlineLevel="0" collapsed="false">
      <c r="B33" s="2" t="s">
        <v>33</v>
      </c>
      <c r="C33" s="39" t="n">
        <f aca="false">C18/C9</f>
        <v>0.352941176470588</v>
      </c>
      <c r="D33" s="39" t="n">
        <f aca="false">D18/D9</f>
        <v>0.351735015772871</v>
      </c>
      <c r="E33" s="39" t="n">
        <f aca="false">E18/E9</f>
        <v>0.353092783505155</v>
      </c>
      <c r="F33" s="39" t="n">
        <f aca="false">F18/F9</f>
        <v>0.364864864864865</v>
      </c>
      <c r="G33" s="39" t="n">
        <f aca="false">G18/G9</f>
        <v>0.356311257990173</v>
      </c>
      <c r="H33" s="39" t="n">
        <f aca="false">H18/H9</f>
        <v>0.356281351707606</v>
      </c>
      <c r="I33" s="39" t="n">
        <f aca="false">I18/I9</f>
        <v>0.356250510125642</v>
      </c>
      <c r="J33" s="39" t="n">
        <f aca="false">J18/J9</f>
        <v>0.356218756495991</v>
      </c>
      <c r="K33" s="39" t="n">
        <f aca="false">K18/K9</f>
        <v>0.356186114496628</v>
      </c>
    </row>
    <row r="34" customFormat="false" ht="13.8" hidden="false" customHeight="false" outlineLevel="0" collapsed="false">
      <c r="B34" s="2" t="s">
        <v>34</v>
      </c>
      <c r="C34" s="39" t="n">
        <f aca="false">C22/C9</f>
        <v>0.305882352941177</v>
      </c>
      <c r="D34" s="39" t="n">
        <f aca="false">D22/D9</f>
        <v>0.307570977917981</v>
      </c>
      <c r="E34" s="39" t="n">
        <f aca="false">E22/E9</f>
        <v>0.309278350515464</v>
      </c>
      <c r="F34" s="39" t="n">
        <f aca="false">F22/F9</f>
        <v>0.324324324324324</v>
      </c>
      <c r="G34" s="39" t="n">
        <f aca="false">G22/G9</f>
        <v>0.311311257990173</v>
      </c>
      <c r="H34" s="39" t="n">
        <f aca="false">H22/H9</f>
        <v>0.311281351707606</v>
      </c>
      <c r="I34" s="39" t="n">
        <f aca="false">I22/I9</f>
        <v>0.311250510125642</v>
      </c>
      <c r="J34" s="39" t="n">
        <f aca="false">J22/J9</f>
        <v>0.311218756495991</v>
      </c>
      <c r="K34" s="39" t="n">
        <f aca="false">K22/K9</f>
        <v>0.311186114496628</v>
      </c>
    </row>
    <row r="35" customFormat="false" ht="13.8" hidden="false" customHeight="false" outlineLevel="0" collapsed="false">
      <c r="B35" s="2" t="s">
        <v>35</v>
      </c>
      <c r="C35" s="39" t="n">
        <f aca="false">C28/C9</f>
        <v>0.223529411764706</v>
      </c>
      <c r="D35" s="39" t="n">
        <f aca="false">D28/D9</f>
        <v>0.247634069400631</v>
      </c>
      <c r="E35" s="39" t="n">
        <f aca="false">E28/E9</f>
        <v>0.268041237113402</v>
      </c>
      <c r="F35" s="39" t="n">
        <f aca="false">F28/F9</f>
        <v>0.291891891891892</v>
      </c>
      <c r="G35" s="39" t="n">
        <f aca="false">G28/G9</f>
        <v>0.263892029395139</v>
      </c>
      <c r="H35" s="39" t="n">
        <f aca="false">H28/H9</f>
        <v>0.272828688684765</v>
      </c>
      <c r="I35" s="39" t="n">
        <f aca="false">I28/I9</f>
        <v>0.280517649372453</v>
      </c>
      <c r="J35" s="39" t="n">
        <f aca="false">J28/J9</f>
        <v>0.287252571174338</v>
      </c>
      <c r="K35" s="39" t="n">
        <f aca="false">K28/K9</f>
        <v>0.293568425851633</v>
      </c>
    </row>
    <row r="36" customFormat="false" ht="13.8" hidden="false" customHeight="false" outlineLevel="0" collapsed="false">
      <c r="B36" s="2" t="s">
        <v>36</v>
      </c>
      <c r="C36" s="39" t="n">
        <f aca="false">C30/C9</f>
        <v>0.17156862745098</v>
      </c>
      <c r="D36" s="39" t="n">
        <f aca="false">D30/D9</f>
        <v>0.189668769716088</v>
      </c>
      <c r="E36" s="39" t="n">
        <f aca="false">E30/E9</f>
        <v>0.204896907216495</v>
      </c>
      <c r="F36" s="39" t="n">
        <f aca="false">F30/F9</f>
        <v>0.223423423423423</v>
      </c>
      <c r="G36" s="39" t="n">
        <f aca="false">G30/G9</f>
        <v>0.202141294516676</v>
      </c>
      <c r="H36" s="39" t="n">
        <f aca="false">H30/H9</f>
        <v>0.20898677553253</v>
      </c>
      <c r="I36" s="39" t="n">
        <f aca="false">I30/I9</f>
        <v>0.214876519419299</v>
      </c>
      <c r="J36" s="39" t="n">
        <f aca="false">J30/J9</f>
        <v>0.220035469519543</v>
      </c>
      <c r="K36" s="39" t="n">
        <f aca="false">K30/K9</f>
        <v>0.224873414202351</v>
      </c>
    </row>
    <row r="37" customFormat="false" ht="13.8" hidden="false" customHeight="false" outlineLevel="0" collapsed="false">
      <c r="B37" s="28"/>
      <c r="C37" s="38"/>
      <c r="D37" s="38"/>
      <c r="E37" s="38"/>
      <c r="F37" s="38"/>
      <c r="G37" s="38"/>
      <c r="H37" s="38"/>
      <c r="I37" s="38"/>
      <c r="J37" s="38"/>
      <c r="K37" s="38"/>
    </row>
    <row r="38" customFormat="false" ht="13.8" hidden="false" customHeight="false" outlineLevel="0" collapsed="false">
      <c r="B38" s="28"/>
      <c r="C38" s="38"/>
      <c r="D38" s="38"/>
      <c r="E38" s="38"/>
      <c r="F38" s="38"/>
      <c r="G38" s="38"/>
      <c r="H38" s="38"/>
      <c r="I38" s="38"/>
      <c r="J38" s="38"/>
      <c r="K38" s="38"/>
    </row>
    <row r="39" customFormat="false" ht="13.5" hidden="false" customHeight="false" outlineLevel="0" collapsed="false">
      <c r="B39" s="40" t="s">
        <v>37</v>
      </c>
      <c r="C39" s="38"/>
      <c r="D39" s="38"/>
      <c r="E39" s="38"/>
      <c r="F39" s="38"/>
      <c r="G39" s="38"/>
      <c r="H39" s="38"/>
      <c r="I39" s="38"/>
      <c r="J39" s="38"/>
      <c r="K39" s="38"/>
    </row>
    <row r="40" customFormat="false" ht="13.5" hidden="false" customHeight="false" outlineLevel="0" collapsed="false">
      <c r="B40" s="14" t="s">
        <v>14</v>
      </c>
      <c r="C40" s="30"/>
      <c r="D40" s="30"/>
      <c r="E40" s="30"/>
      <c r="F40" s="30"/>
      <c r="G40" s="30"/>
      <c r="H40" s="30"/>
      <c r="I40" s="30"/>
      <c r="J40" s="30"/>
      <c r="K40" s="30"/>
    </row>
    <row r="41" customFormat="false" ht="13.5" hidden="false" customHeight="false" outlineLevel="0" collapsed="false">
      <c r="B41" s="16" t="s">
        <v>15</v>
      </c>
      <c r="C41" s="41"/>
      <c r="D41" s="42" t="n">
        <f aca="false">D6/C6-1</f>
        <v>0.25</v>
      </c>
      <c r="E41" s="42" t="n">
        <f aca="false">E6/D6-1</f>
        <v>0.233333333333333</v>
      </c>
      <c r="F41" s="42"/>
      <c r="G41" s="41" t="n">
        <v>0.2</v>
      </c>
      <c r="H41" s="41" t="n">
        <v>0.2</v>
      </c>
      <c r="I41" s="41" t="n">
        <v>0.2</v>
      </c>
      <c r="J41" s="41" t="n">
        <v>0.2</v>
      </c>
      <c r="K41" s="41" t="n">
        <v>0.2</v>
      </c>
    </row>
    <row r="42" customFormat="false" ht="13.5" hidden="false" customHeight="false" outlineLevel="0" collapsed="false">
      <c r="B42" s="16" t="s">
        <v>16</v>
      </c>
      <c r="C42" s="41"/>
      <c r="D42" s="42" t="n">
        <f aca="false">D7/C7-1</f>
        <v>0.2</v>
      </c>
      <c r="E42" s="42" t="n">
        <f aca="false">E7/D7-1</f>
        <v>0.205882352941176</v>
      </c>
      <c r="F42" s="42"/>
      <c r="G42" s="41" t="n">
        <v>0.18</v>
      </c>
      <c r="H42" s="41" t="n">
        <v>0.18</v>
      </c>
      <c r="I42" s="41" t="n">
        <v>0.18</v>
      </c>
      <c r="J42" s="41" t="n">
        <v>0.18</v>
      </c>
      <c r="K42" s="41" t="n">
        <v>0.18</v>
      </c>
    </row>
    <row r="43" customFormat="false" ht="13.5" hidden="false" customHeight="false" outlineLevel="0" collapsed="false">
      <c r="B43" s="16" t="s">
        <v>17</v>
      </c>
      <c r="C43" s="41"/>
      <c r="D43" s="42" t="n">
        <f aca="false">D8/C8-1</f>
        <v>0.3</v>
      </c>
      <c r="E43" s="42" t="n">
        <f aca="false">E8/D8-1</f>
        <v>0.230769230769231</v>
      </c>
      <c r="F43" s="42"/>
      <c r="G43" s="41" t="n">
        <v>0.16</v>
      </c>
      <c r="H43" s="41" t="n">
        <v>0.16</v>
      </c>
      <c r="I43" s="41" t="n">
        <v>0.16</v>
      </c>
      <c r="J43" s="41" t="n">
        <v>0.16</v>
      </c>
      <c r="K43" s="41" t="n">
        <v>0.16</v>
      </c>
    </row>
    <row r="44" customFormat="false" ht="13.5" hidden="false" customHeight="false" outlineLevel="0" collapsed="false">
      <c r="B44" s="28"/>
      <c r="C44" s="30"/>
      <c r="D44" s="30"/>
      <c r="E44" s="30"/>
      <c r="F44" s="30"/>
      <c r="G44" s="30"/>
      <c r="H44" s="30"/>
      <c r="I44" s="30"/>
      <c r="J44" s="30"/>
      <c r="K44" s="30"/>
    </row>
    <row r="45" customFormat="false" ht="13.5" hidden="false" customHeight="false" outlineLevel="0" collapsed="false">
      <c r="A45" s="20"/>
      <c r="B45" s="14" t="s">
        <v>15</v>
      </c>
      <c r="C45" s="43"/>
      <c r="D45" s="43"/>
      <c r="E45" s="43"/>
      <c r="F45" s="43"/>
      <c r="G45" s="43"/>
      <c r="H45" s="43"/>
      <c r="I45" s="43"/>
      <c r="J45" s="43"/>
      <c r="K45" s="43"/>
      <c r="L45" s="20"/>
      <c r="M45" s="20"/>
      <c r="N45" s="20"/>
      <c r="O45" s="20"/>
    </row>
    <row r="46" customFormat="false" ht="13.5" hidden="false" customHeight="false" outlineLevel="0" collapsed="false">
      <c r="A46" s="20"/>
      <c r="B46" s="44" t="s">
        <v>38</v>
      </c>
      <c r="C46" s="18" t="n">
        <f aca="false">C6</f>
        <v>12000</v>
      </c>
      <c r="D46" s="18" t="n">
        <f aca="false">D6</f>
        <v>15000</v>
      </c>
      <c r="E46" s="18" t="n">
        <f aca="false">E6</f>
        <v>18500</v>
      </c>
      <c r="F46" s="18" t="n">
        <f aca="false">F6</f>
        <v>5300</v>
      </c>
      <c r="G46" s="18" t="n">
        <f aca="false">G6</f>
        <v>22200</v>
      </c>
      <c r="H46" s="18" t="n">
        <f aca="false">H6</f>
        <v>26640</v>
      </c>
      <c r="I46" s="18" t="n">
        <f aca="false">I6</f>
        <v>31968</v>
      </c>
      <c r="J46" s="18" t="n">
        <f aca="false">J6</f>
        <v>38361.6</v>
      </c>
      <c r="K46" s="18" t="n">
        <f aca="false">K6</f>
        <v>46033.92</v>
      </c>
      <c r="L46" s="20"/>
      <c r="M46" s="20"/>
      <c r="N46" s="20"/>
      <c r="O46" s="20"/>
    </row>
    <row r="47" customFormat="false" ht="13.5" hidden="false" customHeight="false" outlineLevel="0" collapsed="false">
      <c r="A47" s="20"/>
      <c r="B47" s="45" t="s">
        <v>39</v>
      </c>
      <c r="C47" s="18" t="n">
        <f aca="false">C11</f>
        <v>6000</v>
      </c>
      <c r="D47" s="18" t="n">
        <f aca="false">D11</f>
        <v>7500</v>
      </c>
      <c r="E47" s="18" t="n">
        <f aca="false">E11</f>
        <v>9200</v>
      </c>
      <c r="F47" s="18" t="n">
        <f aca="false">F11</f>
        <v>2600</v>
      </c>
      <c r="G47" s="18" t="n">
        <f aca="false">G46*G48</f>
        <v>11100</v>
      </c>
      <c r="H47" s="18" t="n">
        <f aca="false">H46*H48</f>
        <v>13320</v>
      </c>
      <c r="I47" s="18" t="n">
        <f aca="false">I46*I48</f>
        <v>15984</v>
      </c>
      <c r="J47" s="18" t="n">
        <f aca="false">J46*J48</f>
        <v>19180.8</v>
      </c>
      <c r="K47" s="18" t="n">
        <f aca="false">K46*K48</f>
        <v>23016.96</v>
      </c>
      <c r="L47" s="20"/>
      <c r="M47" s="20"/>
      <c r="N47" s="20"/>
      <c r="O47" s="20"/>
    </row>
    <row r="48" customFormat="false" ht="13.5" hidden="false" customHeight="false" outlineLevel="0" collapsed="false">
      <c r="A48" s="20"/>
      <c r="B48" s="44" t="s">
        <v>40</v>
      </c>
      <c r="C48" s="42" t="n">
        <f aca="false">C47/C46</f>
        <v>0.5</v>
      </c>
      <c r="D48" s="42" t="n">
        <f aca="false">D47/D46</f>
        <v>0.5</v>
      </c>
      <c r="E48" s="42" t="n">
        <f aca="false">E47/E46</f>
        <v>0.497297297297297</v>
      </c>
      <c r="F48" s="42" t="n">
        <f aca="false">F47/F46</f>
        <v>0.490566037735849</v>
      </c>
      <c r="G48" s="41" t="n">
        <v>0.5</v>
      </c>
      <c r="H48" s="41" t="n">
        <v>0.5</v>
      </c>
      <c r="I48" s="41" t="n">
        <v>0.5</v>
      </c>
      <c r="J48" s="41" t="n">
        <v>0.5</v>
      </c>
      <c r="K48" s="41" t="n">
        <v>0.5</v>
      </c>
      <c r="L48" s="20"/>
      <c r="M48" s="20"/>
      <c r="N48" s="20"/>
      <c r="O48" s="20"/>
    </row>
    <row r="49" customFormat="false" ht="13.5" hidden="false" customHeight="false" outlineLevel="0" collapsed="false">
      <c r="A49" s="20"/>
      <c r="B49" s="46" t="s">
        <v>41</v>
      </c>
      <c r="C49" s="47" t="n">
        <f aca="false">C46-C47</f>
        <v>6000</v>
      </c>
      <c r="D49" s="47" t="n">
        <f aca="false">D46-D47</f>
        <v>7500</v>
      </c>
      <c r="E49" s="47" t="n">
        <f aca="false">E46-E47</f>
        <v>9300</v>
      </c>
      <c r="F49" s="47" t="n">
        <f aca="false">F46-F47</f>
        <v>2700</v>
      </c>
      <c r="G49" s="47" t="n">
        <f aca="false">G46-G47</f>
        <v>11100</v>
      </c>
      <c r="H49" s="47" t="n">
        <f aca="false">H46-H47</f>
        <v>13320</v>
      </c>
      <c r="I49" s="47" t="n">
        <f aca="false">I46-I47</f>
        <v>15984</v>
      </c>
      <c r="J49" s="47" t="n">
        <f aca="false">J46-J47</f>
        <v>19180.8</v>
      </c>
      <c r="K49" s="47" t="n">
        <f aca="false">K46-K47</f>
        <v>23016.96</v>
      </c>
      <c r="L49" s="20"/>
      <c r="M49" s="20"/>
      <c r="N49" s="20"/>
      <c r="O49" s="20"/>
    </row>
    <row r="50" customFormat="false" ht="13.5" hidden="false" customHeight="false" outlineLevel="0" collapsed="false">
      <c r="A50" s="20"/>
      <c r="B50" s="48" t="s">
        <v>42</v>
      </c>
      <c r="C50" s="49" t="n">
        <f aca="false">C49/C46</f>
        <v>0.5</v>
      </c>
      <c r="D50" s="49" t="n">
        <f aca="false">D49/D46</f>
        <v>0.5</v>
      </c>
      <c r="E50" s="49" t="n">
        <f aca="false">E49/E46</f>
        <v>0.502702702702703</v>
      </c>
      <c r="F50" s="49" t="n">
        <f aca="false">F49/F46</f>
        <v>0.509433962264151</v>
      </c>
      <c r="G50" s="49" t="n">
        <f aca="false">G49/G46</f>
        <v>0.5</v>
      </c>
      <c r="H50" s="49" t="n">
        <f aca="false">H49/H46</f>
        <v>0.5</v>
      </c>
      <c r="I50" s="49" t="n">
        <f aca="false">I49/I46</f>
        <v>0.5</v>
      </c>
      <c r="J50" s="49" t="n">
        <f aca="false">J49/J46</f>
        <v>0.5</v>
      </c>
      <c r="K50" s="49" t="n">
        <f aca="false">K49/K46</f>
        <v>0.5</v>
      </c>
      <c r="L50" s="20"/>
      <c r="M50" s="20"/>
      <c r="N50" s="20"/>
      <c r="O50" s="20"/>
    </row>
    <row r="51" customFormat="false" ht="13.5" hidden="false" customHeight="false" outlineLevel="0" collapsed="false">
      <c r="A51" s="20"/>
      <c r="B51" s="20"/>
      <c r="C51" s="43"/>
      <c r="D51" s="43"/>
      <c r="E51" s="43"/>
      <c r="F51" s="43"/>
      <c r="G51" s="43"/>
      <c r="H51" s="43"/>
      <c r="I51" s="43"/>
      <c r="J51" s="43"/>
      <c r="K51" s="43"/>
      <c r="L51" s="20"/>
      <c r="M51" s="20"/>
      <c r="N51" s="20"/>
      <c r="O51" s="20"/>
    </row>
    <row r="52" customFormat="false" ht="13.5" hidden="false" customHeight="false" outlineLevel="0" collapsed="false">
      <c r="B52" s="14" t="s">
        <v>43</v>
      </c>
      <c r="C52" s="43"/>
      <c r="D52" s="43"/>
      <c r="E52" s="43"/>
      <c r="F52" s="43"/>
      <c r="G52" s="43"/>
      <c r="H52" s="43"/>
      <c r="I52" s="43"/>
      <c r="J52" s="43"/>
      <c r="K52" s="43"/>
    </row>
    <row r="53" customFormat="false" ht="13.5" hidden="false" customHeight="false" outlineLevel="0" collapsed="false">
      <c r="B53" s="44" t="s">
        <v>44</v>
      </c>
      <c r="C53" s="18" t="n">
        <f aca="false">C7</f>
        <v>8500</v>
      </c>
      <c r="D53" s="18" t="n">
        <f aca="false">D7</f>
        <v>10200</v>
      </c>
      <c r="E53" s="18" t="n">
        <f aca="false">E7</f>
        <v>12300</v>
      </c>
      <c r="F53" s="18" t="n">
        <f aca="false">F7</f>
        <v>3500</v>
      </c>
      <c r="G53" s="18" t="n">
        <f aca="false">G7</f>
        <v>14514</v>
      </c>
      <c r="H53" s="18" t="n">
        <f aca="false">H7</f>
        <v>17126.52</v>
      </c>
      <c r="I53" s="18" t="n">
        <f aca="false">I7</f>
        <v>20209.2936</v>
      </c>
      <c r="J53" s="18" t="n">
        <f aca="false">J7</f>
        <v>23846.966448</v>
      </c>
      <c r="K53" s="18" t="n">
        <f aca="false">K7</f>
        <v>28139.42040864</v>
      </c>
    </row>
    <row r="54" customFormat="false" ht="13.5" hidden="false" customHeight="false" outlineLevel="0" collapsed="false">
      <c r="B54" s="45" t="s">
        <v>45</v>
      </c>
      <c r="C54" s="18" t="n">
        <f aca="false">C12</f>
        <v>4000</v>
      </c>
      <c r="D54" s="18" t="n">
        <f aca="false">D12</f>
        <v>4800</v>
      </c>
      <c r="E54" s="18" t="n">
        <f aca="false">E12</f>
        <v>5900</v>
      </c>
      <c r="F54" s="18" t="n">
        <f aca="false">F12</f>
        <v>1700</v>
      </c>
      <c r="G54" s="18" t="n">
        <f aca="false">G53*G55</f>
        <v>6966.72</v>
      </c>
      <c r="H54" s="18" t="n">
        <f aca="false">H53*H55</f>
        <v>8220.7296</v>
      </c>
      <c r="I54" s="18" t="n">
        <f aca="false">I53*I55</f>
        <v>9700.460928</v>
      </c>
      <c r="J54" s="18" t="n">
        <f aca="false">J53*J55</f>
        <v>11446.54389504</v>
      </c>
      <c r="K54" s="18" t="n">
        <f aca="false">K53*K55</f>
        <v>13506.9217961472</v>
      </c>
    </row>
    <row r="55" customFormat="false" ht="13.5" hidden="false" customHeight="false" outlineLevel="0" collapsed="false">
      <c r="B55" s="44" t="s">
        <v>40</v>
      </c>
      <c r="C55" s="42" t="n">
        <f aca="false">C54/C53</f>
        <v>0.470588235294118</v>
      </c>
      <c r="D55" s="42" t="n">
        <f aca="false">D54/D53</f>
        <v>0.470588235294118</v>
      </c>
      <c r="E55" s="42" t="n">
        <f aca="false">E54/E53</f>
        <v>0.479674796747968</v>
      </c>
      <c r="F55" s="42" t="n">
        <f aca="false">F54/F53</f>
        <v>0.485714285714286</v>
      </c>
      <c r="G55" s="41" t="n">
        <v>0.48</v>
      </c>
      <c r="H55" s="41" t="n">
        <v>0.48</v>
      </c>
      <c r="I55" s="41" t="n">
        <v>0.48</v>
      </c>
      <c r="J55" s="41" t="n">
        <v>0.48</v>
      </c>
      <c r="K55" s="41" t="n">
        <v>0.48</v>
      </c>
    </row>
    <row r="56" customFormat="false" ht="13.5" hidden="false" customHeight="false" outlineLevel="0" collapsed="false">
      <c r="B56" s="46" t="s">
        <v>41</v>
      </c>
      <c r="C56" s="47" t="n">
        <f aca="false">C53-C54</f>
        <v>4500</v>
      </c>
      <c r="D56" s="47" t="n">
        <f aca="false">D53-D54</f>
        <v>5400</v>
      </c>
      <c r="E56" s="47" t="n">
        <f aca="false">E53-E54</f>
        <v>6400</v>
      </c>
      <c r="F56" s="47" t="n">
        <f aca="false">F53-F54</f>
        <v>1800</v>
      </c>
      <c r="G56" s="47" t="n">
        <f aca="false">G53-G54</f>
        <v>7547.28</v>
      </c>
      <c r="H56" s="47" t="n">
        <f aca="false">H53-H54</f>
        <v>8905.7904</v>
      </c>
      <c r="I56" s="47" t="n">
        <f aca="false">I53-I54</f>
        <v>10508.832672</v>
      </c>
      <c r="J56" s="47" t="n">
        <f aca="false">J53-J54</f>
        <v>12400.42255296</v>
      </c>
      <c r="K56" s="47" t="n">
        <f aca="false">K53-K54</f>
        <v>14632.4986124928</v>
      </c>
    </row>
    <row r="57" customFormat="false" ht="13.5" hidden="false" customHeight="false" outlineLevel="0" collapsed="false">
      <c r="B57" s="48" t="s">
        <v>42</v>
      </c>
      <c r="C57" s="49" t="n">
        <f aca="false">C56/C53</f>
        <v>0.529411764705882</v>
      </c>
      <c r="D57" s="49" t="n">
        <f aca="false">D56/D53</f>
        <v>0.529411764705882</v>
      </c>
      <c r="E57" s="49" t="n">
        <f aca="false">E56/E53</f>
        <v>0.520325203252033</v>
      </c>
      <c r="F57" s="49" t="n">
        <f aca="false">F56/F53</f>
        <v>0.514285714285714</v>
      </c>
      <c r="G57" s="49" t="n">
        <f aca="false">G56/G53</f>
        <v>0.52</v>
      </c>
      <c r="H57" s="49" t="n">
        <f aca="false">H56/H53</f>
        <v>0.52</v>
      </c>
      <c r="I57" s="49" t="n">
        <f aca="false">I56/I53</f>
        <v>0.52</v>
      </c>
      <c r="J57" s="49" t="n">
        <f aca="false">J56/J53</f>
        <v>0.52</v>
      </c>
      <c r="K57" s="49" t="n">
        <f aca="false">K56/K53</f>
        <v>0.52</v>
      </c>
    </row>
    <row r="58" customFormat="false" ht="13.5" hidden="false" customHeight="false" outlineLevel="0" collapsed="false">
      <c r="C58" s="50"/>
      <c r="D58" s="50"/>
      <c r="E58" s="50"/>
      <c r="F58" s="50"/>
      <c r="G58" s="50"/>
      <c r="H58" s="50"/>
      <c r="I58" s="50"/>
      <c r="J58" s="50"/>
      <c r="K58" s="50"/>
    </row>
    <row r="59" customFormat="false" ht="13.5" hidden="false" customHeight="false" outlineLevel="0" collapsed="false">
      <c r="B59" s="14" t="s">
        <v>17</v>
      </c>
      <c r="C59" s="43"/>
      <c r="D59" s="43"/>
      <c r="E59" s="43"/>
      <c r="F59" s="43"/>
      <c r="G59" s="43"/>
      <c r="H59" s="43"/>
      <c r="I59" s="43"/>
      <c r="J59" s="43"/>
      <c r="K59" s="43"/>
    </row>
    <row r="60" customFormat="false" ht="13.5" hidden="false" customHeight="false" outlineLevel="0" collapsed="false">
      <c r="B60" s="45" t="s">
        <v>46</v>
      </c>
      <c r="C60" s="18" t="n">
        <f aca="false">C8</f>
        <v>5000</v>
      </c>
      <c r="D60" s="18" t="n">
        <f aca="false">D8</f>
        <v>6500</v>
      </c>
      <c r="E60" s="18" t="n">
        <f aca="false">E8</f>
        <v>8000</v>
      </c>
      <c r="F60" s="18" t="n">
        <f aca="false">F8</f>
        <v>2300</v>
      </c>
      <c r="G60" s="18" t="n">
        <f aca="false">G8</f>
        <v>9280</v>
      </c>
      <c r="H60" s="18" t="n">
        <f aca="false">H8</f>
        <v>10764.8</v>
      </c>
      <c r="I60" s="18" t="n">
        <f aca="false">I8</f>
        <v>12487.168</v>
      </c>
      <c r="J60" s="18" t="n">
        <f aca="false">J8</f>
        <v>14485.11488</v>
      </c>
      <c r="K60" s="18" t="n">
        <f aca="false">K8</f>
        <v>16802.7332608</v>
      </c>
    </row>
    <row r="61" customFormat="false" ht="13.5" hidden="false" customHeight="false" outlineLevel="0" collapsed="false">
      <c r="B61" s="45" t="s">
        <v>47</v>
      </c>
      <c r="C61" s="18" t="n">
        <f aca="false">C13</f>
        <v>2500</v>
      </c>
      <c r="D61" s="18" t="n">
        <f aca="false">D13</f>
        <v>3250</v>
      </c>
      <c r="E61" s="18" t="n">
        <f aca="false">E13</f>
        <v>4000</v>
      </c>
      <c r="F61" s="18" t="n">
        <f aca="false">F13</f>
        <v>1150</v>
      </c>
      <c r="G61" s="18" t="n">
        <f aca="false">G60*G62</f>
        <v>4640</v>
      </c>
      <c r="H61" s="18" t="n">
        <f aca="false">H60*H62</f>
        <v>5382.4</v>
      </c>
      <c r="I61" s="18" t="n">
        <f aca="false">I60*I62</f>
        <v>6243.584</v>
      </c>
      <c r="J61" s="18" t="n">
        <f aca="false">J60*J62</f>
        <v>7242.55744</v>
      </c>
      <c r="K61" s="18" t="n">
        <f aca="false">K60*K62</f>
        <v>8401.3666304</v>
      </c>
    </row>
    <row r="62" customFormat="false" ht="13.5" hidden="false" customHeight="false" outlineLevel="0" collapsed="false">
      <c r="B62" s="44" t="s">
        <v>40</v>
      </c>
      <c r="C62" s="42" t="n">
        <f aca="false">C61/C60</f>
        <v>0.5</v>
      </c>
      <c r="D62" s="42" t="n">
        <f aca="false">D61/D60</f>
        <v>0.5</v>
      </c>
      <c r="E62" s="42" t="n">
        <f aca="false">E61/E60</f>
        <v>0.5</v>
      </c>
      <c r="F62" s="42" t="n">
        <f aca="false">F61/F60</f>
        <v>0.5</v>
      </c>
      <c r="G62" s="41" t="n">
        <v>0.5</v>
      </c>
      <c r="H62" s="41" t="n">
        <v>0.5</v>
      </c>
      <c r="I62" s="41" t="n">
        <v>0.5</v>
      </c>
      <c r="J62" s="41" t="n">
        <v>0.5</v>
      </c>
      <c r="K62" s="41" t="n">
        <v>0.5</v>
      </c>
    </row>
    <row r="63" customFormat="false" ht="13.5" hidden="false" customHeight="false" outlineLevel="0" collapsed="false">
      <c r="B63" s="51" t="s">
        <v>41</v>
      </c>
      <c r="C63" s="52" t="n">
        <f aca="false">C60-C61</f>
        <v>2500</v>
      </c>
      <c r="D63" s="52" t="n">
        <f aca="false">D60-D61</f>
        <v>3250</v>
      </c>
      <c r="E63" s="52" t="n">
        <f aca="false">E60-E61</f>
        <v>4000</v>
      </c>
      <c r="F63" s="52" t="n">
        <f aca="false">F60-F61</f>
        <v>1150</v>
      </c>
      <c r="G63" s="52" t="n">
        <f aca="false">G60-G61</f>
        <v>4640</v>
      </c>
      <c r="H63" s="52" t="n">
        <f aca="false">H60-H61</f>
        <v>5382.4</v>
      </c>
      <c r="I63" s="52" t="n">
        <f aca="false">I60-I61</f>
        <v>6243.584</v>
      </c>
      <c r="J63" s="52" t="n">
        <f aca="false">J60-J61</f>
        <v>7242.55744</v>
      </c>
      <c r="K63" s="52" t="n">
        <f aca="false">K60-K61</f>
        <v>8401.3666304</v>
      </c>
    </row>
    <row r="64" customFormat="false" ht="13.5" hidden="false" customHeight="false" outlineLevel="0" collapsed="false">
      <c r="B64" s="48" t="s">
        <v>42</v>
      </c>
      <c r="C64" s="49" t="n">
        <f aca="false">C63/C60</f>
        <v>0.5</v>
      </c>
      <c r="D64" s="49" t="n">
        <f aca="false">D63/D60</f>
        <v>0.5</v>
      </c>
      <c r="E64" s="49" t="n">
        <f aca="false">E63/E60</f>
        <v>0.5</v>
      </c>
      <c r="F64" s="49" t="n">
        <f aca="false">F63/F60</f>
        <v>0.5</v>
      </c>
      <c r="G64" s="49" t="n">
        <f aca="false">G63/G60</f>
        <v>0.5</v>
      </c>
      <c r="H64" s="49" t="n">
        <f aca="false">H63/H60</f>
        <v>0.5</v>
      </c>
      <c r="I64" s="49" t="n">
        <f aca="false">I63/I60</f>
        <v>0.5</v>
      </c>
      <c r="J64" s="49" t="n">
        <f aca="false">J63/J60</f>
        <v>0.5</v>
      </c>
      <c r="K64" s="49" t="n">
        <f aca="false">K63/K60</f>
        <v>0.5</v>
      </c>
    </row>
    <row r="65" customFormat="false" ht="13.5" hidden="false" customHeight="false" outlineLevel="0" collapsed="false">
      <c r="B65" s="28"/>
      <c r="C65" s="30"/>
      <c r="D65" s="30"/>
      <c r="E65" s="30"/>
      <c r="F65" s="30"/>
      <c r="G65" s="30"/>
      <c r="H65" s="30"/>
      <c r="I65" s="30"/>
      <c r="J65" s="30"/>
      <c r="K65" s="30"/>
    </row>
    <row r="66" customFormat="false" ht="13.5" hidden="false" customHeight="false" outlineLevel="0" collapsed="false">
      <c r="B66" s="16" t="s">
        <v>22</v>
      </c>
      <c r="C66" s="42" t="n">
        <f aca="false">C17/C9</f>
        <v>0.156862745098039</v>
      </c>
      <c r="D66" s="42" t="n">
        <f aca="false">D17/D9</f>
        <v>0.157728706624606</v>
      </c>
      <c r="E66" s="42" t="n">
        <f aca="false">E17/E9</f>
        <v>0.154639175257732</v>
      </c>
      <c r="F66" s="42" t="n">
        <f aca="false">F17/F9</f>
        <v>0.144144144144144</v>
      </c>
      <c r="G66" s="41" t="n">
        <v>0.15</v>
      </c>
      <c r="H66" s="41" t="n">
        <v>0.15</v>
      </c>
      <c r="I66" s="41" t="n">
        <v>0.15</v>
      </c>
      <c r="J66" s="41" t="n">
        <v>0.15</v>
      </c>
      <c r="K66" s="41" t="n">
        <v>0.15</v>
      </c>
    </row>
    <row r="67" customFormat="false" ht="13.5" hidden="false" customHeight="false" outlineLevel="0" collapsed="false">
      <c r="C67" s="30"/>
      <c r="D67" s="30"/>
      <c r="E67" s="30"/>
      <c r="F67" s="30"/>
      <c r="G67" s="30"/>
      <c r="H67" s="30"/>
      <c r="I67" s="30"/>
      <c r="J67" s="30"/>
      <c r="K67" s="30"/>
    </row>
    <row r="68" customFormat="false" ht="13.5" hidden="false" customHeight="false" outlineLevel="0" collapsed="false">
      <c r="B68" s="16" t="s">
        <v>48</v>
      </c>
      <c r="C68" s="42" t="n">
        <f aca="false">C29/C28</f>
        <v>0.232456140350877</v>
      </c>
      <c r="D68" s="42" t="n">
        <f aca="false">D29/D28</f>
        <v>0.234076433121019</v>
      </c>
      <c r="E68" s="42" t="n">
        <f aca="false">E29/E28</f>
        <v>0.235576923076923</v>
      </c>
      <c r="F68" s="42" t="n">
        <f aca="false">F29/F28</f>
        <v>0.234567901234568</v>
      </c>
      <c r="G68" s="41" t="n">
        <v>0.234</v>
      </c>
      <c r="H68" s="41" t="n">
        <v>0.234</v>
      </c>
      <c r="I68" s="41" t="n">
        <v>0.234</v>
      </c>
      <c r="J68" s="41" t="n">
        <v>0.234</v>
      </c>
      <c r="K68" s="41" t="n">
        <v>0.234</v>
      </c>
    </row>
    <row r="69" customFormat="false" ht="13.5" hidden="false" customHeight="false" outlineLevel="0" collapsed="false">
      <c r="B69" s="28"/>
      <c r="C69" s="30"/>
      <c r="D69" s="30"/>
      <c r="E69" s="30"/>
      <c r="F69" s="30"/>
      <c r="G69" s="30"/>
      <c r="H69" s="30"/>
      <c r="I69" s="30"/>
      <c r="J69" s="30"/>
      <c r="K69" s="30"/>
    </row>
    <row r="70" customFormat="false" ht="13.5" hidden="false" customHeight="false" outlineLevel="0" collapsed="false">
      <c r="C70" s="53"/>
      <c r="D70" s="53"/>
      <c r="E70" s="53"/>
      <c r="F70" s="53"/>
      <c r="G70" s="53"/>
      <c r="H70" s="53"/>
      <c r="I70" s="53"/>
      <c r="J70" s="53"/>
      <c r="K70" s="53"/>
    </row>
    <row r="71" customFormat="false" ht="13.5" hidden="false" customHeight="false" outlineLevel="0" collapsed="false">
      <c r="C71" s="53"/>
      <c r="D71" s="53"/>
      <c r="E71" s="53"/>
      <c r="F71" s="53"/>
      <c r="G71" s="53"/>
      <c r="H71" s="53"/>
      <c r="I71" s="53"/>
      <c r="J71" s="53"/>
      <c r="K71" s="53"/>
    </row>
    <row r="72" customFormat="false" ht="13.5" hidden="false" customHeight="false" outlineLevel="0" collapsed="false">
      <c r="C72" s="53"/>
      <c r="D72" s="53"/>
      <c r="E72" s="53"/>
      <c r="F72" s="53"/>
      <c r="G72" s="53"/>
      <c r="H72" s="53"/>
      <c r="I72" s="53"/>
      <c r="J72" s="53"/>
      <c r="K72" s="53"/>
    </row>
    <row r="73" customFormat="false" ht="13.5" hidden="false" customHeight="false" outlineLevel="0" collapsed="false">
      <c r="C73" s="53"/>
      <c r="D73" s="53"/>
      <c r="E73" s="53"/>
      <c r="F73" s="53"/>
      <c r="G73" s="53"/>
      <c r="H73" s="53"/>
      <c r="I73" s="53"/>
      <c r="J73" s="53"/>
      <c r="K73" s="53"/>
    </row>
    <row r="74" customFormat="false" ht="13.5" hidden="false" customHeight="false" outlineLevel="0" collapsed="false">
      <c r="C74" s="53"/>
      <c r="D74" s="53"/>
      <c r="E74" s="53"/>
      <c r="F74" s="53"/>
      <c r="G74" s="53"/>
      <c r="H74" s="53"/>
      <c r="I74" s="53"/>
      <c r="J74" s="53"/>
      <c r="K74" s="53"/>
    </row>
    <row r="75" customFormat="false" ht="13.5" hidden="false" customHeight="false" outlineLevel="0" collapsed="false">
      <c r="C75" s="53"/>
      <c r="D75" s="53"/>
      <c r="E75" s="53"/>
      <c r="F75" s="53"/>
      <c r="G75" s="53"/>
      <c r="H75" s="53"/>
      <c r="I75" s="53"/>
      <c r="J75" s="53"/>
      <c r="K75" s="53"/>
    </row>
    <row r="76" customFormat="false" ht="13.5" hidden="false" customHeight="false" outlineLevel="0" collapsed="false">
      <c r="C76" s="53"/>
      <c r="D76" s="53"/>
      <c r="E76" s="53"/>
      <c r="F76" s="53"/>
      <c r="G76" s="53"/>
      <c r="H76" s="53"/>
      <c r="I76" s="53"/>
      <c r="J76" s="53"/>
      <c r="K76" s="53"/>
    </row>
    <row r="77" customFormat="false" ht="13.5" hidden="false" customHeight="false" outlineLevel="0" collapsed="false">
      <c r="C77" s="53"/>
      <c r="D77" s="53"/>
      <c r="E77" s="53"/>
      <c r="F77" s="53"/>
      <c r="G77" s="53"/>
      <c r="H77" s="53"/>
      <c r="I77" s="53"/>
      <c r="J77" s="53"/>
      <c r="K77" s="53"/>
    </row>
    <row r="78" customFormat="false" ht="13.5" hidden="false" customHeight="false" outlineLevel="0" collapsed="false">
      <c r="C78" s="53"/>
      <c r="D78" s="53"/>
      <c r="E78" s="53"/>
      <c r="F78" s="53"/>
      <c r="G78" s="53"/>
      <c r="H78" s="53"/>
      <c r="I78" s="53"/>
      <c r="J78" s="53"/>
      <c r="K78" s="53"/>
    </row>
    <row r="79" customFormat="false" ht="13.5" hidden="false" customHeight="false" outlineLevel="0" collapsed="false">
      <c r="C79" s="53"/>
      <c r="D79" s="53"/>
      <c r="E79" s="53"/>
      <c r="F79" s="53"/>
      <c r="G79" s="53"/>
      <c r="H79" s="53"/>
      <c r="I79" s="53"/>
      <c r="J79" s="53"/>
      <c r="K79" s="53"/>
    </row>
    <row r="80" customFormat="false" ht="13.5" hidden="false" customHeight="false" outlineLevel="0" collapsed="false">
      <c r="C80" s="53"/>
      <c r="D80" s="53"/>
      <c r="E80" s="53"/>
      <c r="F80" s="53"/>
      <c r="G80" s="53"/>
      <c r="H80" s="53"/>
      <c r="I80" s="53"/>
      <c r="J80" s="53"/>
      <c r="K80" s="53"/>
    </row>
    <row r="81" customFormat="false" ht="13.5" hidden="false" customHeight="false" outlineLevel="0" collapsed="false">
      <c r="C81" s="53"/>
      <c r="D81" s="53"/>
      <c r="E81" s="53"/>
      <c r="F81" s="53"/>
      <c r="G81" s="53"/>
      <c r="H81" s="53"/>
      <c r="I81" s="53"/>
      <c r="J81" s="53"/>
      <c r="K81" s="53"/>
    </row>
    <row r="82" customFormat="false" ht="13.5" hidden="false" customHeight="false" outlineLevel="0" collapsed="false">
      <c r="C82" s="53"/>
      <c r="D82" s="53"/>
      <c r="E82" s="53"/>
      <c r="F82" s="53"/>
      <c r="G82" s="53"/>
      <c r="H82" s="53"/>
      <c r="I82" s="53"/>
      <c r="J82" s="53"/>
      <c r="K82" s="53"/>
    </row>
    <row r="83" customFormat="false" ht="13.5" hidden="false" customHeight="false" outlineLevel="0" collapsed="false">
      <c r="C83" s="53"/>
      <c r="D83" s="53"/>
      <c r="E83" s="53"/>
      <c r="F83" s="53"/>
      <c r="G83" s="53"/>
      <c r="H83" s="53"/>
      <c r="I83" s="53"/>
      <c r="J83" s="53"/>
      <c r="K83" s="53"/>
    </row>
    <row r="84" customFormat="false" ht="13.5" hidden="false" customHeight="false" outlineLevel="0" collapsed="false">
      <c r="C84" s="53"/>
      <c r="D84" s="53"/>
      <c r="E84" s="53"/>
      <c r="F84" s="53"/>
      <c r="G84" s="53"/>
      <c r="H84" s="53"/>
      <c r="I84" s="53"/>
      <c r="J84" s="53"/>
      <c r="K84" s="53"/>
    </row>
    <row r="85" customFormat="false" ht="13.5" hidden="false" customHeight="false" outlineLevel="0" collapsed="false">
      <c r="C85" s="53"/>
      <c r="D85" s="53"/>
      <c r="E85" s="53"/>
      <c r="F85" s="53"/>
      <c r="G85" s="53"/>
      <c r="H85" s="53"/>
      <c r="I85" s="53"/>
      <c r="J85" s="53"/>
      <c r="K85" s="53"/>
    </row>
    <row r="86" customFormat="false" ht="13.5" hidden="false" customHeight="false" outlineLevel="0" collapsed="false">
      <c r="C86" s="53"/>
      <c r="D86" s="53"/>
      <c r="E86" s="53"/>
      <c r="F86" s="53"/>
      <c r="G86" s="53"/>
      <c r="H86" s="53"/>
      <c r="I86" s="53"/>
      <c r="J86" s="53"/>
      <c r="K86" s="53"/>
    </row>
    <row r="87" customFormat="false" ht="13.5" hidden="false" customHeight="false" outlineLevel="0" collapsed="false">
      <c r="C87" s="53"/>
      <c r="D87" s="53"/>
      <c r="E87" s="53"/>
      <c r="F87" s="53"/>
      <c r="G87" s="53"/>
      <c r="H87" s="53"/>
      <c r="I87" s="53"/>
      <c r="J87" s="53"/>
      <c r="K87" s="53"/>
    </row>
    <row r="88" customFormat="false" ht="13.5" hidden="false" customHeight="false" outlineLevel="0" collapsed="false">
      <c r="C88" s="53"/>
      <c r="D88" s="53"/>
      <c r="E88" s="53"/>
      <c r="F88" s="53"/>
      <c r="G88" s="53"/>
      <c r="H88" s="53"/>
      <c r="I88" s="53"/>
      <c r="J88" s="53"/>
      <c r="K88" s="53"/>
    </row>
    <row r="89" customFormat="false" ht="13.5" hidden="false" customHeight="false" outlineLevel="0" collapsed="false">
      <c r="C89" s="53"/>
      <c r="D89" s="53"/>
      <c r="E89" s="53"/>
      <c r="F89" s="53"/>
      <c r="G89" s="53"/>
      <c r="H89" s="53"/>
      <c r="I89" s="53"/>
      <c r="J89" s="53"/>
      <c r="K89" s="53"/>
    </row>
    <row r="90" customFormat="false" ht="13.5" hidden="false" customHeight="false" outlineLevel="0" collapsed="false">
      <c r="C90" s="53"/>
      <c r="D90" s="53"/>
      <c r="E90" s="53"/>
      <c r="F90" s="53"/>
      <c r="G90" s="53"/>
      <c r="H90" s="53"/>
      <c r="I90" s="53"/>
      <c r="J90" s="53"/>
      <c r="K90" s="53"/>
    </row>
    <row r="91" customFormat="false" ht="13.5" hidden="false" customHeight="false" outlineLevel="0" collapsed="false">
      <c r="C91" s="53"/>
      <c r="D91" s="53"/>
      <c r="E91" s="53"/>
      <c r="F91" s="53"/>
      <c r="G91" s="53"/>
      <c r="H91" s="53"/>
      <c r="I91" s="53"/>
      <c r="J91" s="53"/>
      <c r="K91" s="53"/>
    </row>
    <row r="92" customFormat="false" ht="13.5" hidden="false" customHeight="false" outlineLevel="0" collapsed="false">
      <c r="C92" s="53"/>
      <c r="D92" s="53"/>
      <c r="E92" s="53"/>
      <c r="F92" s="53"/>
      <c r="G92" s="53"/>
      <c r="H92" s="53"/>
      <c r="I92" s="53"/>
      <c r="J92" s="53"/>
      <c r="K92" s="53"/>
    </row>
    <row r="93" customFormat="false" ht="13.5" hidden="false" customHeight="false" outlineLevel="0" collapsed="false">
      <c r="C93" s="53"/>
      <c r="D93" s="53"/>
      <c r="E93" s="53"/>
      <c r="F93" s="53"/>
      <c r="G93" s="53"/>
      <c r="H93" s="53"/>
      <c r="I93" s="53"/>
      <c r="J93" s="53"/>
      <c r="K93" s="53"/>
    </row>
    <row r="94" customFormat="false" ht="13.5" hidden="false" customHeight="false" outlineLevel="0" collapsed="false">
      <c r="C94" s="53"/>
      <c r="D94" s="53"/>
      <c r="E94" s="53"/>
      <c r="F94" s="53"/>
      <c r="G94" s="53"/>
      <c r="H94" s="53"/>
      <c r="I94" s="53"/>
      <c r="J94" s="53"/>
      <c r="K94" s="53"/>
    </row>
    <row r="95" customFormat="false" ht="13.5" hidden="false" customHeight="false" outlineLevel="0" collapsed="false"/>
    <row r="96" customFormat="false" ht="13.5" hidden="false" customHeight="false" outlineLevel="0" collapsed="false"/>
    <row r="97" customFormat="false" ht="13.5" hidden="false" customHeight="false" outlineLevel="0" collapsed="false"/>
    <row r="98" customFormat="false" ht="13.5" hidden="false" customHeight="false" outlineLevel="0" collapsed="false"/>
    <row r="99" customFormat="false" ht="13.5" hidden="false" customHeight="false" outlineLevel="0" collapsed="false"/>
    <row r="100" customFormat="false" ht="13.5" hidden="false" customHeight="false" outlineLevel="0" collapsed="false"/>
    <row r="101" customFormat="false" ht="13.5" hidden="false" customHeight="false" outlineLevel="0" collapsed="false"/>
    <row r="102" customFormat="false" ht="13.5" hidden="false" customHeight="false" outlineLevel="0" collapsed="false"/>
    <row r="103" customFormat="false" ht="13.5" hidden="false" customHeight="false" outlineLevel="0" collapsed="false"/>
    <row r="104" customFormat="false" ht="13.5" hidden="false" customHeight="false" outlineLevel="0" collapsed="false"/>
    <row r="105" customFormat="false" ht="13.5" hidden="false" customHeight="false" outlineLevel="0" collapsed="false"/>
    <row r="106" customFormat="false" ht="13.5" hidden="false" customHeight="false" outlineLevel="0" collapsed="false"/>
    <row r="107" customFormat="false" ht="13.5" hidden="false" customHeight="false" outlineLevel="0" collapsed="false"/>
    <row r="108" customFormat="false" ht="13.5" hidden="false" customHeight="false" outlineLevel="0" collapsed="false"/>
    <row r="109" customFormat="false" ht="13.5" hidden="false" customHeight="false" outlineLevel="0" collapsed="false"/>
    <row r="110" customFormat="false" ht="13.5" hidden="false" customHeight="false" outlineLevel="0" collapsed="false"/>
    <row r="111" customFormat="false" ht="13.5" hidden="false" customHeight="false" outlineLevel="0" collapsed="false"/>
    <row r="112" customFormat="false" ht="13.5" hidden="false" customHeight="false" outlineLevel="0" collapsed="false"/>
    <row r="113" customFormat="false" ht="13.5" hidden="false" customHeight="false" outlineLevel="0" collapsed="false"/>
    <row r="114" customFormat="false" ht="13.5" hidden="false" customHeight="false" outlineLevel="0" collapsed="false"/>
    <row r="115" customFormat="false" ht="13.5" hidden="false" customHeight="false" outlineLevel="0" collapsed="false"/>
    <row r="116" customFormat="false" ht="13.5" hidden="false" customHeight="false" outlineLevel="0" collapsed="false"/>
    <row r="117" customFormat="false" ht="13.5" hidden="false" customHeight="false" outlineLevel="0" collapsed="false"/>
    <row r="118" customFormat="false" ht="13.5" hidden="false" customHeight="false" outlineLevel="0" collapsed="false"/>
    <row r="119" customFormat="false" ht="13.5" hidden="false" customHeight="false" outlineLevel="0" collapsed="false"/>
    <row r="120" customFormat="false" ht="13.5" hidden="false" customHeight="false" outlineLevel="0" collapsed="false"/>
    <row r="121" customFormat="false" ht="13.5" hidden="false" customHeight="false" outlineLevel="0" collapsed="false"/>
    <row r="122" customFormat="false" ht="13.5" hidden="false" customHeight="false" outlineLevel="0" collapsed="false"/>
    <row r="123" customFormat="false" ht="13.5" hidden="false" customHeight="false" outlineLevel="0" collapsed="false"/>
    <row r="124" customFormat="false" ht="13.5" hidden="false" customHeight="false" outlineLevel="0" collapsed="false"/>
    <row r="125" customFormat="false" ht="13.5" hidden="false" customHeight="false" outlineLevel="0" collapsed="false"/>
    <row r="126" customFormat="false" ht="13.5" hidden="false" customHeight="false" outlineLevel="0" collapsed="false"/>
    <row r="127" customFormat="false" ht="13.5" hidden="false" customHeight="false" outlineLevel="0" collapsed="false"/>
    <row r="128" customFormat="false" ht="13.5" hidden="false" customHeight="false" outlineLevel="0" collapsed="false"/>
    <row r="129" customFormat="false" ht="13.5" hidden="false" customHeight="false" outlineLevel="0" collapsed="false"/>
    <row r="130" customFormat="false" ht="13.5" hidden="false" customHeight="false" outlineLevel="0" collapsed="false"/>
    <row r="131" customFormat="false" ht="13.5" hidden="false" customHeight="false" outlineLevel="0" collapsed="false"/>
    <row r="132" customFormat="false" ht="13.5" hidden="false" customHeight="false" outlineLevel="0" collapsed="false"/>
    <row r="133" customFormat="false" ht="13.5" hidden="false" customHeight="false" outlineLevel="0" collapsed="false"/>
    <row r="134" customFormat="false" ht="13.5" hidden="false" customHeight="false" outlineLevel="0" collapsed="false"/>
    <row r="135" customFormat="false" ht="13.5" hidden="false" customHeight="false" outlineLevel="0" collapsed="false"/>
    <row r="136" customFormat="false" ht="13.5" hidden="false" customHeight="false" outlineLevel="0" collapsed="false"/>
    <row r="137" customFormat="false" ht="13.5" hidden="false" customHeight="false" outlineLevel="0" collapsed="false"/>
    <row r="138" customFormat="false" ht="13.5" hidden="false" customHeight="false" outlineLevel="0" collapsed="false"/>
    <row r="139" customFormat="false" ht="13.5" hidden="false" customHeight="false" outlineLevel="0" collapsed="false"/>
    <row r="140" customFormat="false" ht="13.5" hidden="false" customHeight="false" outlineLevel="0" collapsed="false"/>
    <row r="141" customFormat="false" ht="13.5" hidden="false" customHeight="false" outlineLevel="0" collapsed="false"/>
    <row r="142" customFormat="false" ht="13.5" hidden="false" customHeight="false" outlineLevel="0" collapsed="false"/>
    <row r="143" customFormat="false" ht="13.5" hidden="false" customHeight="false" outlineLevel="0" collapsed="false"/>
    <row r="144" customFormat="false" ht="13.5" hidden="false" customHeight="false" outlineLevel="0" collapsed="false"/>
    <row r="145" customFormat="false" ht="13.5" hidden="false" customHeight="false" outlineLevel="0" collapsed="false"/>
    <row r="146" customFormat="false" ht="13.5" hidden="false" customHeight="false" outlineLevel="0" collapsed="false"/>
    <row r="147" customFormat="false" ht="13.5" hidden="false" customHeight="false" outlineLevel="0" collapsed="false"/>
    <row r="148" customFormat="false" ht="13.5" hidden="false" customHeight="false" outlineLevel="0" collapsed="false"/>
    <row r="149" customFormat="false" ht="13.5" hidden="false" customHeight="false" outlineLevel="0" collapsed="false"/>
    <row r="150" customFormat="false" ht="13.5" hidden="false" customHeight="false" outlineLevel="0" collapsed="false"/>
    <row r="151" customFormat="false" ht="13.5" hidden="false" customHeight="false" outlineLevel="0" collapsed="false"/>
    <row r="152" customFormat="false" ht="13.5" hidden="false" customHeight="false" outlineLevel="0" collapsed="false"/>
    <row r="153" customFormat="false" ht="13.5" hidden="false" customHeight="false" outlineLevel="0" collapsed="false"/>
    <row r="154" customFormat="false" ht="13.5" hidden="false" customHeight="false" outlineLevel="0" collapsed="false"/>
    <row r="155" customFormat="false" ht="13.5" hidden="false" customHeight="false" outlineLevel="0" collapsed="false"/>
    <row r="156" customFormat="false" ht="13.5" hidden="false" customHeight="false" outlineLevel="0" collapsed="false"/>
    <row r="157" customFormat="false" ht="13.5" hidden="false" customHeight="false" outlineLevel="0" collapsed="false"/>
    <row r="158" customFormat="false" ht="13.5" hidden="false" customHeight="false" outlineLevel="0" collapsed="false"/>
    <row r="159" customFormat="false" ht="13.5" hidden="false" customHeight="false" outlineLevel="0" collapsed="false"/>
    <row r="160" customFormat="false" ht="13.5" hidden="false" customHeight="false" outlineLevel="0" collapsed="false"/>
    <row r="161" customFormat="false" ht="13.5" hidden="false" customHeight="false" outlineLevel="0" collapsed="false"/>
    <row r="162" customFormat="false" ht="13.5" hidden="false" customHeight="false" outlineLevel="0" collapsed="false"/>
    <row r="163" customFormat="false" ht="13.5" hidden="false" customHeight="false" outlineLevel="0" collapsed="false"/>
    <row r="164" customFormat="false" ht="13.5" hidden="false" customHeight="false" outlineLevel="0" collapsed="false"/>
    <row r="165" customFormat="false" ht="13.5" hidden="false" customHeight="false" outlineLevel="0" collapsed="false"/>
    <row r="166" customFormat="false" ht="13.5" hidden="false" customHeight="false" outlineLevel="0" collapsed="false"/>
    <row r="167" customFormat="false" ht="13.5" hidden="false" customHeight="false" outlineLevel="0" collapsed="false"/>
    <row r="168" customFormat="false" ht="13.5" hidden="false" customHeight="false" outlineLevel="0" collapsed="false"/>
    <row r="169" customFormat="false" ht="13.5" hidden="false" customHeight="false" outlineLevel="0" collapsed="false"/>
    <row r="170" customFormat="false" ht="13.5" hidden="false" customHeight="false" outlineLevel="0" collapsed="false"/>
    <row r="171" customFormat="false" ht="13.5" hidden="false" customHeight="false" outlineLevel="0" collapsed="false"/>
    <row r="172" customFormat="false" ht="13.5" hidden="false" customHeight="false" outlineLevel="0" collapsed="false"/>
    <row r="173" customFormat="false" ht="13.5" hidden="false" customHeight="false" outlineLevel="0" collapsed="false"/>
    <row r="174" customFormat="false" ht="13.5" hidden="false" customHeight="false" outlineLevel="0" collapsed="false"/>
    <row r="175" customFormat="false" ht="13.5" hidden="false" customHeight="false" outlineLevel="0" collapsed="false"/>
    <row r="176" customFormat="false" ht="13.5" hidden="false" customHeight="false" outlineLevel="0" collapsed="false"/>
    <row r="177" customFormat="false" ht="13.5" hidden="false" customHeight="false" outlineLevel="0" collapsed="false"/>
    <row r="178" customFormat="false" ht="13.5" hidden="false" customHeight="false" outlineLevel="0" collapsed="false"/>
    <row r="179" customFormat="false" ht="13.5" hidden="false" customHeight="false" outlineLevel="0" collapsed="false"/>
    <row r="180" customFormat="false" ht="13.5" hidden="false" customHeight="false" outlineLevel="0" collapsed="false"/>
    <row r="181" customFormat="false" ht="13.5" hidden="false" customHeight="false" outlineLevel="0" collapsed="false"/>
    <row r="182" customFormat="false" ht="13.5" hidden="false" customHeight="false" outlineLevel="0" collapsed="false"/>
    <row r="183" customFormat="false" ht="13.5" hidden="false" customHeight="false" outlineLevel="0" collapsed="false"/>
    <row r="184" customFormat="false" ht="13.5" hidden="false" customHeight="false" outlineLevel="0" collapsed="false"/>
    <row r="185" customFormat="false" ht="13.5" hidden="false" customHeight="false" outlineLevel="0" collapsed="false"/>
    <row r="186" customFormat="false" ht="13.5" hidden="false" customHeight="false" outlineLevel="0" collapsed="false"/>
    <row r="187" customFormat="false" ht="13.5" hidden="false" customHeight="false" outlineLevel="0" collapsed="false"/>
    <row r="188" customFormat="false" ht="13.5" hidden="false" customHeight="false" outlineLevel="0" collapsed="false"/>
    <row r="189" customFormat="false" ht="13.5" hidden="false" customHeight="false" outlineLevel="0" collapsed="false"/>
    <row r="190" customFormat="false" ht="13.5" hidden="false" customHeight="false" outlineLevel="0" collapsed="false"/>
    <row r="191" customFormat="false" ht="13.5" hidden="false" customHeight="false" outlineLevel="0" collapsed="false"/>
    <row r="192" customFormat="false" ht="13.5" hidden="false" customHeight="false" outlineLevel="0" collapsed="false"/>
    <row r="193" customFormat="false" ht="13.5" hidden="false" customHeight="false" outlineLevel="0" collapsed="false"/>
    <row r="194" customFormat="false" ht="13.5" hidden="false" customHeight="false" outlineLevel="0" collapsed="false"/>
    <row r="195" customFormat="false" ht="13.5" hidden="false" customHeight="false" outlineLevel="0" collapsed="false"/>
    <row r="196" customFormat="false" ht="13.5" hidden="false" customHeight="false" outlineLevel="0" collapsed="false"/>
    <row r="197" customFormat="false" ht="13.5" hidden="false" customHeight="false" outlineLevel="0" collapsed="false"/>
    <row r="198" customFormat="false" ht="13.5" hidden="false" customHeight="false" outlineLevel="0" collapsed="false"/>
    <row r="199" customFormat="false" ht="13.5" hidden="false" customHeight="false" outlineLevel="0" collapsed="false"/>
    <row r="200" customFormat="false" ht="13.5" hidden="false" customHeight="false" outlineLevel="0" collapsed="false"/>
    <row r="201" customFormat="false" ht="13.5" hidden="false" customHeight="false" outlineLevel="0" collapsed="false"/>
    <row r="202" customFormat="false" ht="13.5" hidden="false" customHeight="false" outlineLevel="0" collapsed="false"/>
    <row r="203" customFormat="false" ht="13.5" hidden="false" customHeight="false" outlineLevel="0" collapsed="false"/>
    <row r="204" customFormat="false" ht="13.5" hidden="false" customHeight="false" outlineLevel="0" collapsed="false"/>
    <row r="205" customFormat="false" ht="13.5" hidden="false" customHeight="false" outlineLevel="0" collapsed="false"/>
    <row r="206" customFormat="false" ht="13.5" hidden="false" customHeight="false" outlineLevel="0" collapsed="false"/>
    <row r="207" customFormat="false" ht="13.5" hidden="false" customHeight="false" outlineLevel="0" collapsed="false"/>
    <row r="208" customFormat="false" ht="13.5" hidden="false" customHeight="false" outlineLevel="0" collapsed="false"/>
    <row r="209" customFormat="false" ht="13.5" hidden="false" customHeight="false" outlineLevel="0" collapsed="false"/>
    <row r="210" customFormat="false" ht="13.5" hidden="false" customHeight="false" outlineLevel="0" collapsed="false"/>
    <row r="211" customFormat="false" ht="13.5" hidden="false" customHeight="false" outlineLevel="0" collapsed="false"/>
    <row r="212" customFormat="false" ht="13.5" hidden="false" customHeight="false" outlineLevel="0" collapsed="false"/>
    <row r="213" customFormat="false" ht="13.5" hidden="false" customHeight="false" outlineLevel="0" collapsed="false"/>
    <row r="214" customFormat="false" ht="13.5" hidden="false" customHeight="false" outlineLevel="0" collapsed="false"/>
    <row r="215" customFormat="false" ht="13.5" hidden="false" customHeight="false" outlineLevel="0" collapsed="false"/>
    <row r="216" customFormat="false" ht="13.5" hidden="false" customHeight="false" outlineLevel="0" collapsed="false"/>
    <row r="217" customFormat="false" ht="13.5" hidden="false" customHeight="false" outlineLevel="0" collapsed="false"/>
    <row r="218" customFormat="false" ht="13.5" hidden="false" customHeight="false" outlineLevel="0" collapsed="false"/>
    <row r="219" customFormat="false" ht="13.5" hidden="false" customHeight="false" outlineLevel="0" collapsed="false"/>
    <row r="220" customFormat="false" ht="13.5" hidden="false" customHeight="false" outlineLevel="0" collapsed="false"/>
    <row r="221" customFormat="false" ht="13.5" hidden="false" customHeight="false" outlineLevel="0" collapsed="false"/>
    <row r="222" customFormat="false" ht="13.5" hidden="false" customHeight="false" outlineLevel="0" collapsed="false"/>
    <row r="223" customFormat="false" ht="13.5" hidden="false" customHeight="false" outlineLevel="0" collapsed="false"/>
    <row r="224" customFormat="false" ht="13.5" hidden="false" customHeight="false" outlineLevel="0" collapsed="false"/>
    <row r="225" customFormat="false" ht="13.5" hidden="false" customHeight="false" outlineLevel="0" collapsed="false"/>
    <row r="226" customFormat="false" ht="13.5" hidden="false" customHeight="false" outlineLevel="0" collapsed="false"/>
    <row r="227" customFormat="false" ht="13.5" hidden="false" customHeight="false" outlineLevel="0" collapsed="false"/>
    <row r="228" customFormat="false" ht="13.5" hidden="false" customHeight="false" outlineLevel="0" collapsed="false"/>
    <row r="229" customFormat="false" ht="13.5" hidden="false" customHeight="false" outlineLevel="0" collapsed="false"/>
    <row r="230" customFormat="false" ht="13.5" hidden="false" customHeight="false" outlineLevel="0" collapsed="false"/>
    <row r="231" customFormat="false" ht="13.5" hidden="false" customHeight="false" outlineLevel="0" collapsed="false"/>
    <row r="232" customFormat="false" ht="13.5" hidden="false" customHeight="false" outlineLevel="0" collapsed="false"/>
    <row r="233" customFormat="false" ht="13.5" hidden="false" customHeight="false" outlineLevel="0" collapsed="false"/>
    <row r="234" customFormat="false" ht="13.5" hidden="false" customHeight="false" outlineLevel="0" collapsed="false"/>
    <row r="235" customFormat="false" ht="13.5" hidden="false" customHeight="false" outlineLevel="0" collapsed="false"/>
    <row r="236" customFormat="false" ht="13.5" hidden="false" customHeight="false" outlineLevel="0" collapsed="false"/>
    <row r="237" customFormat="false" ht="13.5" hidden="false" customHeight="false" outlineLevel="0" collapsed="false"/>
    <row r="238" customFormat="false" ht="13.5" hidden="false" customHeight="false" outlineLevel="0" collapsed="false"/>
    <row r="239" customFormat="false" ht="13.5" hidden="false" customHeight="false" outlineLevel="0" collapsed="false"/>
    <row r="240" customFormat="false" ht="13.5" hidden="false" customHeight="false" outlineLevel="0" collapsed="false"/>
    <row r="241" customFormat="false" ht="13.5" hidden="false" customHeight="false" outlineLevel="0" collapsed="false"/>
    <row r="242" customFormat="false" ht="13.5" hidden="false" customHeight="false" outlineLevel="0" collapsed="false"/>
    <row r="243" customFormat="false" ht="13.5" hidden="false" customHeight="false" outlineLevel="0" collapsed="false"/>
    <row r="244" customFormat="false" ht="13.5" hidden="false" customHeight="false" outlineLevel="0" collapsed="false"/>
    <row r="245" customFormat="false" ht="13.5" hidden="false" customHeight="false" outlineLevel="0" collapsed="false"/>
    <row r="246" customFormat="false" ht="13.5" hidden="false" customHeight="false" outlineLevel="0" collapsed="false"/>
    <row r="247" customFormat="false" ht="13.5" hidden="false" customHeight="false" outlineLevel="0" collapsed="false"/>
    <row r="248" customFormat="false" ht="13.5" hidden="false" customHeight="false" outlineLevel="0" collapsed="false"/>
    <row r="249" customFormat="false" ht="13.5" hidden="false" customHeight="false" outlineLevel="0" collapsed="false"/>
    <row r="250" customFormat="false" ht="13.5" hidden="false" customHeight="false" outlineLevel="0" collapsed="false"/>
    <row r="251" customFormat="false" ht="13.5" hidden="false" customHeight="false" outlineLevel="0" collapsed="false"/>
    <row r="252" customFormat="false" ht="13.5" hidden="false" customHeight="false" outlineLevel="0" collapsed="false"/>
    <row r="253" customFormat="false" ht="13.5" hidden="false" customHeight="false" outlineLevel="0" collapsed="false"/>
    <row r="254" customFormat="false" ht="13.5" hidden="false" customHeight="false" outlineLevel="0" collapsed="false"/>
    <row r="255" customFormat="false" ht="13.5" hidden="false" customHeight="false" outlineLevel="0" collapsed="false"/>
    <row r="256" customFormat="false" ht="13.5" hidden="false" customHeight="false" outlineLevel="0" collapsed="false"/>
    <row r="257" customFormat="false" ht="13.5" hidden="false" customHeight="false" outlineLevel="0" collapsed="false"/>
    <row r="258" customFormat="false" ht="13.5" hidden="false" customHeight="false" outlineLevel="0" collapsed="false"/>
    <row r="259" customFormat="false" ht="13.5" hidden="false" customHeight="false" outlineLevel="0" collapsed="false"/>
    <row r="260" customFormat="false" ht="13.5" hidden="false" customHeight="false" outlineLevel="0" collapsed="false"/>
    <row r="261" customFormat="false" ht="13.5" hidden="false" customHeight="false" outlineLevel="0" collapsed="false"/>
    <row r="262" customFormat="false" ht="13.5" hidden="false" customHeight="false" outlineLevel="0" collapsed="false"/>
    <row r="263" customFormat="false" ht="13.5" hidden="false" customHeight="false" outlineLevel="0" collapsed="false"/>
    <row r="264" customFormat="false" ht="13.5" hidden="false" customHeight="false" outlineLevel="0" collapsed="false"/>
    <row r="265" customFormat="false" ht="13.5" hidden="false" customHeight="false" outlineLevel="0" collapsed="false"/>
    <row r="266" customFormat="false" ht="13.5" hidden="false" customHeight="false" outlineLevel="0" collapsed="false"/>
    <row r="267" customFormat="false" ht="13.5" hidden="false" customHeight="false" outlineLevel="0" collapsed="false"/>
    <row r="268" customFormat="false" ht="13.5" hidden="false" customHeight="false" outlineLevel="0" collapsed="false"/>
    <row r="269" customFormat="false" ht="13.5" hidden="false" customHeight="false" outlineLevel="0" collapsed="false"/>
    <row r="270" customFormat="false" ht="13.5" hidden="false" customHeight="false" outlineLevel="0" collapsed="false"/>
    <row r="271" customFormat="false" ht="13.5" hidden="false" customHeight="false" outlineLevel="0" collapsed="false"/>
    <row r="272" customFormat="false" ht="13.5" hidden="false" customHeight="false" outlineLevel="0" collapsed="false"/>
    <row r="273" customFormat="false" ht="13.5" hidden="false" customHeight="false" outlineLevel="0" collapsed="false"/>
    <row r="274" customFormat="false" ht="13.5" hidden="false" customHeight="false" outlineLevel="0" collapsed="false"/>
    <row r="275" customFormat="false" ht="13.5" hidden="false" customHeight="false" outlineLevel="0" collapsed="false"/>
    <row r="276" customFormat="false" ht="13.5" hidden="false" customHeight="false" outlineLevel="0" collapsed="false"/>
    <row r="277" customFormat="false" ht="13.5" hidden="false" customHeight="false" outlineLevel="0" collapsed="false"/>
    <row r="278" customFormat="false" ht="13.5" hidden="false" customHeight="false" outlineLevel="0" collapsed="false"/>
    <row r="279" customFormat="false" ht="13.5" hidden="false" customHeight="false" outlineLevel="0" collapsed="false"/>
    <row r="280" customFormat="false" ht="13.5" hidden="false" customHeight="false" outlineLevel="0" collapsed="false"/>
    <row r="281" customFormat="false" ht="13.5" hidden="false" customHeight="false" outlineLevel="0" collapsed="false"/>
    <row r="282" customFormat="false" ht="13.5" hidden="false" customHeight="false" outlineLevel="0" collapsed="false"/>
    <row r="283" customFormat="false" ht="13.5" hidden="false" customHeight="false" outlineLevel="0" collapsed="false"/>
    <row r="284" customFormat="false" ht="13.5" hidden="false" customHeight="false" outlineLevel="0" collapsed="false"/>
    <row r="285" customFormat="false" ht="13.5" hidden="false" customHeight="false" outlineLevel="0" collapsed="false"/>
    <row r="286" customFormat="false" ht="13.5" hidden="false" customHeight="false" outlineLevel="0" collapsed="false"/>
    <row r="287" customFormat="false" ht="13.5" hidden="false" customHeight="false" outlineLevel="0" collapsed="false"/>
    <row r="288" customFormat="false" ht="13.5" hidden="false" customHeight="false" outlineLevel="0" collapsed="false"/>
    <row r="289" customFormat="false" ht="13.5" hidden="false" customHeight="false" outlineLevel="0" collapsed="false"/>
    <row r="290" customFormat="false" ht="13.5" hidden="false" customHeight="false" outlineLevel="0" collapsed="false"/>
    <row r="291" customFormat="false" ht="13.5" hidden="false" customHeight="false" outlineLevel="0" collapsed="false"/>
    <row r="292" customFormat="false" ht="13.5" hidden="false" customHeight="false" outlineLevel="0" collapsed="false"/>
    <row r="293" customFormat="false" ht="13.5" hidden="false" customHeight="false" outlineLevel="0" collapsed="false"/>
    <row r="294" customFormat="false" ht="13.5" hidden="false" customHeight="false" outlineLevel="0" collapsed="false"/>
    <row r="295" customFormat="false" ht="13.5" hidden="false" customHeight="false" outlineLevel="0" collapsed="false"/>
    <row r="296" customFormat="false" ht="13.5" hidden="false" customHeight="false" outlineLevel="0" collapsed="false"/>
    <row r="297" customFormat="false" ht="13.5" hidden="false" customHeight="false" outlineLevel="0" collapsed="false"/>
    <row r="298" customFormat="false" ht="13.5" hidden="false" customHeight="false" outlineLevel="0" collapsed="false"/>
    <row r="299" customFormat="false" ht="13.5" hidden="false" customHeight="false" outlineLevel="0" collapsed="false"/>
    <row r="300" customFormat="false" ht="13.5" hidden="false" customHeight="false" outlineLevel="0" collapsed="false"/>
    <row r="301" customFormat="false" ht="13.5" hidden="false" customHeight="false" outlineLevel="0" collapsed="false"/>
    <row r="302" customFormat="false" ht="13.5" hidden="false" customHeight="false" outlineLevel="0" collapsed="false"/>
    <row r="303" customFormat="false" ht="13.5" hidden="false" customHeight="false" outlineLevel="0" collapsed="false"/>
    <row r="304" customFormat="false" ht="13.5" hidden="false" customHeight="false" outlineLevel="0" collapsed="false"/>
    <row r="305" customFormat="false" ht="13.5" hidden="false" customHeight="false" outlineLevel="0" collapsed="false"/>
    <row r="306" customFormat="false" ht="13.5" hidden="false" customHeight="false" outlineLevel="0" collapsed="false"/>
    <row r="307" customFormat="false" ht="13.5" hidden="false" customHeight="false" outlineLevel="0" collapsed="false"/>
    <row r="308" customFormat="false" ht="13.5" hidden="false" customHeight="false" outlineLevel="0" collapsed="false"/>
    <row r="309" customFormat="false" ht="13.5" hidden="false" customHeight="false" outlineLevel="0" collapsed="false"/>
    <row r="310" customFormat="false" ht="13.5" hidden="false" customHeight="false" outlineLevel="0" collapsed="false"/>
    <row r="311" customFormat="false" ht="13.5" hidden="false" customHeight="false" outlineLevel="0" collapsed="false"/>
    <row r="312" customFormat="false" ht="13.5" hidden="false" customHeight="false" outlineLevel="0" collapsed="false"/>
    <row r="313" customFormat="false" ht="13.5" hidden="false" customHeight="false" outlineLevel="0" collapsed="false"/>
    <row r="314" customFormat="false" ht="13.5" hidden="false" customHeight="false" outlineLevel="0" collapsed="false"/>
    <row r="315" customFormat="false" ht="13.5" hidden="false" customHeight="false" outlineLevel="0" collapsed="false"/>
    <row r="316" customFormat="false" ht="13.5" hidden="false" customHeight="false" outlineLevel="0" collapsed="false"/>
    <row r="317" customFormat="false" ht="13.5" hidden="false" customHeight="false" outlineLevel="0" collapsed="false"/>
    <row r="318" customFormat="false" ht="13.5" hidden="false" customHeight="false" outlineLevel="0" collapsed="false"/>
    <row r="319" customFormat="false" ht="13.5" hidden="false" customHeight="false" outlineLevel="0" collapsed="false"/>
    <row r="320" customFormat="false" ht="13.5" hidden="false" customHeight="false" outlineLevel="0" collapsed="false"/>
    <row r="321" customFormat="false" ht="13.5" hidden="false" customHeight="false" outlineLevel="0" collapsed="false"/>
    <row r="322" customFormat="false" ht="13.5" hidden="false" customHeight="false" outlineLevel="0" collapsed="false"/>
    <row r="323" customFormat="false" ht="13.5" hidden="false" customHeight="false" outlineLevel="0" collapsed="false"/>
    <row r="324" customFormat="false" ht="13.5" hidden="false" customHeight="false" outlineLevel="0" collapsed="false"/>
    <row r="325" customFormat="false" ht="13.5" hidden="false" customHeight="false" outlineLevel="0" collapsed="false"/>
    <row r="326" customFormat="false" ht="13.5" hidden="false" customHeight="false" outlineLevel="0" collapsed="false"/>
    <row r="327" customFormat="false" ht="13.5" hidden="false" customHeight="false" outlineLevel="0" collapsed="false"/>
    <row r="328" customFormat="false" ht="13.5" hidden="false" customHeight="false" outlineLevel="0" collapsed="false"/>
    <row r="329" customFormat="false" ht="13.5" hidden="false" customHeight="false" outlineLevel="0" collapsed="false"/>
    <row r="330" customFormat="false" ht="13.5" hidden="false" customHeight="false" outlineLevel="0" collapsed="false"/>
    <row r="331" customFormat="false" ht="13.5" hidden="false" customHeight="false" outlineLevel="0" collapsed="false"/>
    <row r="332" customFormat="false" ht="13.5" hidden="false" customHeight="false" outlineLevel="0" collapsed="false"/>
    <row r="333" customFormat="false" ht="13.5" hidden="false" customHeight="false" outlineLevel="0" collapsed="false"/>
    <row r="334" customFormat="false" ht="13.5" hidden="false" customHeight="false" outlineLevel="0" collapsed="false"/>
    <row r="335" customFormat="false" ht="13.5" hidden="false" customHeight="false" outlineLevel="0" collapsed="false"/>
    <row r="336" customFormat="false" ht="13.5" hidden="false" customHeight="false" outlineLevel="0" collapsed="false"/>
    <row r="337" customFormat="false" ht="13.5" hidden="false" customHeight="false" outlineLevel="0" collapsed="false"/>
    <row r="338" customFormat="false" ht="13.5" hidden="false" customHeight="false" outlineLevel="0" collapsed="false"/>
    <row r="339" customFormat="false" ht="13.5" hidden="false" customHeight="false" outlineLevel="0" collapsed="false"/>
    <row r="340" customFormat="false" ht="13.5" hidden="false" customHeight="false" outlineLevel="0" collapsed="false"/>
    <row r="341" customFormat="false" ht="13.5" hidden="false" customHeight="false" outlineLevel="0" collapsed="false"/>
    <row r="342" customFormat="false" ht="13.5" hidden="false" customHeight="false" outlineLevel="0" collapsed="false"/>
    <row r="343" customFormat="false" ht="13.5" hidden="false" customHeight="false" outlineLevel="0" collapsed="false"/>
    <row r="344" customFormat="false" ht="13.5" hidden="false" customHeight="false" outlineLevel="0" collapsed="false"/>
    <row r="345" customFormat="false" ht="13.5" hidden="false" customHeight="false" outlineLevel="0" collapsed="false"/>
    <row r="346" customFormat="false" ht="13.5" hidden="false" customHeight="false" outlineLevel="0" collapsed="false"/>
    <row r="347" customFormat="false" ht="13.5" hidden="false" customHeight="false" outlineLevel="0" collapsed="false"/>
    <row r="348" customFormat="false" ht="13.5" hidden="false" customHeight="false" outlineLevel="0" collapsed="false"/>
    <row r="349" customFormat="false" ht="13.5" hidden="false" customHeight="false" outlineLevel="0" collapsed="false"/>
    <row r="350" customFormat="false" ht="13.5" hidden="false" customHeight="false" outlineLevel="0" collapsed="false"/>
    <row r="351" customFormat="false" ht="13.5" hidden="false" customHeight="false" outlineLevel="0" collapsed="false"/>
    <row r="352" customFormat="false" ht="13.5" hidden="false" customHeight="false" outlineLevel="0" collapsed="false"/>
    <row r="353" customFormat="false" ht="13.5" hidden="false" customHeight="false" outlineLevel="0" collapsed="false"/>
    <row r="354" customFormat="false" ht="13.5" hidden="false" customHeight="false" outlineLevel="0" collapsed="false"/>
    <row r="355" customFormat="false" ht="13.5" hidden="false" customHeight="false" outlineLevel="0" collapsed="false"/>
    <row r="356" customFormat="false" ht="13.5" hidden="false" customHeight="false" outlineLevel="0" collapsed="false"/>
    <row r="357" customFormat="false" ht="13.5" hidden="false" customHeight="false" outlineLevel="0" collapsed="false"/>
    <row r="358" customFormat="false" ht="13.5" hidden="false" customHeight="false" outlineLevel="0" collapsed="false"/>
    <row r="359" customFormat="false" ht="13.5" hidden="false" customHeight="false" outlineLevel="0" collapsed="false"/>
    <row r="360" customFormat="false" ht="13.5" hidden="false" customHeight="false" outlineLevel="0" collapsed="false"/>
    <row r="361" customFormat="false" ht="13.5" hidden="false" customHeight="false" outlineLevel="0" collapsed="false"/>
    <row r="362" customFormat="false" ht="13.5" hidden="false" customHeight="false" outlineLevel="0" collapsed="false"/>
    <row r="363" customFormat="false" ht="13.5" hidden="false" customHeight="false" outlineLevel="0" collapsed="false"/>
    <row r="364" customFormat="false" ht="13.5" hidden="false" customHeight="false" outlineLevel="0" collapsed="false"/>
    <row r="365" customFormat="false" ht="13.5" hidden="false" customHeight="false" outlineLevel="0" collapsed="false"/>
    <row r="366" customFormat="false" ht="13.5" hidden="false" customHeight="false" outlineLevel="0" collapsed="false"/>
    <row r="367" customFormat="false" ht="13.5" hidden="false" customHeight="false" outlineLevel="0" collapsed="false"/>
    <row r="368" customFormat="false" ht="13.5" hidden="false" customHeight="false" outlineLevel="0" collapsed="false"/>
    <row r="369" customFormat="false" ht="13.5" hidden="false" customHeight="false" outlineLevel="0" collapsed="false"/>
    <row r="370" customFormat="false" ht="13.5" hidden="false" customHeight="false" outlineLevel="0" collapsed="false"/>
    <row r="371" customFormat="false" ht="13.5" hidden="false" customHeight="false" outlineLevel="0" collapsed="false"/>
    <row r="372" customFormat="false" ht="13.5" hidden="false" customHeight="false" outlineLevel="0" collapsed="false"/>
    <row r="373" customFormat="false" ht="13.5" hidden="false" customHeight="false" outlineLevel="0" collapsed="false"/>
    <row r="374" customFormat="false" ht="13.5" hidden="false" customHeight="false" outlineLevel="0" collapsed="false"/>
    <row r="375" customFormat="false" ht="13.5" hidden="false" customHeight="false" outlineLevel="0" collapsed="false"/>
    <row r="376" customFormat="false" ht="13.5" hidden="false" customHeight="false" outlineLevel="0" collapsed="false"/>
    <row r="377" customFormat="false" ht="13.5" hidden="false" customHeight="false" outlineLevel="0" collapsed="false"/>
    <row r="378" customFormat="false" ht="13.5" hidden="false" customHeight="false" outlineLevel="0" collapsed="false"/>
    <row r="379" customFormat="false" ht="13.5" hidden="false" customHeight="false" outlineLevel="0" collapsed="false"/>
    <row r="380" customFormat="false" ht="13.5" hidden="false" customHeight="false" outlineLevel="0" collapsed="false"/>
    <row r="381" customFormat="false" ht="13.5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C1:E1"/>
    <mergeCell ref="G1:K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2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2" topLeftCell="A51" activePane="bottomLeft" state="frozen"/>
      <selection pane="topLeft" activeCell="A1" activeCellId="0" sqref="A1"/>
      <selection pane="bottomLeft" activeCell="K22" activeCellId="0" sqref="K22"/>
    </sheetView>
  </sheetViews>
  <sheetFormatPr defaultColWidth="8.66796875" defaultRowHeight="13.5" customHeight="false" zeroHeight="true" outlineLevelRow="0" outlineLevelCol="0"/>
  <cols>
    <col collapsed="false" customWidth="true" hidden="false" outlineLevel="0" max="1" min="1" style="20" width="3.56"/>
    <col collapsed="false" customWidth="true" hidden="false" outlineLevel="0" max="2" min="2" style="20" width="53.56"/>
    <col collapsed="false" customWidth="true" hidden="false" outlineLevel="0" max="5" min="3" style="20" width="13.88"/>
    <col collapsed="false" customWidth="true" hidden="false" outlineLevel="0" max="11" min="6" style="20" width="12.56"/>
    <col collapsed="false" customWidth="false" hidden="false" outlineLevel="0" max="16384" min="12" style="20" width="8.67"/>
  </cols>
  <sheetData>
    <row r="1" customFormat="false" ht="36.75" hidden="false" customHeight="true" outlineLevel="0" collapsed="false">
      <c r="A1" s="3" t="s">
        <v>49</v>
      </c>
      <c r="B1" s="4"/>
      <c r="C1" s="5" t="s">
        <v>1</v>
      </c>
      <c r="D1" s="5"/>
      <c r="E1" s="5"/>
      <c r="F1" s="6" t="s">
        <v>2</v>
      </c>
      <c r="G1" s="5" t="s">
        <v>3</v>
      </c>
      <c r="H1" s="5"/>
      <c r="I1" s="5"/>
      <c r="J1" s="5"/>
      <c r="K1" s="5"/>
    </row>
    <row r="2" customFormat="false" ht="13.8" hidden="false" customHeight="false" outlineLevel="0" collapsed="false">
      <c r="A2" s="7" t="s">
        <v>4</v>
      </c>
      <c r="B2" s="8"/>
      <c r="C2" s="9" t="s">
        <v>5</v>
      </c>
      <c r="D2" s="9" t="s">
        <v>6</v>
      </c>
      <c r="E2" s="9" t="s">
        <v>7</v>
      </c>
      <c r="F2" s="9" t="s">
        <v>8</v>
      </c>
      <c r="G2" s="10" t="s">
        <v>9</v>
      </c>
      <c r="H2" s="10" t="s">
        <v>10</v>
      </c>
      <c r="I2" s="10" t="s">
        <v>11</v>
      </c>
      <c r="J2" s="10" t="s">
        <v>12</v>
      </c>
      <c r="K2" s="10" t="s">
        <v>13</v>
      </c>
    </row>
    <row r="3" customFormat="false" ht="13.8" hidden="false" customHeight="false" outlineLevel="0" collapsed="false">
      <c r="A3" s="11"/>
      <c r="B3" s="12"/>
      <c r="C3" s="13"/>
      <c r="D3" s="13"/>
      <c r="E3" s="13"/>
      <c r="F3" s="13"/>
      <c r="G3" s="13"/>
      <c r="H3" s="13"/>
      <c r="I3" s="13"/>
      <c r="J3" s="13"/>
      <c r="K3" s="13"/>
    </row>
    <row r="4" customFormat="false" ht="13.8" hidden="false" customHeight="false" outlineLevel="0" collapsed="false">
      <c r="A4" s="11"/>
      <c r="B4" s="12"/>
      <c r="C4" s="13"/>
      <c r="D4" s="13"/>
      <c r="E4" s="13"/>
      <c r="F4" s="13"/>
      <c r="G4" s="13"/>
      <c r="H4" s="13"/>
      <c r="I4" s="13"/>
      <c r="J4" s="13"/>
      <c r="K4" s="13"/>
    </row>
    <row r="5" customFormat="false" ht="13.5" hidden="false" customHeight="false" outlineLevel="0" collapsed="false">
      <c r="B5" s="14" t="s">
        <v>50</v>
      </c>
      <c r="C5" s="2"/>
      <c r="D5" s="2"/>
      <c r="E5" s="2"/>
      <c r="F5" s="2"/>
    </row>
    <row r="6" customFormat="false" ht="13.5" hidden="false" customHeight="false" outlineLevel="0" collapsed="false">
      <c r="B6" s="54" t="s">
        <v>51</v>
      </c>
      <c r="C6" s="2"/>
      <c r="D6" s="2"/>
      <c r="E6" s="2"/>
      <c r="F6" s="2"/>
    </row>
    <row r="7" customFormat="false" ht="13.5" hidden="false" customHeight="false" outlineLevel="0" collapsed="false">
      <c r="B7" s="16" t="s">
        <v>52</v>
      </c>
      <c r="C7" s="17" t="n">
        <v>1200</v>
      </c>
      <c r="D7" s="17" t="n">
        <v>1300</v>
      </c>
      <c r="E7" s="17" t="n">
        <v>1400</v>
      </c>
      <c r="F7" s="17" t="n">
        <v>3210</v>
      </c>
      <c r="G7" s="31" t="n">
        <f aca="false">'Cash Flow'!F27</f>
        <v>1204.18426164384</v>
      </c>
      <c r="H7" s="31" t="n">
        <f aca="false">'Cash Flow'!G27</f>
        <v>1855.87019890792</v>
      </c>
      <c r="I7" s="31" t="n">
        <f aca="false">'Cash Flow'!H27</f>
        <v>3831.5006764443</v>
      </c>
      <c r="J7" s="31" t="n">
        <f aca="false">'Cash Flow'!I27</f>
        <v>8673.72866492208</v>
      </c>
      <c r="K7" s="31" t="n">
        <f aca="false">'Cash Flow'!J27</f>
        <v>16057.0314809266</v>
      </c>
    </row>
    <row r="8" customFormat="false" ht="13.5" hidden="false" customHeight="false" outlineLevel="0" collapsed="false">
      <c r="B8" s="16" t="s">
        <v>53</v>
      </c>
      <c r="C8" s="17" t="n">
        <v>1440</v>
      </c>
      <c r="D8" s="17" t="n">
        <v>1700</v>
      </c>
      <c r="E8" s="17" t="n">
        <v>1960</v>
      </c>
      <c r="F8" s="17" t="n">
        <v>2050</v>
      </c>
      <c r="G8" s="31" t="n">
        <f aca="false">'Working Capital'!F7</f>
        <v>2394.20821917808</v>
      </c>
      <c r="H8" s="31" t="n">
        <f aca="false">'Working Capital'!G7</f>
        <v>2838.61665753425</v>
      </c>
      <c r="I8" s="31" t="n">
        <f aca="false">'Working Capital'!H7</f>
        <v>3366.09526136986</v>
      </c>
      <c r="J8" s="31" t="n">
        <f aca="false">'Working Capital'!I7</f>
        <v>3992.27382255342</v>
      </c>
      <c r="K8" s="31" t="n">
        <f aca="false">'Working Capital'!J7</f>
        <v>4735.74082114893</v>
      </c>
    </row>
    <row r="9" customFormat="false" ht="13.5" hidden="false" customHeight="false" outlineLevel="0" collapsed="false">
      <c r="B9" s="16" t="s">
        <v>54</v>
      </c>
      <c r="C9" s="17" t="n">
        <f aca="false">2800+300</f>
        <v>3100</v>
      </c>
      <c r="D9" s="17" t="n">
        <f aca="false">3200+360</f>
        <v>3560</v>
      </c>
      <c r="E9" s="17" t="n">
        <f aca="false">3600+400</f>
        <v>4000</v>
      </c>
      <c r="F9" s="17" t="n">
        <v>4150</v>
      </c>
      <c r="G9" s="31" t="n">
        <f aca="false">'Working Capital'!F8</f>
        <v>4354.71342465753</v>
      </c>
      <c r="H9" s="31" t="n">
        <f aca="false">'Working Capital'!G8</f>
        <v>5163.33992328767</v>
      </c>
      <c r="I9" s="31" t="n">
        <f aca="false">'Working Capital'!H8</f>
        <v>6123.18669852055</v>
      </c>
      <c r="J9" s="31" t="n">
        <f aca="false">'Working Capital'!I8</f>
        <v>7262.72080398027</v>
      </c>
      <c r="K9" s="31" t="n">
        <f aca="false">'Working Capital'!J8</f>
        <v>8615.80106810494</v>
      </c>
    </row>
    <row r="10" customFormat="false" ht="13.5" hidden="false" customHeight="false" outlineLevel="0" collapsed="false">
      <c r="B10" s="55" t="s">
        <v>55</v>
      </c>
      <c r="C10" s="56" t="n">
        <f aca="false">SUM(C7:C9)</f>
        <v>5740</v>
      </c>
      <c r="D10" s="56" t="n">
        <f aca="false">SUM(D7:D9)</f>
        <v>6560</v>
      </c>
      <c r="E10" s="56" t="n">
        <f aca="false">SUM(E7:E9)</f>
        <v>7360</v>
      </c>
      <c r="F10" s="56" t="n">
        <f aca="false">SUM(F7:F9)</f>
        <v>9410</v>
      </c>
      <c r="G10" s="56" t="n">
        <f aca="false">SUM(G7:G9)</f>
        <v>7953.10590547945</v>
      </c>
      <c r="H10" s="56" t="n">
        <f aca="false">SUM(H7:H9)</f>
        <v>9857.82677972984</v>
      </c>
      <c r="I10" s="56" t="n">
        <f aca="false">SUM(I7:I9)</f>
        <v>13320.7826363347</v>
      </c>
      <c r="J10" s="56" t="n">
        <f aca="false">SUM(J7:J9)</f>
        <v>19928.7232914558</v>
      </c>
      <c r="K10" s="56" t="n">
        <f aca="false">SUM(K7:K9)</f>
        <v>29408.5733701805</v>
      </c>
    </row>
    <row r="11" customFormat="false" ht="13.5" hidden="false" customHeight="false" outlineLevel="0" collapsed="false">
      <c r="B11" s="57"/>
      <c r="C11" s="58"/>
      <c r="D11" s="58"/>
      <c r="E11" s="58"/>
      <c r="F11" s="58"/>
      <c r="G11" s="58"/>
      <c r="H11" s="58"/>
      <c r="I11" s="58"/>
      <c r="J11" s="58"/>
      <c r="K11" s="58"/>
    </row>
    <row r="12" customFormat="false" ht="13.5" hidden="false" customHeight="false" outlineLevel="0" collapsed="false">
      <c r="B12" s="54" t="s">
        <v>56</v>
      </c>
      <c r="C12" s="25"/>
      <c r="D12" s="25"/>
      <c r="E12" s="25"/>
      <c r="F12" s="25"/>
      <c r="G12" s="25"/>
      <c r="H12" s="25"/>
      <c r="I12" s="25"/>
      <c r="J12" s="25"/>
      <c r="K12" s="25"/>
    </row>
    <row r="13" customFormat="false" ht="13.5" hidden="false" customHeight="false" outlineLevel="0" collapsed="false">
      <c r="B13" s="57" t="s">
        <v>57</v>
      </c>
      <c r="C13" s="17" t="n">
        <v>24800</v>
      </c>
      <c r="D13" s="17" t="n">
        <v>28100</v>
      </c>
      <c r="E13" s="17" t="n">
        <v>31400</v>
      </c>
      <c r="F13" s="17" t="n">
        <v>31800</v>
      </c>
      <c r="G13" s="59" t="n">
        <f aca="false">'Dep Capex'!F13</f>
        <v>39330.27</v>
      </c>
      <c r="H13" s="59" t="n">
        <f aca="false">'Dep Capex'!G13</f>
        <v>48376.3606</v>
      </c>
      <c r="I13" s="59" t="n">
        <f aca="false">'Dep Capex'!H13</f>
        <v>58466.459828</v>
      </c>
      <c r="J13" s="59" t="n">
        <f aca="false">'Dep Capex'!I13</f>
        <v>68515.24416824</v>
      </c>
      <c r="K13" s="59" t="n">
        <f aca="false">'Dep Capex'!J13</f>
        <v>79421.3208531152</v>
      </c>
    </row>
    <row r="14" customFormat="false" ht="13.5" hidden="false" customHeight="false" outlineLevel="0" collapsed="false">
      <c r="B14" s="57"/>
      <c r="C14" s="60"/>
      <c r="D14" s="60"/>
      <c r="E14" s="60"/>
      <c r="F14" s="60"/>
      <c r="G14" s="60"/>
      <c r="H14" s="60"/>
      <c r="I14" s="60"/>
      <c r="J14" s="60"/>
      <c r="K14" s="60"/>
    </row>
    <row r="15" customFormat="false" ht="13.5" hidden="false" customHeight="false" outlineLevel="0" collapsed="false">
      <c r="B15" s="54" t="s">
        <v>58</v>
      </c>
      <c r="C15" s="25"/>
      <c r="D15" s="25"/>
      <c r="E15" s="25"/>
      <c r="F15" s="25"/>
      <c r="G15" s="25"/>
      <c r="H15" s="25"/>
      <c r="I15" s="25"/>
      <c r="J15" s="25"/>
      <c r="K15" s="25"/>
    </row>
    <row r="16" customFormat="false" ht="13.5" hidden="false" customHeight="false" outlineLevel="0" collapsed="false">
      <c r="B16" s="16" t="s">
        <v>59</v>
      </c>
      <c r="C16" s="17" t="n">
        <v>1800</v>
      </c>
      <c r="D16" s="17" t="n">
        <v>2100</v>
      </c>
      <c r="E16" s="17" t="n">
        <v>2400</v>
      </c>
      <c r="F16" s="17" t="n">
        <v>2400</v>
      </c>
      <c r="G16" s="18" t="n">
        <f aca="false">E16</f>
        <v>2400</v>
      </c>
      <c r="H16" s="18" t="n">
        <f aca="false">G16</f>
        <v>2400</v>
      </c>
      <c r="I16" s="18" t="n">
        <f aca="false">H16</f>
        <v>2400</v>
      </c>
      <c r="J16" s="18" t="n">
        <f aca="false">I16</f>
        <v>2400</v>
      </c>
      <c r="K16" s="18" t="n">
        <f aca="false">J16</f>
        <v>2400</v>
      </c>
    </row>
    <row r="17" customFormat="false" ht="13.5" hidden="false" customHeight="false" outlineLevel="0" collapsed="false">
      <c r="B17" s="16" t="s">
        <v>60</v>
      </c>
      <c r="C17" s="17" t="n">
        <v>0</v>
      </c>
      <c r="D17" s="17" t="n">
        <v>0</v>
      </c>
      <c r="E17" s="17" t="n">
        <v>0</v>
      </c>
      <c r="F17" s="17" t="n">
        <v>0</v>
      </c>
      <c r="G17" s="31" t="n">
        <v>0</v>
      </c>
      <c r="H17" s="31" t="n">
        <v>0</v>
      </c>
      <c r="I17" s="31" t="n">
        <v>0</v>
      </c>
      <c r="J17" s="31" t="n">
        <v>0</v>
      </c>
      <c r="K17" s="31" t="n">
        <v>0</v>
      </c>
    </row>
    <row r="18" customFormat="false" ht="13.5" hidden="false" customHeight="false" outlineLevel="0" collapsed="false">
      <c r="B18" s="55" t="s">
        <v>61</v>
      </c>
      <c r="C18" s="56" t="n">
        <f aca="false">SUM(C16:C17)</f>
        <v>1800</v>
      </c>
      <c r="D18" s="56" t="n">
        <f aca="false">SUM(D16:D17)</f>
        <v>2100</v>
      </c>
      <c r="E18" s="56" t="n">
        <f aca="false">SUM(E16:E17)</f>
        <v>2400</v>
      </c>
      <c r="F18" s="56" t="n">
        <f aca="false">SUM(F16:F17)</f>
        <v>2400</v>
      </c>
      <c r="G18" s="56" t="n">
        <f aca="false">SUM(G16:G17)</f>
        <v>2400</v>
      </c>
      <c r="H18" s="56" t="n">
        <f aca="false">SUM(H16:H17)</f>
        <v>2400</v>
      </c>
      <c r="I18" s="56" t="n">
        <f aca="false">SUM(I16:I17)</f>
        <v>2400</v>
      </c>
      <c r="J18" s="56" t="n">
        <f aca="false">SUM(J16:J17)</f>
        <v>2400</v>
      </c>
      <c r="K18" s="56" t="n">
        <f aca="false">SUM(K16:K17)</f>
        <v>2400</v>
      </c>
    </row>
    <row r="19" customFormat="false" ht="13.5" hidden="false" customHeight="false" outlineLevel="0" collapsed="false">
      <c r="B19" s="57"/>
      <c r="C19" s="60"/>
      <c r="D19" s="60"/>
      <c r="E19" s="60"/>
      <c r="F19" s="60"/>
      <c r="G19" s="60"/>
      <c r="H19" s="60"/>
      <c r="I19" s="60"/>
      <c r="J19" s="60"/>
      <c r="K19" s="60"/>
    </row>
    <row r="20" customFormat="false" ht="14.15" hidden="false" customHeight="false" outlineLevel="0" collapsed="false">
      <c r="B20" s="61" t="s">
        <v>62</v>
      </c>
      <c r="C20" s="62" t="n">
        <f aca="false">C10+C13+C18</f>
        <v>32340</v>
      </c>
      <c r="D20" s="62" t="n">
        <f aca="false">D10+D13+D18</f>
        <v>36760</v>
      </c>
      <c r="E20" s="62" t="n">
        <f aca="false">E10+E13+E18</f>
        <v>41160</v>
      </c>
      <c r="F20" s="62" t="n">
        <f aca="false">F10+F13+F18</f>
        <v>43610</v>
      </c>
      <c r="G20" s="62" t="n">
        <f aca="false">G10+G13+G18</f>
        <v>49683.3759054795</v>
      </c>
      <c r="H20" s="62" t="n">
        <f aca="false">H10+H13+H18</f>
        <v>60634.1873797298</v>
      </c>
      <c r="I20" s="62" t="n">
        <f aca="false">I10+I13+I18</f>
        <v>74187.2424643347</v>
      </c>
      <c r="J20" s="62" t="n">
        <f aca="false">J10+J13+J18</f>
        <v>90843.9674596958</v>
      </c>
      <c r="K20" s="62" t="n">
        <f aca="false">K10+K13+K18</f>
        <v>111229.894223296</v>
      </c>
    </row>
    <row r="21" customFormat="false" ht="13.8" hidden="false" customHeight="false" outlineLevel="0" collapsed="false">
      <c r="B21" s="16"/>
      <c r="C21" s="63"/>
      <c r="D21" s="63"/>
      <c r="E21" s="63"/>
      <c r="F21" s="63"/>
      <c r="G21" s="63"/>
      <c r="H21" s="63"/>
      <c r="I21" s="63"/>
      <c r="J21" s="63"/>
      <c r="K21" s="63"/>
    </row>
    <row r="22" customFormat="false" ht="13.5" hidden="false" customHeight="false" outlineLevel="0" collapsed="false">
      <c r="B22" s="14" t="s">
        <v>63</v>
      </c>
      <c r="C22" s="25"/>
      <c r="D22" s="25"/>
      <c r="E22" s="25"/>
      <c r="F22" s="25"/>
      <c r="G22" s="25"/>
      <c r="H22" s="25"/>
      <c r="I22" s="25"/>
      <c r="J22" s="25"/>
      <c r="K22" s="25"/>
    </row>
    <row r="23" customFormat="false" ht="13.5" hidden="false" customHeight="false" outlineLevel="0" collapsed="false">
      <c r="B23" s="54" t="s">
        <v>64</v>
      </c>
      <c r="C23" s="25"/>
      <c r="D23" s="25"/>
      <c r="E23" s="25"/>
      <c r="F23" s="25"/>
      <c r="G23" s="25"/>
      <c r="H23" s="25"/>
      <c r="I23" s="25"/>
      <c r="J23" s="25"/>
      <c r="K23" s="25"/>
    </row>
    <row r="24" customFormat="false" ht="13.5" hidden="false" customHeight="false" outlineLevel="0" collapsed="false">
      <c r="B24" s="16" t="s">
        <v>65</v>
      </c>
      <c r="C24" s="17" t="n">
        <f aca="false">1800+400</f>
        <v>2200</v>
      </c>
      <c r="D24" s="17" t="n">
        <f aca="false">2000+480</f>
        <v>2480</v>
      </c>
      <c r="E24" s="17" t="n">
        <f aca="false">2200+560</f>
        <v>2760</v>
      </c>
      <c r="F24" s="17" t="n">
        <v>2700</v>
      </c>
      <c r="G24" s="31" t="n">
        <f aca="false">'Working Capital'!F9</f>
        <v>2986.08920547945</v>
      </c>
      <c r="H24" s="31" t="n">
        <f aca="false">'Working Capital'!G9</f>
        <v>3540.57594739726</v>
      </c>
      <c r="I24" s="31" t="n">
        <f aca="false">'Working Capital'!H9</f>
        <v>4198.75659327123</v>
      </c>
      <c r="J24" s="31" t="n">
        <f aca="false">'Working Capital'!I9</f>
        <v>4980.15140844362</v>
      </c>
      <c r="K24" s="31" t="n">
        <f aca="false">'Working Capital'!J9</f>
        <v>5907.97787527196</v>
      </c>
    </row>
    <row r="25" customFormat="false" ht="13.5" hidden="false" customHeight="false" outlineLevel="0" collapsed="false">
      <c r="B25" s="16" t="s">
        <v>66</v>
      </c>
      <c r="C25" s="17"/>
      <c r="D25" s="17"/>
      <c r="E25" s="17"/>
      <c r="F25" s="17" t="n">
        <v>380</v>
      </c>
      <c r="G25" s="31"/>
      <c r="H25" s="31"/>
      <c r="I25" s="31"/>
      <c r="J25" s="31"/>
      <c r="K25" s="31"/>
    </row>
    <row r="26" customFormat="false" ht="13.5" hidden="false" customHeight="false" outlineLevel="0" collapsed="false">
      <c r="B26" s="55" t="s">
        <v>67</v>
      </c>
      <c r="C26" s="64" t="n">
        <f aca="false">SUM(C24:C25)</f>
        <v>2200</v>
      </c>
      <c r="D26" s="64" t="n">
        <f aca="false">SUM(D24:D25)</f>
        <v>2480</v>
      </c>
      <c r="E26" s="64" t="n">
        <f aca="false">SUM(E24:E25)</f>
        <v>2760</v>
      </c>
      <c r="F26" s="64" t="n">
        <f aca="false">SUM(F24:F25)</f>
        <v>3080</v>
      </c>
      <c r="G26" s="64" t="n">
        <f aca="false">SUM(G24:G25)</f>
        <v>2986.08920547945</v>
      </c>
      <c r="H26" s="64" t="n">
        <f aca="false">SUM(H24:H25)</f>
        <v>3540.57594739726</v>
      </c>
      <c r="I26" s="64" t="n">
        <f aca="false">SUM(I24:I25)</f>
        <v>4198.75659327123</v>
      </c>
      <c r="J26" s="64" t="n">
        <f aca="false">SUM(J24:J25)</f>
        <v>4980.15140844362</v>
      </c>
      <c r="K26" s="64" t="n">
        <f aca="false">SUM(K24:K25)</f>
        <v>5907.97787527196</v>
      </c>
    </row>
    <row r="27" customFormat="false" ht="13.5" hidden="false" customHeight="false" outlineLevel="0" collapsed="false">
      <c r="B27" s="57"/>
      <c r="C27" s="65"/>
      <c r="D27" s="65"/>
      <c r="E27" s="65"/>
      <c r="F27" s="65"/>
      <c r="G27" s="65"/>
      <c r="H27" s="65"/>
      <c r="I27" s="65"/>
      <c r="J27" s="65"/>
      <c r="K27" s="65"/>
    </row>
    <row r="28" customFormat="false" ht="13.5" hidden="false" customHeight="false" outlineLevel="0" collapsed="false">
      <c r="B28" s="33" t="s">
        <v>68</v>
      </c>
      <c r="C28" s="17" t="n">
        <v>21000</v>
      </c>
      <c r="D28" s="17" t="n">
        <v>23100</v>
      </c>
      <c r="E28" s="17" t="n">
        <v>25200</v>
      </c>
      <c r="F28" s="17" t="n">
        <v>24900</v>
      </c>
      <c r="G28" s="31" t="n">
        <f aca="false">Debt!F10</f>
        <v>24200</v>
      </c>
      <c r="H28" s="31" t="n">
        <f aca="false">Debt!G10</f>
        <v>23200</v>
      </c>
      <c r="I28" s="31" t="n">
        <f aca="false">Debt!H10</f>
        <v>22200</v>
      </c>
      <c r="J28" s="31" t="n">
        <f aca="false">Debt!I10</f>
        <v>21200</v>
      </c>
      <c r="K28" s="31" t="n">
        <f aca="false">Debt!J10</f>
        <v>20200</v>
      </c>
    </row>
    <row r="29" customFormat="false" ht="13.5" hidden="false" customHeight="false" outlineLevel="0" collapsed="false">
      <c r="B29" s="66" t="s">
        <v>69</v>
      </c>
      <c r="C29" s="64" t="n">
        <f aca="false">SUM(C28)</f>
        <v>21000</v>
      </c>
      <c r="D29" s="64" t="n">
        <f aca="false">SUM(D28)</f>
        <v>23100</v>
      </c>
      <c r="E29" s="64" t="n">
        <f aca="false">SUM(E28)</f>
        <v>25200</v>
      </c>
      <c r="F29" s="64" t="n">
        <f aca="false">SUM(F28)</f>
        <v>24900</v>
      </c>
      <c r="G29" s="64" t="n">
        <f aca="false">SUM(G28)</f>
        <v>24200</v>
      </c>
      <c r="H29" s="64" t="n">
        <f aca="false">SUM(H28)</f>
        <v>23200</v>
      </c>
      <c r="I29" s="64" t="n">
        <f aca="false">SUM(I28)</f>
        <v>22200</v>
      </c>
      <c r="J29" s="64" t="n">
        <f aca="false">SUM(J28)</f>
        <v>21200</v>
      </c>
      <c r="K29" s="64" t="n">
        <f aca="false">SUM(K28)</f>
        <v>20200</v>
      </c>
    </row>
    <row r="30" customFormat="false" ht="13.5" hidden="false" customHeight="false" outlineLevel="0" collapsed="false">
      <c r="C30" s="17"/>
      <c r="D30" s="17"/>
      <c r="E30" s="31"/>
      <c r="F30" s="31"/>
      <c r="G30" s="43"/>
      <c r="H30" s="43"/>
      <c r="I30" s="43"/>
      <c r="J30" s="43"/>
      <c r="K30" s="43"/>
    </row>
    <row r="31" customFormat="false" ht="13.5" hidden="false" customHeight="false" outlineLevel="0" collapsed="false">
      <c r="B31" s="16" t="s">
        <v>70</v>
      </c>
      <c r="C31" s="17" t="n">
        <v>2000</v>
      </c>
      <c r="D31" s="17" t="n">
        <v>2200</v>
      </c>
      <c r="E31" s="30" t="n">
        <v>2400</v>
      </c>
      <c r="F31" s="30" t="n">
        <v>2400</v>
      </c>
      <c r="G31" s="18" t="n">
        <f aca="false">E31</f>
        <v>2400</v>
      </c>
      <c r="H31" s="18" t="n">
        <f aca="false">G31</f>
        <v>2400</v>
      </c>
      <c r="I31" s="18" t="n">
        <f aca="false">H31</f>
        <v>2400</v>
      </c>
      <c r="J31" s="18" t="n">
        <f aca="false">I31</f>
        <v>2400</v>
      </c>
      <c r="K31" s="18" t="n">
        <f aca="false">J31</f>
        <v>2400</v>
      </c>
    </row>
    <row r="32" customFormat="false" ht="13.5" hidden="false" customHeight="false" outlineLevel="0" collapsed="false">
      <c r="B32" s="16" t="s">
        <v>71</v>
      </c>
      <c r="C32" s="17" t="n">
        <v>-1000</v>
      </c>
      <c r="D32" s="17" t="n">
        <v>-1100</v>
      </c>
      <c r="E32" s="30" t="n">
        <v>-1200</v>
      </c>
      <c r="F32" s="30" t="n">
        <v>-1250</v>
      </c>
      <c r="G32" s="18" t="n">
        <f aca="false">E32</f>
        <v>-1200</v>
      </c>
      <c r="H32" s="18" t="n">
        <f aca="false">G32</f>
        <v>-1200</v>
      </c>
      <c r="I32" s="18" t="n">
        <f aca="false">H32</f>
        <v>-1200</v>
      </c>
      <c r="J32" s="18" t="n">
        <f aca="false">I32</f>
        <v>-1200</v>
      </c>
      <c r="K32" s="18" t="n">
        <f aca="false">J32</f>
        <v>-1200</v>
      </c>
    </row>
    <row r="33" customFormat="false" ht="13.5" hidden="false" customHeight="false" outlineLevel="0" collapsed="false">
      <c r="B33" s="16" t="s">
        <v>72</v>
      </c>
      <c r="C33" s="17" t="n">
        <v>8140</v>
      </c>
      <c r="D33" s="17" t="n">
        <v>10080</v>
      </c>
      <c r="E33" s="30" t="n">
        <v>12000</v>
      </c>
      <c r="F33" s="30" t="n">
        <v>14480</v>
      </c>
      <c r="G33" s="31" t="n">
        <f aca="false">E33+'Income Statement'!G30</f>
        <v>21297.2867</v>
      </c>
      <c r="H33" s="31" t="n">
        <f aca="false">G33+'Income Statement'!H30</f>
        <v>32693.6114323326</v>
      </c>
      <c r="I33" s="31" t="n">
        <f aca="false">H33+'Income Statement'!I30</f>
        <v>46588.4858710635</v>
      </c>
      <c r="J33" s="31" t="n">
        <f aca="false">I33+'Income Statement'!J30</f>
        <v>63463.8160512522</v>
      </c>
      <c r="K33" s="31" t="n">
        <f aca="false">J33+'Income Statement'!K30</f>
        <v>83921.9163480237</v>
      </c>
    </row>
    <row r="34" customFormat="false" ht="13.5" hidden="false" customHeight="false" outlineLevel="0" collapsed="false">
      <c r="B34" s="67" t="s">
        <v>73</v>
      </c>
      <c r="C34" s="68" t="n">
        <f aca="false">SUM(C31:C33)</f>
        <v>9140</v>
      </c>
      <c r="D34" s="68" t="n">
        <f aca="false">SUM(D31:D33)</f>
        <v>11180</v>
      </c>
      <c r="E34" s="68" t="n">
        <f aca="false">SUM(E31:E33)</f>
        <v>13200</v>
      </c>
      <c r="F34" s="68" t="n">
        <f aca="false">SUM(F31:F33)</f>
        <v>15630</v>
      </c>
      <c r="G34" s="68" t="n">
        <f aca="false">SUM(G31:G33)</f>
        <v>22497.2867</v>
      </c>
      <c r="H34" s="68" t="n">
        <f aca="false">SUM(H31:H33)</f>
        <v>33893.6114323326</v>
      </c>
      <c r="I34" s="68" t="n">
        <f aca="false">SUM(I31:I33)</f>
        <v>47788.4858710635</v>
      </c>
      <c r="J34" s="68" t="n">
        <f aca="false">SUM(J31:J33)</f>
        <v>64663.8160512522</v>
      </c>
      <c r="K34" s="68" t="n">
        <f aca="false">SUM(K31:K33)</f>
        <v>85121.9163480237</v>
      </c>
    </row>
    <row r="35" customFormat="false" ht="13.5" hidden="false" customHeight="false" outlineLevel="0" collapsed="false">
      <c r="B35" s="57"/>
      <c r="C35" s="29"/>
      <c r="D35" s="29"/>
      <c r="E35" s="29"/>
      <c r="F35" s="29"/>
      <c r="G35" s="29"/>
      <c r="H35" s="29"/>
      <c r="I35" s="29"/>
      <c r="J35" s="29"/>
      <c r="K35" s="29"/>
    </row>
    <row r="36" customFormat="false" ht="14.15" hidden="false" customHeight="false" outlineLevel="0" collapsed="false">
      <c r="B36" s="61" t="s">
        <v>74</v>
      </c>
      <c r="C36" s="62" t="n">
        <f aca="false">C34+C26+C29</f>
        <v>32340</v>
      </c>
      <c r="D36" s="62" t="n">
        <f aca="false">D34+D26+D29</f>
        <v>36760</v>
      </c>
      <c r="E36" s="62" t="n">
        <f aca="false">E34+E26+E29</f>
        <v>41160</v>
      </c>
      <c r="F36" s="62" t="n">
        <f aca="false">F34+F26+F29</f>
        <v>43610</v>
      </c>
      <c r="G36" s="62" t="n">
        <f aca="false">G34+G26+G29</f>
        <v>49683.3759054795</v>
      </c>
      <c r="H36" s="62" t="n">
        <f aca="false">H34+H26+H29</f>
        <v>60634.1873797298</v>
      </c>
      <c r="I36" s="62" t="n">
        <f aca="false">I34+I26+I29</f>
        <v>74187.2424643347</v>
      </c>
      <c r="J36" s="62" t="n">
        <f aca="false">J34+J26+J29</f>
        <v>90843.9674596958</v>
      </c>
      <c r="K36" s="62" t="n">
        <f aca="false">K34+K26+K29</f>
        <v>111229.894223296</v>
      </c>
    </row>
    <row r="37" customFormat="false" ht="13.8" hidden="false" customHeight="false" outlineLevel="0" collapsed="false">
      <c r="B37" s="16"/>
      <c r="C37" s="43"/>
      <c r="D37" s="43"/>
      <c r="E37" s="43"/>
      <c r="F37" s="43"/>
      <c r="G37" s="43"/>
      <c r="H37" s="43"/>
      <c r="I37" s="43"/>
      <c r="J37" s="43"/>
      <c r="K37" s="43"/>
    </row>
    <row r="38" customFormat="false" ht="13.5" hidden="false" customHeight="false" outlineLevel="0" collapsed="false">
      <c r="B38" s="16" t="s">
        <v>75</v>
      </c>
      <c r="C38" s="69" t="n">
        <f aca="false">C20-C36</f>
        <v>0</v>
      </c>
      <c r="D38" s="69" t="n">
        <f aca="false">D20-D36</f>
        <v>0</v>
      </c>
      <c r="E38" s="69" t="n">
        <f aca="false">E20-E36</f>
        <v>0</v>
      </c>
      <c r="F38" s="69" t="n">
        <f aca="false">F20-F36</f>
        <v>0</v>
      </c>
      <c r="G38" s="69" t="n">
        <f aca="false">G20-G36</f>
        <v>0</v>
      </c>
      <c r="H38" s="69" t="n">
        <f aca="false">H20-H36</f>
        <v>0</v>
      </c>
      <c r="I38" s="69" t="n">
        <f aca="false">I20-I36</f>
        <v>0</v>
      </c>
      <c r="J38" s="69" t="n">
        <f aca="false">J20-J36</f>
        <v>0</v>
      </c>
      <c r="K38" s="69" t="n">
        <f aca="false">K20-K36</f>
        <v>0</v>
      </c>
    </row>
    <row r="39" customFormat="false" ht="13.5" hidden="false" customHeight="false" outlineLevel="0" collapsed="false">
      <c r="B39" s="16"/>
      <c r="C39" s="43"/>
      <c r="D39" s="43"/>
      <c r="E39" s="43"/>
      <c r="F39" s="43"/>
      <c r="G39" s="43"/>
      <c r="H39" s="43"/>
      <c r="I39" s="43"/>
      <c r="J39" s="43"/>
      <c r="K39" s="43"/>
    </row>
    <row r="40" customFormat="false" ht="13.5" hidden="false" customHeight="false" outlineLevel="0" collapsed="false">
      <c r="B40" s="48" t="s">
        <v>76</v>
      </c>
      <c r="C40" s="43"/>
      <c r="D40" s="43"/>
      <c r="E40" s="43"/>
      <c r="F40" s="43"/>
      <c r="G40" s="43"/>
      <c r="H40" s="43"/>
      <c r="I40" s="43"/>
      <c r="J40" s="43"/>
      <c r="K40" s="43"/>
    </row>
    <row r="41" customFormat="false" ht="13.5" hidden="false" customHeight="false" outlineLevel="0" collapsed="false">
      <c r="B41" s="20" t="s">
        <v>77</v>
      </c>
      <c r="C41" s="70" t="n">
        <f aca="false">C10/C26</f>
        <v>2.60909090909091</v>
      </c>
      <c r="D41" s="70" t="n">
        <f aca="false">D10/D26</f>
        <v>2.64516129032258</v>
      </c>
      <c r="E41" s="70" t="n">
        <f aca="false">E10/E26</f>
        <v>2.66666666666667</v>
      </c>
      <c r="F41" s="70" t="n">
        <f aca="false">F10/F26</f>
        <v>3.05519480519481</v>
      </c>
      <c r="G41" s="70" t="n">
        <f aca="false">G10/G26</f>
        <v>2.66338523674563</v>
      </c>
      <c r="H41" s="70" t="n">
        <f aca="false">H10/H26</f>
        <v>2.78424384229817</v>
      </c>
      <c r="I41" s="70" t="n">
        <f aca="false">I10/I26</f>
        <v>3.17255414559684</v>
      </c>
      <c r="J41" s="70" t="n">
        <f aca="false">J10/J26</f>
        <v>4.00163000218579</v>
      </c>
      <c r="K41" s="70" t="n">
        <f aca="false">K10/K26</f>
        <v>4.97777310461352</v>
      </c>
    </row>
    <row r="42" customFormat="false" ht="13.5" hidden="false" customHeight="false" outlineLevel="0" collapsed="false">
      <c r="B42" s="20" t="s">
        <v>78</v>
      </c>
      <c r="C42" s="70" t="n">
        <f aca="false">(C7+C8)/C26</f>
        <v>1.2</v>
      </c>
      <c r="D42" s="70" t="n">
        <f aca="false">(D7+D8)/D26</f>
        <v>1.20967741935484</v>
      </c>
      <c r="E42" s="70" t="n">
        <f aca="false">(E7+E8)/E26</f>
        <v>1.21739130434783</v>
      </c>
      <c r="F42" s="70" t="n">
        <f aca="false">(F7+F8)/F26</f>
        <v>1.70779220779221</v>
      </c>
      <c r="G42" s="70" t="n">
        <f aca="false">(G7+G8)/G26</f>
        <v>1.20505190341229</v>
      </c>
      <c r="H42" s="70" t="n">
        <f aca="false">(H7+H8)/H26</f>
        <v>1.32591050896484</v>
      </c>
      <c r="I42" s="70" t="n">
        <f aca="false">(I7+I8)/I26</f>
        <v>1.71422081226351</v>
      </c>
      <c r="J42" s="70" t="n">
        <f aca="false">(J7+J8)/J26</f>
        <v>2.54329666885245</v>
      </c>
      <c r="K42" s="70" t="n">
        <f aca="false">(K7+K8)/K26</f>
        <v>3.51943977128018</v>
      </c>
    </row>
    <row r="43" customFormat="false" ht="13.5" hidden="false" customHeight="false" outlineLevel="0" collapsed="false">
      <c r="B43" s="20" t="s">
        <v>79</v>
      </c>
      <c r="C43" s="70" t="n">
        <f aca="false">C7/C26</f>
        <v>0.545454545454545</v>
      </c>
      <c r="D43" s="70" t="n">
        <f aca="false">D7/D26</f>
        <v>0.524193548387097</v>
      </c>
      <c r="E43" s="70" t="n">
        <f aca="false">E7/E26</f>
        <v>0.507246376811594</v>
      </c>
      <c r="F43" s="70" t="n">
        <f aca="false">F7/F26</f>
        <v>1.04220779220779</v>
      </c>
      <c r="G43" s="70" t="n">
        <f aca="false">G7/G26</f>
        <v>0.403264664509743</v>
      </c>
      <c r="H43" s="70" t="n">
        <f aca="false">H7/H26</f>
        <v>0.524171837147626</v>
      </c>
      <c r="I43" s="70" t="n">
        <f aca="false">I7/I26</f>
        <v>0.912532220273144</v>
      </c>
      <c r="J43" s="70" t="n">
        <f aca="false">J7/J26</f>
        <v>1.74165963111406</v>
      </c>
      <c r="K43" s="70" t="n">
        <f aca="false">K7/K26</f>
        <v>2.71785572321349</v>
      </c>
    </row>
    <row r="44" customFormat="false" ht="13.5" hidden="false" customHeight="false" outlineLevel="0" collapsed="false">
      <c r="C44" s="43"/>
      <c r="D44" s="43"/>
      <c r="E44" s="43"/>
      <c r="F44" s="43"/>
      <c r="G44" s="43"/>
      <c r="H44" s="43"/>
      <c r="I44" s="43"/>
      <c r="J44" s="43"/>
      <c r="K44" s="43"/>
    </row>
    <row r="45" customFormat="false" ht="13.5" hidden="false" customHeight="false" outlineLevel="0" collapsed="false">
      <c r="B45" s="48" t="s">
        <v>80</v>
      </c>
      <c r="C45" s="43"/>
      <c r="D45" s="43"/>
      <c r="E45" s="43"/>
      <c r="F45" s="43"/>
      <c r="G45" s="43"/>
      <c r="H45" s="43"/>
      <c r="I45" s="43"/>
      <c r="J45" s="43"/>
      <c r="K45" s="43"/>
    </row>
    <row r="46" customFormat="false" ht="13.5" hidden="false" customHeight="false" outlineLevel="0" collapsed="false">
      <c r="B46" s="20" t="s">
        <v>81</v>
      </c>
      <c r="C46" s="71" t="n">
        <f aca="false">C29/C34</f>
        <v>2.29759299781182</v>
      </c>
      <c r="D46" s="71" t="n">
        <f aca="false">D29/D34</f>
        <v>2.06618962432916</v>
      </c>
      <c r="E46" s="71" t="n">
        <f aca="false">E29/E34</f>
        <v>1.90909090909091</v>
      </c>
      <c r="F46" s="71" t="n">
        <f aca="false">F29/F34</f>
        <v>1.59309021113244</v>
      </c>
      <c r="G46" s="71" t="n">
        <f aca="false">G29/G34</f>
        <v>1.07568527363791</v>
      </c>
      <c r="H46" s="71" t="n">
        <f aca="false">H29/H34</f>
        <v>0.684494777026579</v>
      </c>
      <c r="I46" s="71" t="n">
        <f aca="false">I29/I34</f>
        <v>0.464547047167326</v>
      </c>
      <c r="J46" s="71" t="n">
        <f aca="false">J29/J34</f>
        <v>0.327849503703849</v>
      </c>
      <c r="K46" s="71" t="n">
        <f aca="false">K29/K34</f>
        <v>0.237306687474136</v>
      </c>
    </row>
    <row r="47" customFormat="false" ht="13.5" hidden="false" customHeight="false" outlineLevel="0" collapsed="false">
      <c r="C47" s="43"/>
      <c r="D47" s="43"/>
      <c r="E47" s="43"/>
      <c r="F47" s="43"/>
      <c r="G47" s="43"/>
      <c r="H47" s="43"/>
      <c r="I47" s="43"/>
      <c r="J47" s="43"/>
      <c r="K47" s="43"/>
    </row>
    <row r="48" customFormat="false" ht="13.5" hidden="false" customHeight="false" outlineLevel="0" collapsed="false">
      <c r="B48" s="48" t="s">
        <v>82</v>
      </c>
      <c r="C48" s="72" t="n">
        <f aca="false">'Income Statement'!C30/'Balance Sheet'!C34</f>
        <v>0.478665207877462</v>
      </c>
      <c r="D48" s="72" t="n">
        <f aca="false">'Income Statement'!D30/'Balance Sheet'!D34</f>
        <v>0.537790697674419</v>
      </c>
      <c r="E48" s="72" t="n">
        <f aca="false">'Income Statement'!E30/'Balance Sheet'!E34</f>
        <v>0.602272727272727</v>
      </c>
      <c r="F48" s="72" t="n">
        <f aca="false">'Income Statement'!F30/'Balance Sheet'!F34</f>
        <v>0.158669225847729</v>
      </c>
      <c r="G48" s="72" t="n">
        <f aca="false">'Income Statement'!G30/'Balance Sheet'!G34</f>
        <v>0.413262578015686</v>
      </c>
      <c r="H48" s="72" t="n">
        <f aca="false">'Income Statement'!H30/'Balance Sheet'!H34</f>
        <v>0.336238136059503</v>
      </c>
      <c r="I48" s="72" t="n">
        <f aca="false">'Income Statement'!I30/'Balance Sheet'!I34</f>
        <v>0.290757787895189</v>
      </c>
      <c r="J48" s="72" t="n">
        <f aca="false">'Income Statement'!J30/'Balance Sheet'!J34</f>
        <v>0.26097021813271</v>
      </c>
      <c r="K48" s="72" t="n">
        <f aca="false">'Income Statement'!K30/'Balance Sheet'!K34</f>
        <v>0.240338812546559</v>
      </c>
    </row>
    <row r="49" customFormat="false" ht="13.5" hidden="false" customHeight="false" outlineLevel="0" collapsed="false">
      <c r="C49" s="43"/>
      <c r="D49" s="43"/>
      <c r="E49" s="43"/>
      <c r="F49" s="43"/>
      <c r="G49" s="43"/>
      <c r="H49" s="43"/>
      <c r="I49" s="43"/>
      <c r="J49" s="43"/>
      <c r="K49" s="43"/>
    </row>
    <row r="50" customFormat="false" ht="13.5" hidden="false" customHeight="false" outlineLevel="0" collapsed="false">
      <c r="B50" s="20" t="s">
        <v>83</v>
      </c>
      <c r="C50" s="43"/>
      <c r="D50" s="43"/>
      <c r="E50" s="43"/>
      <c r="F50" s="43"/>
      <c r="G50" s="43"/>
      <c r="H50" s="43"/>
      <c r="I50" s="43"/>
      <c r="J50" s="43"/>
      <c r="K50" s="43"/>
    </row>
    <row r="51" customFormat="false" ht="13.5" hidden="false" customHeight="false" outlineLevel="0" collapsed="false">
      <c r="B51" s="20" t="s">
        <v>84</v>
      </c>
      <c r="C51" s="43"/>
      <c r="D51" s="43"/>
      <c r="E51" s="43"/>
      <c r="F51" s="43"/>
      <c r="G51" s="43"/>
      <c r="H51" s="43"/>
      <c r="I51" s="43"/>
      <c r="J51" s="43"/>
      <c r="K51" s="43"/>
    </row>
    <row r="52" customFormat="false" ht="13.5" hidden="false" customHeight="false" outlineLevel="0" collapsed="false">
      <c r="B52" s="20" t="s">
        <v>85</v>
      </c>
      <c r="C52" s="43"/>
      <c r="D52" s="43"/>
      <c r="E52" s="43"/>
      <c r="F52" s="43"/>
      <c r="G52" s="43"/>
      <c r="H52" s="43"/>
      <c r="I52" s="43"/>
      <c r="J52" s="43"/>
      <c r="K52" s="43"/>
    </row>
    <row r="53" customFormat="false" ht="13.5" hidden="false" customHeight="false" outlineLevel="0" collapsed="false">
      <c r="B53" s="20" t="s">
        <v>86</v>
      </c>
      <c r="C53" s="43"/>
      <c r="D53" s="43"/>
      <c r="E53" s="43"/>
      <c r="F53" s="43"/>
      <c r="G53" s="43"/>
      <c r="H53" s="43"/>
      <c r="I53" s="43"/>
      <c r="J53" s="43"/>
      <c r="K53" s="43"/>
    </row>
    <row r="54" customFormat="false" ht="13.5" hidden="false" customHeight="false" outlineLevel="0" collapsed="false">
      <c r="B54" s="20" t="s">
        <v>87</v>
      </c>
      <c r="C54" s="43"/>
      <c r="D54" s="43"/>
      <c r="E54" s="43"/>
      <c r="F54" s="43"/>
      <c r="G54" s="43"/>
      <c r="H54" s="43"/>
      <c r="I54" s="43"/>
      <c r="J54" s="43"/>
      <c r="K54" s="43"/>
    </row>
    <row r="55" customFormat="false" ht="13.5" hidden="false" customHeight="false" outlineLevel="0" collapsed="false">
      <c r="C55" s="43"/>
      <c r="D55" s="43"/>
      <c r="E55" s="43"/>
      <c r="F55" s="43"/>
      <c r="G55" s="43"/>
      <c r="H55" s="43"/>
      <c r="I55" s="43"/>
      <c r="J55" s="43"/>
      <c r="K55" s="43"/>
    </row>
    <row r="56" customFormat="false" ht="13.5" hidden="false" customHeight="false" outlineLevel="0" collapsed="false">
      <c r="C56" s="43"/>
      <c r="D56" s="43"/>
      <c r="E56" s="43"/>
      <c r="F56" s="43"/>
      <c r="G56" s="43"/>
      <c r="H56" s="43"/>
      <c r="I56" s="43"/>
      <c r="J56" s="43"/>
      <c r="K56" s="43"/>
    </row>
    <row r="57" customFormat="false" ht="13.5" hidden="false" customHeight="false" outlineLevel="0" collapsed="false">
      <c r="C57" s="43"/>
      <c r="D57" s="43"/>
      <c r="E57" s="43"/>
      <c r="F57" s="43"/>
      <c r="G57" s="43"/>
      <c r="H57" s="43"/>
      <c r="I57" s="43"/>
      <c r="J57" s="43"/>
      <c r="K57" s="43"/>
    </row>
    <row r="58" customFormat="false" ht="13.5" hidden="false" customHeight="false" outlineLevel="0" collapsed="false">
      <c r="C58" s="43"/>
      <c r="D58" s="43"/>
      <c r="E58" s="43"/>
      <c r="F58" s="43"/>
      <c r="G58" s="43"/>
      <c r="H58" s="43"/>
      <c r="I58" s="43"/>
      <c r="J58" s="43"/>
      <c r="K58" s="43"/>
    </row>
    <row r="59" customFormat="false" ht="13.5" hidden="false" customHeight="false" outlineLevel="0" collapsed="false">
      <c r="C59" s="43"/>
      <c r="D59" s="43"/>
      <c r="E59" s="43"/>
      <c r="F59" s="43"/>
      <c r="G59" s="43"/>
      <c r="H59" s="43"/>
      <c r="I59" s="43"/>
      <c r="J59" s="43"/>
      <c r="K59" s="43"/>
    </row>
    <row r="60" customFormat="false" ht="13.5" hidden="false" customHeight="false" outlineLevel="0" collapsed="false">
      <c r="C60" s="43"/>
      <c r="D60" s="43"/>
      <c r="E60" s="43"/>
      <c r="F60" s="43"/>
      <c r="G60" s="43"/>
      <c r="H60" s="43"/>
      <c r="I60" s="43"/>
      <c r="J60" s="43"/>
      <c r="K60" s="43"/>
    </row>
    <row r="61" customFormat="false" ht="13.5" hidden="false" customHeight="false" outlineLevel="0" collapsed="false">
      <c r="C61" s="43"/>
      <c r="D61" s="43"/>
      <c r="E61" s="43"/>
      <c r="F61" s="43"/>
      <c r="G61" s="43"/>
      <c r="H61" s="43"/>
      <c r="I61" s="43"/>
      <c r="J61" s="43"/>
      <c r="K61" s="43"/>
    </row>
    <row r="62" customFormat="false" ht="13.5" hidden="false" customHeight="false" outlineLevel="0" collapsed="false">
      <c r="C62" s="43"/>
      <c r="D62" s="43"/>
      <c r="E62" s="43"/>
      <c r="F62" s="43"/>
      <c r="G62" s="43"/>
      <c r="H62" s="43"/>
      <c r="I62" s="43"/>
      <c r="J62" s="43"/>
      <c r="K62" s="43"/>
    </row>
    <row r="63" customFormat="false" ht="13.5" hidden="false" customHeight="false" outlineLevel="0" collapsed="false">
      <c r="C63" s="43"/>
      <c r="D63" s="43"/>
      <c r="E63" s="43"/>
      <c r="F63" s="43"/>
      <c r="G63" s="43"/>
      <c r="H63" s="43"/>
      <c r="I63" s="43"/>
      <c r="J63" s="43"/>
      <c r="K63" s="43"/>
    </row>
    <row r="64" customFormat="false" ht="13.5" hidden="false" customHeight="false" outlineLevel="0" collapsed="false">
      <c r="C64" s="43"/>
      <c r="D64" s="43"/>
      <c r="E64" s="43"/>
      <c r="F64" s="43"/>
      <c r="G64" s="43"/>
      <c r="H64" s="43"/>
      <c r="I64" s="43"/>
      <c r="J64" s="43"/>
      <c r="K64" s="43"/>
    </row>
    <row r="65" customFormat="false" ht="13.5" hidden="false" customHeight="false" outlineLevel="0" collapsed="false">
      <c r="C65" s="43"/>
      <c r="D65" s="43"/>
      <c r="E65" s="43"/>
      <c r="F65" s="43"/>
      <c r="G65" s="43"/>
      <c r="H65" s="43"/>
      <c r="I65" s="43"/>
      <c r="J65" s="43"/>
      <c r="K65" s="43"/>
    </row>
    <row r="66" customFormat="false" ht="13.5" hidden="false" customHeight="false" outlineLevel="0" collapsed="false">
      <c r="C66" s="43"/>
      <c r="D66" s="43"/>
      <c r="E66" s="43"/>
      <c r="F66" s="43"/>
      <c r="G66" s="43"/>
      <c r="H66" s="43"/>
      <c r="I66" s="43"/>
      <c r="J66" s="43"/>
      <c r="K66" s="43"/>
    </row>
    <row r="67" customFormat="false" ht="13.5" hidden="false" customHeight="false" outlineLevel="0" collapsed="false">
      <c r="C67" s="43"/>
      <c r="D67" s="43"/>
      <c r="E67" s="43"/>
      <c r="F67" s="43"/>
      <c r="G67" s="43"/>
      <c r="H67" s="43"/>
      <c r="I67" s="43"/>
      <c r="J67" s="43"/>
      <c r="K67" s="43"/>
    </row>
    <row r="68" customFormat="false" ht="13.5" hidden="false" customHeight="false" outlineLevel="0" collapsed="false">
      <c r="C68" s="43"/>
      <c r="D68" s="43"/>
      <c r="E68" s="43"/>
      <c r="F68" s="43"/>
      <c r="G68" s="43"/>
      <c r="H68" s="43"/>
      <c r="I68" s="43"/>
      <c r="J68" s="43"/>
      <c r="K68" s="43"/>
    </row>
    <row r="69" customFormat="false" ht="13.5" hidden="false" customHeight="false" outlineLevel="0" collapsed="false">
      <c r="C69" s="43"/>
      <c r="D69" s="43"/>
      <c r="E69" s="43"/>
      <c r="F69" s="43"/>
      <c r="G69" s="43"/>
      <c r="H69" s="43"/>
      <c r="I69" s="43"/>
      <c r="J69" s="43"/>
      <c r="K69" s="43"/>
    </row>
    <row r="70" customFormat="false" ht="13.5" hidden="false" customHeight="false" outlineLevel="0" collapsed="false">
      <c r="C70" s="43"/>
      <c r="D70" s="43"/>
      <c r="E70" s="43"/>
      <c r="F70" s="43"/>
      <c r="G70" s="43"/>
      <c r="H70" s="43"/>
      <c r="I70" s="43"/>
      <c r="J70" s="43"/>
      <c r="K70" s="43"/>
    </row>
    <row r="71" customFormat="false" ht="13.5" hidden="false" customHeight="false" outlineLevel="0" collapsed="false">
      <c r="C71" s="43"/>
      <c r="D71" s="43"/>
      <c r="E71" s="43"/>
      <c r="F71" s="43"/>
      <c r="G71" s="43"/>
      <c r="H71" s="43"/>
      <c r="I71" s="43"/>
      <c r="J71" s="43"/>
      <c r="K71" s="43"/>
    </row>
    <row r="72" customFormat="false" ht="13.5" hidden="false" customHeight="false" outlineLevel="0" collapsed="false">
      <c r="C72" s="43"/>
      <c r="D72" s="43"/>
      <c r="E72" s="43"/>
      <c r="F72" s="43"/>
      <c r="G72" s="43"/>
      <c r="H72" s="43"/>
      <c r="I72" s="43"/>
      <c r="J72" s="43"/>
      <c r="K72" s="43"/>
    </row>
    <row r="73" customFormat="false" ht="13.5" hidden="false" customHeight="false" outlineLevel="0" collapsed="false">
      <c r="C73" s="43"/>
      <c r="D73" s="43"/>
      <c r="E73" s="43"/>
      <c r="F73" s="43"/>
      <c r="G73" s="43"/>
      <c r="H73" s="43"/>
      <c r="I73" s="43"/>
      <c r="J73" s="43"/>
      <c r="K73" s="43"/>
    </row>
    <row r="74" customFormat="false" ht="13.5" hidden="false" customHeight="false" outlineLevel="0" collapsed="false">
      <c r="C74" s="43"/>
      <c r="D74" s="43"/>
      <c r="E74" s="43"/>
      <c r="F74" s="43"/>
      <c r="G74" s="43"/>
      <c r="H74" s="43"/>
      <c r="I74" s="43"/>
      <c r="J74" s="43"/>
      <c r="K74" s="43"/>
    </row>
    <row r="75" customFormat="false" ht="13.5" hidden="false" customHeight="false" outlineLevel="0" collapsed="false">
      <c r="C75" s="43"/>
      <c r="D75" s="43"/>
      <c r="E75" s="43"/>
      <c r="F75" s="43"/>
      <c r="G75" s="43"/>
      <c r="H75" s="43"/>
      <c r="I75" s="43"/>
      <c r="J75" s="43"/>
      <c r="K75" s="43"/>
    </row>
    <row r="76" customFormat="false" ht="13.5" hidden="false" customHeight="false" outlineLevel="0" collapsed="false">
      <c r="C76" s="43"/>
      <c r="D76" s="43"/>
      <c r="E76" s="43"/>
      <c r="F76" s="43"/>
      <c r="G76" s="43"/>
      <c r="H76" s="43"/>
      <c r="I76" s="43"/>
      <c r="J76" s="43"/>
      <c r="K76" s="43"/>
    </row>
    <row r="77" customFormat="false" ht="13.5" hidden="false" customHeight="false" outlineLevel="0" collapsed="false">
      <c r="C77" s="43"/>
      <c r="D77" s="43"/>
      <c r="E77" s="43"/>
      <c r="F77" s="43"/>
      <c r="G77" s="43"/>
      <c r="H77" s="43"/>
      <c r="I77" s="43"/>
      <c r="J77" s="43"/>
      <c r="K77" s="43"/>
    </row>
    <row r="78" customFormat="false" ht="13.5" hidden="false" customHeight="false" outlineLevel="0" collapsed="false">
      <c r="C78" s="43"/>
      <c r="D78" s="43"/>
      <c r="E78" s="43"/>
      <c r="F78" s="43"/>
      <c r="G78" s="43"/>
      <c r="H78" s="43"/>
      <c r="I78" s="43"/>
      <c r="J78" s="43"/>
      <c r="K78" s="43"/>
    </row>
    <row r="79" customFormat="false" ht="13.5" hidden="false" customHeight="false" outlineLevel="0" collapsed="false">
      <c r="C79" s="43"/>
      <c r="D79" s="43"/>
      <c r="E79" s="43"/>
      <c r="F79" s="43"/>
      <c r="G79" s="43"/>
      <c r="H79" s="43"/>
      <c r="I79" s="43"/>
      <c r="J79" s="43"/>
      <c r="K79" s="43"/>
    </row>
    <row r="80" customFormat="false" ht="13.5" hidden="false" customHeight="false" outlineLevel="0" collapsed="false">
      <c r="C80" s="43"/>
      <c r="D80" s="43"/>
      <c r="E80" s="43"/>
      <c r="F80" s="43"/>
      <c r="G80" s="43"/>
      <c r="H80" s="43"/>
      <c r="I80" s="43"/>
      <c r="J80" s="43"/>
      <c r="K80" s="43"/>
    </row>
    <row r="81" customFormat="false" ht="13.5" hidden="false" customHeight="false" outlineLevel="0" collapsed="false">
      <c r="C81" s="43"/>
      <c r="D81" s="43"/>
      <c r="E81" s="43"/>
      <c r="F81" s="43"/>
      <c r="G81" s="43"/>
      <c r="H81" s="43"/>
      <c r="I81" s="43"/>
      <c r="J81" s="43"/>
      <c r="K81" s="43"/>
    </row>
    <row r="82" customFormat="false" ht="13.5" hidden="false" customHeight="false" outlineLevel="0" collapsed="false">
      <c r="C82" s="43"/>
      <c r="D82" s="43"/>
      <c r="E82" s="43"/>
      <c r="F82" s="43"/>
      <c r="G82" s="43"/>
      <c r="H82" s="43"/>
      <c r="I82" s="43"/>
      <c r="J82" s="43"/>
      <c r="K82" s="43"/>
    </row>
    <row r="83" customFormat="false" ht="13.5" hidden="false" customHeight="false" outlineLevel="0" collapsed="false">
      <c r="C83" s="43"/>
      <c r="D83" s="43"/>
      <c r="E83" s="43"/>
      <c r="F83" s="43"/>
      <c r="G83" s="43"/>
      <c r="H83" s="43"/>
      <c r="I83" s="43"/>
      <c r="J83" s="43"/>
      <c r="K83" s="43"/>
    </row>
    <row r="84" customFormat="false" ht="13.5" hidden="false" customHeight="false" outlineLevel="0" collapsed="false">
      <c r="C84" s="43"/>
      <c r="D84" s="43"/>
      <c r="E84" s="43"/>
      <c r="F84" s="43"/>
      <c r="G84" s="43"/>
      <c r="H84" s="43"/>
      <c r="I84" s="43"/>
      <c r="J84" s="43"/>
      <c r="K84" s="43"/>
    </row>
    <row r="85" customFormat="false" ht="13.5" hidden="false" customHeight="false" outlineLevel="0" collapsed="false">
      <c r="C85" s="43"/>
      <c r="D85" s="43"/>
      <c r="E85" s="43"/>
      <c r="F85" s="43"/>
      <c r="G85" s="43"/>
      <c r="H85" s="43"/>
      <c r="I85" s="43"/>
      <c r="J85" s="43"/>
      <c r="K85" s="43"/>
    </row>
    <row r="86" customFormat="false" ht="13.5" hidden="false" customHeight="false" outlineLevel="0" collapsed="false">
      <c r="C86" s="43"/>
      <c r="D86" s="43"/>
      <c r="E86" s="43"/>
      <c r="F86" s="43"/>
      <c r="G86" s="43"/>
      <c r="H86" s="43"/>
      <c r="I86" s="43"/>
      <c r="J86" s="43"/>
      <c r="K86" s="43"/>
    </row>
    <row r="87" customFormat="false" ht="13.5" hidden="false" customHeight="false" outlineLevel="0" collapsed="false">
      <c r="C87" s="43"/>
      <c r="D87" s="43"/>
      <c r="E87" s="43"/>
      <c r="F87" s="43"/>
      <c r="G87" s="43"/>
      <c r="H87" s="43"/>
      <c r="I87" s="43"/>
      <c r="J87" s="43"/>
      <c r="K87" s="43"/>
    </row>
    <row r="88" customFormat="false" ht="13.5" hidden="false" customHeight="false" outlineLevel="0" collapsed="false">
      <c r="C88" s="43"/>
      <c r="D88" s="43"/>
      <c r="E88" s="43"/>
      <c r="F88" s="43"/>
      <c r="G88" s="43"/>
      <c r="H88" s="43"/>
      <c r="I88" s="43"/>
      <c r="J88" s="43"/>
      <c r="K88" s="43"/>
    </row>
    <row r="89" customFormat="false" ht="13.5" hidden="false" customHeight="false" outlineLevel="0" collapsed="false">
      <c r="C89" s="43"/>
      <c r="D89" s="43"/>
      <c r="E89" s="43"/>
      <c r="F89" s="43"/>
      <c r="G89" s="43"/>
      <c r="H89" s="43"/>
      <c r="I89" s="43"/>
      <c r="J89" s="43"/>
      <c r="K89" s="43"/>
    </row>
    <row r="90" customFormat="false" ht="13.5" hidden="false" customHeight="false" outlineLevel="0" collapsed="false">
      <c r="C90" s="43"/>
      <c r="D90" s="43"/>
      <c r="E90" s="43"/>
      <c r="F90" s="43"/>
      <c r="G90" s="43"/>
      <c r="H90" s="43"/>
      <c r="I90" s="43"/>
      <c r="J90" s="43"/>
      <c r="K90" s="43"/>
    </row>
    <row r="91" customFormat="false" ht="13.5" hidden="false" customHeight="false" outlineLevel="0" collapsed="false">
      <c r="C91" s="43"/>
      <c r="D91" s="43"/>
      <c r="E91" s="43"/>
      <c r="F91" s="43"/>
      <c r="G91" s="43"/>
      <c r="H91" s="43"/>
      <c r="I91" s="43"/>
      <c r="J91" s="43"/>
      <c r="K91" s="43"/>
    </row>
    <row r="92" customFormat="false" ht="13.5" hidden="false" customHeight="false" outlineLevel="0" collapsed="false">
      <c r="C92" s="43"/>
      <c r="D92" s="43"/>
      <c r="E92" s="43"/>
      <c r="F92" s="43"/>
      <c r="G92" s="43"/>
      <c r="H92" s="43"/>
      <c r="I92" s="43"/>
      <c r="J92" s="43"/>
      <c r="K92" s="43"/>
    </row>
    <row r="93" customFormat="false" ht="13.5" hidden="false" customHeight="false" outlineLevel="0" collapsed="false">
      <c r="C93" s="43"/>
      <c r="D93" s="43"/>
      <c r="E93" s="43"/>
      <c r="F93" s="43"/>
      <c r="G93" s="43"/>
      <c r="H93" s="43"/>
      <c r="I93" s="43"/>
      <c r="J93" s="43"/>
      <c r="K93" s="43"/>
    </row>
    <row r="94" customFormat="false" ht="13.5" hidden="false" customHeight="false" outlineLevel="0" collapsed="false">
      <c r="C94" s="43"/>
      <c r="D94" s="43"/>
      <c r="E94" s="43"/>
      <c r="F94" s="43"/>
      <c r="G94" s="43"/>
      <c r="H94" s="43"/>
      <c r="I94" s="43"/>
      <c r="J94" s="43"/>
      <c r="K94" s="43"/>
    </row>
    <row r="95" customFormat="false" ht="13.5" hidden="false" customHeight="false" outlineLevel="0" collapsed="false">
      <c r="C95" s="43"/>
      <c r="D95" s="43"/>
      <c r="E95" s="43"/>
      <c r="F95" s="43"/>
      <c r="G95" s="43"/>
      <c r="H95" s="43"/>
      <c r="I95" s="43"/>
      <c r="J95" s="43"/>
      <c r="K95" s="43"/>
    </row>
    <row r="96" customFormat="false" ht="13.5" hidden="false" customHeight="false" outlineLevel="0" collapsed="false">
      <c r="C96" s="43"/>
      <c r="D96" s="43"/>
      <c r="E96" s="43"/>
      <c r="F96" s="43"/>
      <c r="G96" s="43"/>
      <c r="H96" s="43"/>
      <c r="I96" s="43"/>
      <c r="J96" s="43"/>
      <c r="K96" s="43"/>
    </row>
    <row r="97" customFormat="false" ht="13.5" hidden="false" customHeight="false" outlineLevel="0" collapsed="false">
      <c r="C97" s="43"/>
      <c r="D97" s="43"/>
      <c r="E97" s="43"/>
      <c r="F97" s="43"/>
      <c r="G97" s="43"/>
      <c r="H97" s="43"/>
      <c r="I97" s="43"/>
      <c r="J97" s="43"/>
      <c r="K97" s="43"/>
    </row>
    <row r="98" customFormat="false" ht="13.5" hidden="false" customHeight="false" outlineLevel="0" collapsed="false">
      <c r="C98" s="43"/>
      <c r="D98" s="43"/>
      <c r="E98" s="43"/>
      <c r="F98" s="43"/>
      <c r="G98" s="43"/>
      <c r="H98" s="43"/>
      <c r="I98" s="43"/>
      <c r="J98" s="43"/>
      <c r="K98" s="43"/>
    </row>
    <row r="99" customFormat="false" ht="13.5" hidden="false" customHeight="false" outlineLevel="0" collapsed="false">
      <c r="C99" s="43"/>
      <c r="D99" s="43"/>
      <c r="E99" s="43"/>
      <c r="F99" s="43"/>
      <c r="G99" s="43"/>
      <c r="H99" s="43"/>
      <c r="I99" s="43"/>
      <c r="J99" s="43"/>
      <c r="K99" s="43"/>
    </row>
    <row r="100" customFormat="false" ht="13.5" hidden="false" customHeight="false" outlineLevel="0" collapsed="false">
      <c r="C100" s="43"/>
      <c r="D100" s="43"/>
      <c r="E100" s="43"/>
      <c r="F100" s="43"/>
      <c r="G100" s="43"/>
      <c r="H100" s="43"/>
      <c r="I100" s="43"/>
      <c r="J100" s="43"/>
      <c r="K100" s="43"/>
    </row>
    <row r="101" customFormat="false" ht="13.5" hidden="false" customHeight="false" outlineLevel="0" collapsed="false">
      <c r="C101" s="43"/>
      <c r="D101" s="43"/>
      <c r="E101" s="43"/>
      <c r="F101" s="43"/>
      <c r="G101" s="43"/>
      <c r="H101" s="43"/>
      <c r="I101" s="43"/>
      <c r="J101" s="43"/>
      <c r="K101" s="43"/>
    </row>
    <row r="102" customFormat="false" ht="13.5" hidden="false" customHeight="false" outlineLevel="0" collapsed="false">
      <c r="C102" s="43"/>
      <c r="D102" s="43"/>
      <c r="E102" s="43"/>
      <c r="F102" s="43"/>
      <c r="G102" s="43"/>
      <c r="H102" s="43"/>
      <c r="I102" s="43"/>
      <c r="J102" s="43"/>
      <c r="K102" s="43"/>
    </row>
    <row r="103" customFormat="false" ht="13.5" hidden="false" customHeight="false" outlineLevel="0" collapsed="false">
      <c r="C103" s="43"/>
      <c r="D103" s="43"/>
      <c r="E103" s="43"/>
      <c r="F103" s="43"/>
      <c r="G103" s="43"/>
      <c r="H103" s="43"/>
      <c r="I103" s="43"/>
      <c r="J103" s="43"/>
      <c r="K103" s="43"/>
    </row>
    <row r="104" customFormat="false" ht="13.5" hidden="false" customHeight="false" outlineLevel="0" collapsed="false">
      <c r="C104" s="43"/>
      <c r="D104" s="43"/>
      <c r="E104" s="43"/>
      <c r="F104" s="43"/>
      <c r="G104" s="43"/>
      <c r="H104" s="43"/>
      <c r="I104" s="43"/>
      <c r="J104" s="43"/>
      <c r="K104" s="43"/>
    </row>
    <row r="105" customFormat="false" ht="13.5" hidden="false" customHeight="false" outlineLevel="0" collapsed="false">
      <c r="C105" s="43"/>
      <c r="D105" s="43"/>
      <c r="E105" s="43"/>
      <c r="F105" s="43"/>
      <c r="G105" s="43"/>
      <c r="H105" s="43"/>
      <c r="I105" s="43"/>
      <c r="J105" s="43"/>
      <c r="K105" s="43"/>
    </row>
    <row r="106" customFormat="false" ht="13.5" hidden="false" customHeight="false" outlineLevel="0" collapsed="false">
      <c r="C106" s="43"/>
      <c r="D106" s="43"/>
      <c r="E106" s="43"/>
      <c r="F106" s="43"/>
      <c r="G106" s="43"/>
      <c r="H106" s="43"/>
      <c r="I106" s="43"/>
      <c r="J106" s="43"/>
      <c r="K106" s="43"/>
    </row>
    <row r="107" customFormat="false" ht="13.5" hidden="false" customHeight="false" outlineLevel="0" collapsed="false">
      <c r="C107" s="43"/>
      <c r="D107" s="43"/>
      <c r="E107" s="43"/>
      <c r="F107" s="43"/>
      <c r="G107" s="43"/>
      <c r="H107" s="43"/>
      <c r="I107" s="43"/>
      <c r="J107" s="43"/>
      <c r="K107" s="43"/>
    </row>
    <row r="108" customFormat="false" ht="13.5" hidden="false" customHeight="false" outlineLevel="0" collapsed="false">
      <c r="C108" s="43"/>
      <c r="D108" s="43"/>
      <c r="E108" s="43"/>
      <c r="F108" s="43"/>
      <c r="G108" s="43"/>
      <c r="H108" s="43"/>
      <c r="I108" s="43"/>
      <c r="J108" s="43"/>
      <c r="K108" s="43"/>
    </row>
    <row r="109" customFormat="false" ht="13.5" hidden="false" customHeight="false" outlineLevel="0" collapsed="false">
      <c r="C109" s="43"/>
      <c r="D109" s="43"/>
      <c r="E109" s="43"/>
      <c r="F109" s="43"/>
      <c r="G109" s="43"/>
      <c r="H109" s="43"/>
      <c r="I109" s="43"/>
      <c r="J109" s="43"/>
      <c r="K109" s="43"/>
    </row>
    <row r="110" customFormat="false" ht="13.5" hidden="false" customHeight="false" outlineLevel="0" collapsed="false">
      <c r="C110" s="43"/>
      <c r="D110" s="43"/>
      <c r="E110" s="43"/>
      <c r="F110" s="43"/>
      <c r="G110" s="43"/>
      <c r="H110" s="43"/>
      <c r="I110" s="43"/>
      <c r="J110" s="43"/>
      <c r="K110" s="43"/>
    </row>
    <row r="111" customFormat="false" ht="13.5" hidden="false" customHeight="false" outlineLevel="0" collapsed="false">
      <c r="C111" s="43"/>
      <c r="D111" s="43"/>
      <c r="E111" s="43"/>
      <c r="F111" s="43"/>
      <c r="G111" s="43"/>
      <c r="H111" s="43"/>
      <c r="I111" s="43"/>
      <c r="J111" s="43"/>
      <c r="K111" s="43"/>
    </row>
    <row r="112" customFormat="false" ht="13.5" hidden="false" customHeight="false" outlineLevel="0" collapsed="false">
      <c r="C112" s="43"/>
      <c r="D112" s="43"/>
      <c r="E112" s="43"/>
      <c r="F112" s="43"/>
      <c r="G112" s="43"/>
      <c r="H112" s="43"/>
      <c r="I112" s="43"/>
      <c r="J112" s="43"/>
      <c r="K112" s="43"/>
    </row>
    <row r="113" customFormat="false" ht="13.5" hidden="false" customHeight="false" outlineLevel="0" collapsed="false">
      <c r="C113" s="43"/>
      <c r="D113" s="43"/>
      <c r="E113" s="43"/>
      <c r="F113" s="43"/>
      <c r="G113" s="43"/>
      <c r="H113" s="43"/>
      <c r="I113" s="43"/>
      <c r="J113" s="43"/>
      <c r="K113" s="43"/>
    </row>
    <row r="114" customFormat="false" ht="13.5" hidden="false" customHeight="false" outlineLevel="0" collapsed="false">
      <c r="C114" s="43"/>
      <c r="D114" s="43"/>
      <c r="E114" s="43"/>
      <c r="F114" s="43"/>
      <c r="G114" s="43"/>
      <c r="H114" s="43"/>
      <c r="I114" s="43"/>
      <c r="J114" s="43"/>
      <c r="K114" s="43"/>
    </row>
    <row r="115" customFormat="false" ht="13.5" hidden="false" customHeight="false" outlineLevel="0" collapsed="false">
      <c r="C115" s="43"/>
      <c r="D115" s="43"/>
      <c r="E115" s="43"/>
      <c r="F115" s="43"/>
      <c r="G115" s="43"/>
      <c r="H115" s="43"/>
      <c r="I115" s="43"/>
      <c r="J115" s="43"/>
      <c r="K115" s="43"/>
    </row>
    <row r="116" customFormat="false" ht="13.5" hidden="false" customHeight="false" outlineLevel="0" collapsed="false">
      <c r="C116" s="43"/>
      <c r="D116" s="43"/>
      <c r="E116" s="43"/>
      <c r="F116" s="43"/>
      <c r="G116" s="43"/>
      <c r="H116" s="43"/>
      <c r="I116" s="43"/>
      <c r="J116" s="43"/>
      <c r="K116" s="43"/>
    </row>
    <row r="117" customFormat="false" ht="13.5" hidden="false" customHeight="false" outlineLevel="0" collapsed="false">
      <c r="C117" s="43"/>
      <c r="D117" s="43"/>
      <c r="E117" s="43"/>
      <c r="F117" s="43"/>
      <c r="G117" s="43"/>
      <c r="H117" s="43"/>
      <c r="I117" s="43"/>
      <c r="J117" s="43"/>
      <c r="K117" s="43"/>
    </row>
    <row r="118" customFormat="false" ht="13.5" hidden="false" customHeight="false" outlineLevel="0" collapsed="false">
      <c r="C118" s="43"/>
      <c r="D118" s="43"/>
      <c r="E118" s="43"/>
      <c r="F118" s="43"/>
      <c r="G118" s="43"/>
      <c r="H118" s="43"/>
      <c r="I118" s="43"/>
      <c r="J118" s="43"/>
      <c r="K118" s="43"/>
    </row>
    <row r="119" customFormat="false" ht="13.5" hidden="false" customHeight="false" outlineLevel="0" collapsed="false">
      <c r="C119" s="43"/>
      <c r="D119" s="43"/>
      <c r="E119" s="43"/>
      <c r="F119" s="43"/>
      <c r="G119" s="43"/>
      <c r="H119" s="43"/>
      <c r="I119" s="43"/>
      <c r="J119" s="43"/>
      <c r="K119" s="43"/>
    </row>
    <row r="120" customFormat="false" ht="13.5" hidden="false" customHeight="false" outlineLevel="0" collapsed="false">
      <c r="C120" s="43"/>
      <c r="D120" s="43"/>
      <c r="E120" s="43"/>
      <c r="F120" s="43"/>
      <c r="G120" s="43"/>
      <c r="H120" s="43"/>
      <c r="I120" s="43"/>
      <c r="J120" s="43"/>
      <c r="K120" s="43"/>
    </row>
    <row r="121" customFormat="false" ht="13.5" hidden="false" customHeight="false" outlineLevel="0" collapsed="false">
      <c r="C121" s="43"/>
      <c r="D121" s="43"/>
      <c r="E121" s="43"/>
      <c r="F121" s="43"/>
      <c r="G121" s="43"/>
      <c r="H121" s="43"/>
      <c r="I121" s="43"/>
      <c r="J121" s="43"/>
      <c r="K121" s="43"/>
    </row>
    <row r="122" customFormat="false" ht="13.5" hidden="false" customHeight="false" outlineLevel="0" collapsed="false">
      <c r="C122" s="43"/>
      <c r="D122" s="43"/>
      <c r="E122" s="43"/>
      <c r="F122" s="43"/>
      <c r="G122" s="43"/>
      <c r="H122" s="43"/>
      <c r="I122" s="43"/>
      <c r="J122" s="43"/>
      <c r="K122" s="43"/>
    </row>
    <row r="123" customFormat="false" ht="13.5" hidden="false" customHeight="false" outlineLevel="0" collapsed="false">
      <c r="C123" s="43"/>
      <c r="D123" s="43"/>
      <c r="E123" s="43"/>
      <c r="F123" s="43"/>
      <c r="G123" s="43"/>
      <c r="H123" s="43"/>
      <c r="I123" s="43"/>
      <c r="J123" s="43"/>
      <c r="K123" s="43"/>
    </row>
    <row r="124" customFormat="false" ht="13.5" hidden="false" customHeight="false" outlineLevel="0" collapsed="false">
      <c r="C124" s="43"/>
      <c r="D124" s="43"/>
      <c r="E124" s="43"/>
      <c r="F124" s="43"/>
      <c r="G124" s="43"/>
      <c r="H124" s="43"/>
      <c r="I124" s="43"/>
      <c r="J124" s="43"/>
      <c r="K124" s="43"/>
    </row>
    <row r="125" customFormat="false" ht="13.5" hidden="false" customHeight="false" outlineLevel="0" collapsed="false">
      <c r="C125" s="43"/>
      <c r="D125" s="43"/>
      <c r="E125" s="43"/>
      <c r="F125" s="43"/>
      <c r="G125" s="43"/>
      <c r="H125" s="43"/>
      <c r="I125" s="43"/>
      <c r="J125" s="43"/>
      <c r="K125" s="43"/>
    </row>
    <row r="126" customFormat="false" ht="13.5" hidden="false" customHeight="false" outlineLevel="0" collapsed="false">
      <c r="C126" s="43"/>
      <c r="D126" s="43"/>
      <c r="E126" s="43"/>
      <c r="F126" s="43"/>
      <c r="G126" s="43"/>
      <c r="H126" s="43"/>
      <c r="I126" s="43"/>
      <c r="J126" s="43"/>
      <c r="K126" s="43"/>
    </row>
    <row r="127" customFormat="false" ht="13.5" hidden="false" customHeight="false" outlineLevel="0" collapsed="false">
      <c r="C127" s="43"/>
      <c r="D127" s="43"/>
      <c r="E127" s="43"/>
      <c r="F127" s="43"/>
      <c r="G127" s="43"/>
      <c r="H127" s="43"/>
      <c r="I127" s="43"/>
      <c r="J127" s="43"/>
      <c r="K127" s="43"/>
    </row>
    <row r="128" customFormat="false" ht="13.5" hidden="false" customHeight="false" outlineLevel="0" collapsed="false">
      <c r="C128" s="43"/>
      <c r="D128" s="43"/>
      <c r="E128" s="43"/>
      <c r="F128" s="43"/>
      <c r="G128" s="43"/>
      <c r="H128" s="43"/>
      <c r="I128" s="43"/>
      <c r="J128" s="43"/>
      <c r="K128" s="43"/>
    </row>
    <row r="129" customFormat="false" ht="13.5" hidden="false" customHeight="false" outlineLevel="0" collapsed="false">
      <c r="C129" s="43"/>
      <c r="D129" s="43"/>
      <c r="E129" s="43"/>
      <c r="F129" s="43"/>
      <c r="G129" s="43"/>
      <c r="H129" s="43"/>
      <c r="I129" s="43"/>
      <c r="J129" s="43"/>
      <c r="K129" s="43"/>
    </row>
    <row r="130" customFormat="false" ht="13.5" hidden="false" customHeight="false" outlineLevel="0" collapsed="false">
      <c r="C130" s="43"/>
      <c r="D130" s="43"/>
      <c r="E130" s="43"/>
      <c r="F130" s="43"/>
      <c r="G130" s="43"/>
      <c r="H130" s="43"/>
      <c r="I130" s="43"/>
      <c r="J130" s="43"/>
      <c r="K130" s="43"/>
    </row>
    <row r="131" customFormat="false" ht="13.5" hidden="false" customHeight="false" outlineLevel="0" collapsed="false">
      <c r="C131" s="43"/>
      <c r="D131" s="43"/>
      <c r="E131" s="43"/>
      <c r="F131" s="43"/>
      <c r="G131" s="43"/>
      <c r="H131" s="43"/>
      <c r="I131" s="43"/>
      <c r="J131" s="43"/>
      <c r="K131" s="43"/>
    </row>
    <row r="132" customFormat="false" ht="13.5" hidden="false" customHeight="false" outlineLevel="0" collapsed="false">
      <c r="C132" s="43"/>
      <c r="D132" s="43"/>
      <c r="E132" s="43"/>
      <c r="F132" s="43"/>
      <c r="G132" s="43"/>
      <c r="H132" s="43"/>
      <c r="I132" s="43"/>
      <c r="J132" s="43"/>
      <c r="K132" s="43"/>
    </row>
    <row r="133" customFormat="false" ht="13.5" hidden="false" customHeight="false" outlineLevel="0" collapsed="false">
      <c r="C133" s="43"/>
      <c r="D133" s="43"/>
      <c r="E133" s="43"/>
      <c r="F133" s="43"/>
      <c r="G133" s="43"/>
      <c r="H133" s="43"/>
      <c r="I133" s="43"/>
      <c r="J133" s="43"/>
      <c r="K133" s="43"/>
    </row>
    <row r="134" customFormat="false" ht="13.5" hidden="false" customHeight="false" outlineLevel="0" collapsed="false">
      <c r="C134" s="43"/>
      <c r="D134" s="43"/>
      <c r="E134" s="43"/>
      <c r="F134" s="43"/>
      <c r="G134" s="43"/>
      <c r="H134" s="43"/>
      <c r="I134" s="43"/>
      <c r="J134" s="43"/>
      <c r="K134" s="43"/>
    </row>
    <row r="135" customFormat="false" ht="13.5" hidden="false" customHeight="false" outlineLevel="0" collapsed="false">
      <c r="C135" s="43"/>
      <c r="D135" s="43"/>
      <c r="E135" s="43"/>
      <c r="F135" s="43"/>
      <c r="G135" s="43"/>
      <c r="H135" s="43"/>
      <c r="I135" s="43"/>
      <c r="J135" s="43"/>
      <c r="K135" s="43"/>
    </row>
    <row r="136" customFormat="false" ht="13.5" hidden="false" customHeight="false" outlineLevel="0" collapsed="false"/>
    <row r="137" customFormat="false" ht="13.5" hidden="false" customHeight="false" outlineLevel="0" collapsed="false"/>
    <row r="138" customFormat="false" ht="13.5" hidden="false" customHeight="false" outlineLevel="0" collapsed="false"/>
    <row r="139" customFormat="false" ht="13.5" hidden="false" customHeight="false" outlineLevel="0" collapsed="false"/>
    <row r="140" customFormat="false" ht="13.5" hidden="false" customHeight="false" outlineLevel="0" collapsed="false"/>
    <row r="141" customFormat="false" ht="13.5" hidden="false" customHeight="false" outlineLevel="0" collapsed="false"/>
    <row r="142" customFormat="false" ht="13.5" hidden="false" customHeight="false" outlineLevel="0" collapsed="false"/>
    <row r="143" customFormat="false" ht="13.5" hidden="false" customHeight="false" outlineLevel="0" collapsed="false"/>
    <row r="144" customFormat="false" ht="13.5" hidden="false" customHeight="false" outlineLevel="0" collapsed="false"/>
    <row r="145" customFormat="false" ht="13.5" hidden="false" customHeight="false" outlineLevel="0" collapsed="false"/>
    <row r="146" customFormat="false" ht="13.5" hidden="false" customHeight="false" outlineLevel="0" collapsed="false"/>
    <row r="147" customFormat="false" ht="13.5" hidden="false" customHeight="false" outlineLevel="0" collapsed="false"/>
    <row r="148" customFormat="false" ht="13.5" hidden="false" customHeight="false" outlineLevel="0" collapsed="false"/>
    <row r="149" customFormat="false" ht="13.5" hidden="false" customHeight="false" outlineLevel="0" collapsed="false"/>
    <row r="150" customFormat="false" ht="13.5" hidden="false" customHeight="false" outlineLevel="0" collapsed="false"/>
    <row r="151" customFormat="false" ht="13.5" hidden="false" customHeight="false" outlineLevel="0" collapsed="false"/>
    <row r="152" customFormat="false" ht="13.5" hidden="false" customHeight="false" outlineLevel="0" collapsed="false"/>
    <row r="153" customFormat="false" ht="13.5" hidden="false" customHeight="false" outlineLevel="0" collapsed="false"/>
    <row r="154" customFormat="false" ht="13.5" hidden="false" customHeight="false" outlineLevel="0" collapsed="false"/>
    <row r="155" customFormat="false" ht="13.5" hidden="false" customHeight="false" outlineLevel="0" collapsed="false"/>
    <row r="156" customFormat="false" ht="13.5" hidden="false" customHeight="false" outlineLevel="0" collapsed="false"/>
    <row r="157" customFormat="false" ht="13.5" hidden="false" customHeight="false" outlineLevel="0" collapsed="false"/>
    <row r="158" customFormat="false" ht="13.5" hidden="false" customHeight="false" outlineLevel="0" collapsed="false"/>
    <row r="159" customFormat="false" ht="13.5" hidden="false" customHeight="false" outlineLevel="0" collapsed="false"/>
    <row r="160" customFormat="false" ht="13.5" hidden="false" customHeight="false" outlineLevel="0" collapsed="false"/>
    <row r="161" customFormat="false" ht="13.5" hidden="false" customHeight="false" outlineLevel="0" collapsed="false"/>
    <row r="162" customFormat="false" ht="13.5" hidden="false" customHeight="false" outlineLevel="0" collapsed="false"/>
    <row r="163" customFormat="false" ht="13.5" hidden="false" customHeight="false" outlineLevel="0" collapsed="false"/>
    <row r="164" customFormat="false" ht="13.5" hidden="false" customHeight="false" outlineLevel="0" collapsed="false"/>
    <row r="165" customFormat="false" ht="13.5" hidden="false" customHeight="false" outlineLevel="0" collapsed="false"/>
    <row r="166" customFormat="false" ht="13.5" hidden="false" customHeight="false" outlineLevel="0" collapsed="false"/>
    <row r="167" customFormat="false" ht="13.5" hidden="false" customHeight="false" outlineLevel="0" collapsed="false"/>
    <row r="168" customFormat="false" ht="13.5" hidden="false" customHeight="false" outlineLevel="0" collapsed="false"/>
    <row r="169" customFormat="false" ht="13.5" hidden="false" customHeight="false" outlineLevel="0" collapsed="false"/>
    <row r="170" customFormat="false" ht="13.5" hidden="false" customHeight="false" outlineLevel="0" collapsed="false"/>
    <row r="171" customFormat="false" ht="13.5" hidden="false" customHeight="false" outlineLevel="0" collapsed="false"/>
    <row r="172" customFormat="false" ht="13.5" hidden="false" customHeight="false" outlineLevel="0" collapsed="false"/>
  </sheetData>
  <mergeCells count="2">
    <mergeCell ref="C1:E1"/>
    <mergeCell ref="G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2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4" topLeftCell="A8" activePane="bottomLeft" state="frozen"/>
      <selection pane="topLeft" activeCell="A1" activeCellId="0" sqref="A1"/>
      <selection pane="bottomLeft" activeCell="M9" activeCellId="0" sqref="M9"/>
    </sheetView>
  </sheetViews>
  <sheetFormatPr defaultColWidth="8.66796875" defaultRowHeight="12.8" customHeight="false" zeroHeight="true" outlineLevelRow="0" outlineLevelCol="0"/>
  <cols>
    <col collapsed="false" customWidth="true" hidden="false" outlineLevel="0" max="1" min="1" style="20" width="3.56"/>
    <col collapsed="false" customWidth="true" hidden="false" outlineLevel="0" max="2" min="2" style="20" width="53.56"/>
    <col collapsed="false" customWidth="true" hidden="false" outlineLevel="0" max="4" min="3" style="20" width="9.56"/>
    <col collapsed="false" customWidth="true" hidden="false" outlineLevel="0" max="5" min="5" style="20" width="13.88"/>
    <col collapsed="false" customWidth="true" hidden="false" outlineLevel="0" max="10" min="6" style="20" width="12.56"/>
    <col collapsed="false" customWidth="false" hidden="false" outlineLevel="0" max="16384" min="11" style="20" width="8.67"/>
  </cols>
  <sheetData>
    <row r="1" customFormat="false" ht="36.75" hidden="false" customHeight="true" outlineLevel="0" collapsed="false">
      <c r="A1" s="3" t="s">
        <v>88</v>
      </c>
      <c r="B1" s="4"/>
      <c r="C1" s="5" t="s">
        <v>1</v>
      </c>
      <c r="D1" s="5"/>
      <c r="E1" s="5"/>
      <c r="F1" s="5" t="s">
        <v>3</v>
      </c>
      <c r="G1" s="5"/>
      <c r="H1" s="5"/>
      <c r="I1" s="5"/>
      <c r="J1" s="5"/>
    </row>
    <row r="2" customFormat="false" ht="13.8" hidden="false" customHeight="false" outlineLevel="0" collapsed="false">
      <c r="A2" s="7" t="s">
        <v>4</v>
      </c>
      <c r="B2" s="8"/>
      <c r="C2" s="9" t="s">
        <v>5</v>
      </c>
      <c r="D2" s="9" t="s">
        <v>6</v>
      </c>
      <c r="E2" s="9" t="s">
        <v>7</v>
      </c>
      <c r="F2" s="10" t="s">
        <v>9</v>
      </c>
      <c r="G2" s="10" t="s">
        <v>10</v>
      </c>
      <c r="H2" s="10" t="s">
        <v>11</v>
      </c>
      <c r="I2" s="10" t="s">
        <v>12</v>
      </c>
      <c r="J2" s="10" t="s">
        <v>13</v>
      </c>
    </row>
    <row r="3" customFormat="false" ht="13.8" hidden="false" customHeight="false" outlineLevel="0" collapsed="false">
      <c r="A3" s="11"/>
      <c r="B3" s="12"/>
      <c r="C3" s="12"/>
      <c r="D3" s="12"/>
      <c r="E3" s="13"/>
      <c r="F3" s="13"/>
      <c r="G3" s="13"/>
      <c r="H3" s="13"/>
      <c r="I3" s="13"/>
      <c r="J3" s="13"/>
    </row>
    <row r="4" customFormat="false" ht="13.8" hidden="false" customHeight="false" outlineLevel="0" collapsed="false">
      <c r="A4" s="11"/>
      <c r="B4" s="12"/>
      <c r="C4" s="12"/>
      <c r="D4" s="12"/>
      <c r="E4" s="13"/>
      <c r="F4" s="13"/>
      <c r="G4" s="13"/>
      <c r="H4" s="13"/>
      <c r="I4" s="13"/>
      <c r="J4" s="13"/>
    </row>
    <row r="5" customFormat="false" ht="13.8" hidden="false" customHeight="false" outlineLevel="0" collapsed="false">
      <c r="A5" s="11"/>
      <c r="B5" s="12"/>
      <c r="C5" s="12"/>
      <c r="D5" s="12"/>
      <c r="E5" s="13"/>
      <c r="F5" s="13"/>
      <c r="G5" s="13"/>
      <c r="H5" s="13"/>
      <c r="I5" s="13"/>
      <c r="J5" s="13"/>
    </row>
    <row r="6" customFormat="false" ht="13.5" hidden="false" customHeight="false" outlineLevel="0" collapsed="false">
      <c r="B6" s="14" t="s">
        <v>89</v>
      </c>
    </row>
    <row r="7" customFormat="false" ht="13.5" hidden="false" customHeight="false" outlineLevel="0" collapsed="false">
      <c r="B7" s="20" t="s">
        <v>90</v>
      </c>
      <c r="C7" s="73"/>
      <c r="D7" s="73"/>
      <c r="E7" s="74"/>
      <c r="F7" s="75" t="n">
        <f aca="false">'Income Statement'!G30</f>
        <v>9297.2867</v>
      </c>
      <c r="G7" s="75" t="n">
        <f aca="false">'Income Statement'!H30</f>
        <v>11396.3247323326</v>
      </c>
      <c r="H7" s="75" t="n">
        <f aca="false">'Income Statement'!I30</f>
        <v>13894.8744387309</v>
      </c>
      <c r="I7" s="75" t="n">
        <f aca="false">'Income Statement'!J30</f>
        <v>16875.3301801887</v>
      </c>
      <c r="J7" s="75" t="n">
        <f aca="false">'Income Statement'!K30</f>
        <v>20458.1002967715</v>
      </c>
    </row>
    <row r="8" customFormat="false" ht="13.5" hidden="false" customHeight="false" outlineLevel="0" collapsed="false">
      <c r="B8" s="20" t="s">
        <v>91</v>
      </c>
      <c r="C8" s="73"/>
      <c r="D8" s="73"/>
      <c r="E8" s="74"/>
      <c r="F8" s="75" t="n">
        <f aca="false">'Dep Capex'!F12</f>
        <v>2069.73</v>
      </c>
      <c r="G8" s="75" t="n">
        <f aca="false">'Dep Capex'!G12</f>
        <v>2453.9094</v>
      </c>
      <c r="H8" s="75" t="n">
        <f aca="false">'Dep Capex'!H12</f>
        <v>2909.900772</v>
      </c>
      <c r="I8" s="75" t="n">
        <f aca="false">'Dep Capex'!I12</f>
        <v>3451.21565976</v>
      </c>
      <c r="J8" s="75" t="n">
        <f aca="false">'Dep Capex'!J12</f>
        <v>4093.9233151248</v>
      </c>
    </row>
    <row r="9" customFormat="false" ht="13.5" hidden="false" customHeight="false" outlineLevel="0" collapsed="false">
      <c r="B9" s="20" t="s">
        <v>92</v>
      </c>
      <c r="C9" s="73"/>
      <c r="D9" s="73"/>
      <c r="E9" s="74"/>
      <c r="F9" s="75" t="n">
        <f aca="false">'Income Statement'!G21</f>
        <v>0</v>
      </c>
      <c r="G9" s="75" t="n">
        <f aca="false">'Income Statement'!H21</f>
        <v>0</v>
      </c>
      <c r="H9" s="75" t="n">
        <f aca="false">'Income Statement'!I21</f>
        <v>0</v>
      </c>
      <c r="I9" s="75" t="n">
        <f aca="false">'Income Statement'!J21</f>
        <v>0</v>
      </c>
      <c r="J9" s="75" t="n">
        <f aca="false">'Income Statement'!K21</f>
        <v>0</v>
      </c>
    </row>
    <row r="10" customFormat="false" ht="13.5" hidden="false" customHeight="false" outlineLevel="0" collapsed="false">
      <c r="B10" s="48" t="s">
        <v>93</v>
      </c>
      <c r="C10" s="73"/>
      <c r="D10" s="73"/>
      <c r="E10" s="74"/>
      <c r="F10" s="75"/>
      <c r="G10" s="75"/>
      <c r="H10" s="75"/>
      <c r="I10" s="75"/>
      <c r="J10" s="75"/>
    </row>
    <row r="11" customFormat="false" ht="13.5" hidden="false" customHeight="false" outlineLevel="0" collapsed="false">
      <c r="B11" s="45" t="s">
        <v>94</v>
      </c>
      <c r="C11" s="73"/>
      <c r="D11" s="73"/>
      <c r="E11" s="74"/>
      <c r="F11" s="75" t="n">
        <f aca="false">'Working Capital'!E7-'Working Capital'!F7</f>
        <v>-434.208219178082</v>
      </c>
      <c r="G11" s="75" t="n">
        <f aca="false">'Working Capital'!F7-'Working Capital'!G7</f>
        <v>-444.408438356164</v>
      </c>
      <c r="H11" s="75" t="n">
        <f aca="false">'Working Capital'!G7-'Working Capital'!H7</f>
        <v>-527.478603835616</v>
      </c>
      <c r="I11" s="75" t="n">
        <f aca="false">'Working Capital'!H7-'Working Capital'!I7</f>
        <v>-626.178561183562</v>
      </c>
      <c r="J11" s="75" t="n">
        <f aca="false">'Working Capital'!I7-'Working Capital'!J7</f>
        <v>-743.466998595507</v>
      </c>
    </row>
    <row r="12" customFormat="false" ht="13.5" hidden="false" customHeight="false" outlineLevel="0" collapsed="false">
      <c r="B12" s="45" t="s">
        <v>95</v>
      </c>
      <c r="C12" s="73"/>
      <c r="D12" s="73"/>
      <c r="E12" s="74"/>
      <c r="F12" s="75" t="n">
        <f aca="false">'Working Capital'!E8-'Working Capital'!F8</f>
        <v>-354.713424657534</v>
      </c>
      <c r="G12" s="75" t="n">
        <f aca="false">'Working Capital'!F8-'Working Capital'!G8</f>
        <v>-808.626498630137</v>
      </c>
      <c r="H12" s="75" t="n">
        <f aca="false">'Working Capital'!G8-'Working Capital'!H8</f>
        <v>-959.846775232877</v>
      </c>
      <c r="I12" s="75" t="n">
        <f aca="false">'Working Capital'!H8-'Working Capital'!I8</f>
        <v>-1139.53410545973</v>
      </c>
      <c r="J12" s="75" t="n">
        <f aca="false">'Working Capital'!I8-'Working Capital'!J8</f>
        <v>-1353.08026412467</v>
      </c>
    </row>
    <row r="13" customFormat="false" ht="13.5" hidden="false" customHeight="false" outlineLevel="0" collapsed="false">
      <c r="B13" s="45" t="s">
        <v>96</v>
      </c>
      <c r="C13" s="73"/>
      <c r="D13" s="73"/>
      <c r="E13" s="74"/>
      <c r="F13" s="75" t="n">
        <f aca="false">'Working Capital'!F9-'Working Capital'!E9</f>
        <v>226.089205479452</v>
      </c>
      <c r="G13" s="75" t="n">
        <f aca="false">'Working Capital'!G9-'Working Capital'!F9</f>
        <v>554.486741917808</v>
      </c>
      <c r="H13" s="75" t="n">
        <f aca="false">'Working Capital'!H9-'Working Capital'!G9</f>
        <v>658.180645873972</v>
      </c>
      <c r="I13" s="75" t="n">
        <f aca="false">'Working Capital'!I9-'Working Capital'!H9</f>
        <v>781.394815172384</v>
      </c>
      <c r="J13" s="75" t="n">
        <f aca="false">'Working Capital'!J9-'Working Capital'!I9</f>
        <v>927.826466828344</v>
      </c>
    </row>
    <row r="14" customFormat="false" ht="13.5" hidden="false" customHeight="false" outlineLevel="0" collapsed="false">
      <c r="B14" s="76" t="s">
        <v>97</v>
      </c>
      <c r="C14" s="77"/>
      <c r="D14" s="77"/>
      <c r="E14" s="78"/>
      <c r="F14" s="78" t="n">
        <f aca="false">SUM(F7:F13)</f>
        <v>10804.1842616438</v>
      </c>
      <c r="G14" s="78" t="n">
        <f aca="false">SUM(G7:G13)</f>
        <v>13151.6859372641</v>
      </c>
      <c r="H14" s="78" t="n">
        <f aca="false">SUM(H7:H13)</f>
        <v>15975.6304775364</v>
      </c>
      <c r="I14" s="78" t="n">
        <f aca="false">SUM(I7:I13)</f>
        <v>19342.2279884778</v>
      </c>
      <c r="J14" s="78" t="n">
        <f aca="false">SUM(J7:J13)</f>
        <v>23383.3028160045</v>
      </c>
    </row>
    <row r="15" customFormat="false" ht="13.5" hidden="false" customHeight="false" outlineLevel="0" collapsed="false">
      <c r="E15" s="79"/>
      <c r="F15" s="79"/>
      <c r="G15" s="79"/>
      <c r="H15" s="79"/>
      <c r="I15" s="79"/>
      <c r="J15" s="79"/>
    </row>
    <row r="16" customFormat="false" ht="13.5" hidden="false" customHeight="false" outlineLevel="0" collapsed="false">
      <c r="B16" s="14" t="s">
        <v>98</v>
      </c>
      <c r="E16" s="79"/>
      <c r="F16" s="79"/>
      <c r="G16" s="79"/>
      <c r="H16" s="79"/>
      <c r="I16" s="79"/>
      <c r="J16" s="79"/>
    </row>
    <row r="17" customFormat="false" ht="13.5" hidden="false" customHeight="false" outlineLevel="0" collapsed="false">
      <c r="B17" s="20" t="s">
        <v>99</v>
      </c>
      <c r="C17" s="73"/>
      <c r="D17" s="73"/>
      <c r="E17" s="74"/>
      <c r="F17" s="75" t="n">
        <f aca="false">-'Dep Capex'!F11</f>
        <v>-10000</v>
      </c>
      <c r="G17" s="75" t="n">
        <f aca="false">-'Dep Capex'!G11</f>
        <v>-11500</v>
      </c>
      <c r="H17" s="75" t="n">
        <f aca="false">-'Dep Capex'!H11</f>
        <v>-13000</v>
      </c>
      <c r="I17" s="75" t="n">
        <f aca="false">-'Dep Capex'!I11</f>
        <v>-13500</v>
      </c>
      <c r="J17" s="75" t="n">
        <f aca="false">-'Dep Capex'!J11</f>
        <v>-15000</v>
      </c>
    </row>
    <row r="18" customFormat="false" ht="13.5" hidden="false" customHeight="false" outlineLevel="0" collapsed="false">
      <c r="B18" s="20" t="s">
        <v>100</v>
      </c>
      <c r="C18" s="73"/>
      <c r="D18" s="73"/>
      <c r="E18" s="74"/>
      <c r="F18" s="75" t="n">
        <f aca="false">'Balance Sheet'!G17-'Balance Sheet'!E17</f>
        <v>0</v>
      </c>
      <c r="G18" s="75" t="n">
        <f aca="false">'Balance Sheet'!H17-'Balance Sheet'!G17</f>
        <v>0</v>
      </c>
      <c r="H18" s="75" t="n">
        <f aca="false">'Balance Sheet'!I17-'Balance Sheet'!H17</f>
        <v>0</v>
      </c>
      <c r="I18" s="75" t="n">
        <f aca="false">'Balance Sheet'!J17-'Balance Sheet'!I17</f>
        <v>0</v>
      </c>
      <c r="J18" s="75" t="n">
        <f aca="false">'Balance Sheet'!K17-'Balance Sheet'!J17</f>
        <v>0</v>
      </c>
    </row>
    <row r="19" customFormat="false" ht="13.5" hidden="false" customHeight="false" outlineLevel="0" collapsed="false">
      <c r="B19" s="76" t="s">
        <v>101</v>
      </c>
      <c r="C19" s="76"/>
      <c r="D19" s="76"/>
      <c r="E19" s="78"/>
      <c r="F19" s="78" t="n">
        <f aca="false">SUM(F17:F18)</f>
        <v>-10000</v>
      </c>
      <c r="G19" s="78" t="n">
        <f aca="false">SUM(G17:G18)</f>
        <v>-11500</v>
      </c>
      <c r="H19" s="78" t="n">
        <f aca="false">SUM(H17:H18)</f>
        <v>-13000</v>
      </c>
      <c r="I19" s="78" t="n">
        <f aca="false">SUM(I17:I18)</f>
        <v>-13500</v>
      </c>
      <c r="J19" s="78" t="n">
        <f aca="false">SUM(J17:J18)</f>
        <v>-15000</v>
      </c>
    </row>
    <row r="20" customFormat="false" ht="13.5" hidden="false" customHeight="false" outlineLevel="0" collapsed="false">
      <c r="E20" s="79"/>
      <c r="F20" s="79"/>
      <c r="G20" s="79"/>
      <c r="H20" s="79"/>
      <c r="I20" s="79"/>
      <c r="J20" s="79"/>
    </row>
    <row r="21" customFormat="false" ht="13.5" hidden="false" customHeight="false" outlineLevel="0" collapsed="false">
      <c r="B21" s="14" t="s">
        <v>102</v>
      </c>
      <c r="E21" s="79"/>
      <c r="F21" s="79"/>
      <c r="G21" s="79"/>
      <c r="H21" s="79"/>
      <c r="I21" s="79"/>
      <c r="J21" s="79"/>
    </row>
    <row r="22" customFormat="false" ht="13.8" hidden="false" customHeight="false" outlineLevel="0" collapsed="false">
      <c r="B22" s="20" t="s">
        <v>103</v>
      </c>
      <c r="C22" s="73"/>
      <c r="D22" s="73"/>
      <c r="E22" s="74"/>
      <c r="F22" s="75" t="n">
        <f aca="false">Debt!F8+Debt!F9</f>
        <v>-1000</v>
      </c>
      <c r="G22" s="75" t="n">
        <f aca="false">Debt!G8+Debt!G9</f>
        <v>-1000</v>
      </c>
      <c r="H22" s="75" t="n">
        <f aca="false">Debt!H8+Debt!H9</f>
        <v>-1000</v>
      </c>
      <c r="I22" s="75" t="n">
        <f aca="false">Debt!I8+Debt!I9</f>
        <v>-1000</v>
      </c>
      <c r="J22" s="75" t="n">
        <f aca="false">Debt!J8+Debt!J9</f>
        <v>-1000</v>
      </c>
    </row>
    <row r="23" customFormat="false" ht="13.8" hidden="false" customHeight="false" outlineLevel="0" collapsed="false">
      <c r="B23" s="76" t="s">
        <v>104</v>
      </c>
      <c r="C23" s="77"/>
      <c r="D23" s="77"/>
      <c r="E23" s="78"/>
      <c r="F23" s="78" t="n">
        <f aca="false">F22</f>
        <v>-1000</v>
      </c>
      <c r="G23" s="78" t="n">
        <f aca="false">G22</f>
        <v>-1000</v>
      </c>
      <c r="H23" s="78" t="n">
        <f aca="false">H22</f>
        <v>-1000</v>
      </c>
      <c r="I23" s="78" t="n">
        <f aca="false">I22</f>
        <v>-1000</v>
      </c>
      <c r="J23" s="78" t="n">
        <f aca="false">J22</f>
        <v>-1000</v>
      </c>
    </row>
    <row r="24" customFormat="false" ht="13.8" hidden="false" customHeight="false" outlineLevel="0" collapsed="false">
      <c r="E24" s="79"/>
      <c r="F24" s="79"/>
      <c r="G24" s="79"/>
      <c r="H24" s="79"/>
      <c r="I24" s="79"/>
      <c r="J24" s="79"/>
    </row>
    <row r="25" customFormat="false" ht="13.8" hidden="false" customHeight="false" outlineLevel="0" collapsed="false">
      <c r="B25" s="80" t="s">
        <v>105</v>
      </c>
      <c r="C25" s="81"/>
      <c r="D25" s="81"/>
      <c r="E25" s="82"/>
      <c r="F25" s="83" t="n">
        <f aca="false">SUM(F14,F19,F23)</f>
        <v>-195.815738356163</v>
      </c>
      <c r="G25" s="83" t="n">
        <f aca="false">SUM(G14,G19,G23)</f>
        <v>651.685937264081</v>
      </c>
      <c r="H25" s="83" t="n">
        <f aca="false">SUM(H14,H19,H23)</f>
        <v>1975.63047753638</v>
      </c>
      <c r="I25" s="83" t="n">
        <f aca="false">SUM(I14,I19,I23)</f>
        <v>4842.22798847778</v>
      </c>
      <c r="J25" s="83" t="n">
        <f aca="false">SUM(J14,J19,J23)</f>
        <v>7383.30281600451</v>
      </c>
    </row>
    <row r="26" customFormat="false" ht="13.8" hidden="false" customHeight="false" outlineLevel="0" collapsed="false">
      <c r="B26" s="20" t="s">
        <v>106</v>
      </c>
      <c r="C26" s="73"/>
      <c r="D26" s="73"/>
      <c r="E26" s="74"/>
      <c r="F26" s="75" t="n">
        <f aca="false">E27</f>
        <v>1400</v>
      </c>
      <c r="G26" s="75" t="n">
        <f aca="false">F27</f>
        <v>1204.18426164384</v>
      </c>
      <c r="H26" s="75" t="n">
        <f aca="false">G27</f>
        <v>1855.87019890792</v>
      </c>
      <c r="I26" s="75" t="n">
        <f aca="false">H27</f>
        <v>3831.5006764443</v>
      </c>
      <c r="J26" s="75" t="n">
        <f aca="false">I27</f>
        <v>8673.72866492208</v>
      </c>
    </row>
    <row r="27" customFormat="false" ht="13.8" hidden="false" customHeight="false" outlineLevel="0" collapsed="false">
      <c r="B27" s="84" t="s">
        <v>107</v>
      </c>
      <c r="C27" s="84"/>
      <c r="D27" s="84"/>
      <c r="E27" s="85" t="n">
        <f aca="false">'Balance Sheet'!E7</f>
        <v>1400</v>
      </c>
      <c r="F27" s="86" t="n">
        <f aca="false">SUM(F25:F26)</f>
        <v>1204.18426164384</v>
      </c>
      <c r="G27" s="86" t="n">
        <f aca="false">SUM(G25:G26)</f>
        <v>1855.87019890792</v>
      </c>
      <c r="H27" s="86" t="n">
        <f aca="false">SUM(H25:H26)</f>
        <v>3831.5006764443</v>
      </c>
      <c r="I27" s="86" t="n">
        <f aca="false">SUM(I25:I26)</f>
        <v>8673.72866492208</v>
      </c>
      <c r="J27" s="86" t="n">
        <f aca="false">SUM(J25:J26)</f>
        <v>16057.0314809266</v>
      </c>
    </row>
    <row r="28" customFormat="false" ht="14.25" hidden="false" customHeight="false" outlineLevel="0" collapsed="false">
      <c r="E28" s="79"/>
      <c r="F28" s="79"/>
      <c r="G28" s="79"/>
      <c r="H28" s="79"/>
      <c r="I28" s="79"/>
      <c r="J28" s="79"/>
    </row>
    <row r="29" customFormat="false" ht="13.5" hidden="false" customHeight="false" outlineLevel="0" collapsed="false">
      <c r="E29" s="75"/>
      <c r="F29" s="75"/>
      <c r="G29" s="75"/>
      <c r="H29" s="75"/>
      <c r="I29" s="75"/>
      <c r="J29" s="75"/>
    </row>
    <row r="30" customFormat="false" ht="13.5" hidden="false" customHeight="false" outlineLevel="0" collapsed="false">
      <c r="E30" s="79"/>
      <c r="F30" s="79"/>
      <c r="G30" s="79"/>
      <c r="H30" s="79"/>
      <c r="I30" s="79"/>
      <c r="J30" s="79"/>
    </row>
    <row r="31" customFormat="false" ht="13.5" hidden="false" customHeight="false" outlineLevel="0" collapsed="false">
      <c r="B31" s="48"/>
      <c r="C31" s="48"/>
      <c r="D31" s="48"/>
      <c r="E31" s="87"/>
      <c r="F31" s="87"/>
      <c r="G31" s="87"/>
      <c r="H31" s="87"/>
      <c r="I31" s="87"/>
      <c r="J31" s="87"/>
    </row>
    <row r="32" customFormat="false" ht="13.5" hidden="false" customHeight="false" outlineLevel="0" collapsed="false">
      <c r="E32" s="79"/>
      <c r="F32" s="79"/>
      <c r="G32" s="79"/>
      <c r="H32" s="79"/>
      <c r="I32" s="79"/>
      <c r="J32" s="79"/>
    </row>
    <row r="33" customFormat="false" ht="13.5" hidden="false" customHeight="false" outlineLevel="0" collapsed="false">
      <c r="E33" s="79"/>
      <c r="F33" s="79"/>
      <c r="G33" s="79"/>
      <c r="H33" s="79"/>
      <c r="I33" s="79"/>
      <c r="J33" s="79"/>
    </row>
    <row r="34" customFormat="false" ht="13.5" hidden="false" customHeight="false" outlineLevel="0" collapsed="false">
      <c r="E34" s="79"/>
      <c r="F34" s="79"/>
      <c r="G34" s="79"/>
      <c r="H34" s="79"/>
      <c r="I34" s="79"/>
      <c r="J34" s="79"/>
    </row>
    <row r="35" customFormat="false" ht="13.5" hidden="false" customHeight="false" outlineLevel="0" collapsed="false"/>
    <row r="36" customFormat="false" ht="13.5" hidden="false" customHeight="false" outlineLevel="0" collapsed="false"/>
    <row r="37" customFormat="false" ht="13.5" hidden="false" customHeight="false" outlineLevel="0" collapsed="false"/>
    <row r="38" customFormat="false" ht="13.5" hidden="false" customHeight="false" outlineLevel="0" collapsed="false"/>
    <row r="39" customFormat="false" ht="13.5" hidden="false" customHeight="false" outlineLevel="0" collapsed="false"/>
    <row r="40" customFormat="false" ht="13.5" hidden="false" customHeight="false" outlineLevel="0" collapsed="false"/>
    <row r="41" customFormat="false" ht="13.5" hidden="false" customHeight="false" outlineLevel="0" collapsed="false"/>
    <row r="42" customFormat="false" ht="13.5" hidden="false" customHeight="false" outlineLevel="0" collapsed="false"/>
    <row r="43" customFormat="false" ht="13.5" hidden="false" customHeight="false" outlineLevel="0" collapsed="false"/>
    <row r="44" customFormat="false" ht="13.5" hidden="false" customHeight="false" outlineLevel="0" collapsed="false"/>
    <row r="45" customFormat="false" ht="13.5" hidden="false" customHeight="false" outlineLevel="0" collapsed="false"/>
    <row r="46" customFormat="false" ht="13.5" hidden="false" customHeight="false" outlineLevel="0" collapsed="false"/>
    <row r="47" customFormat="false" ht="13.5" hidden="false" customHeight="false" outlineLevel="0" collapsed="false"/>
    <row r="48" customFormat="false" ht="13.5" hidden="false" customHeight="false" outlineLevel="0" collapsed="false"/>
    <row r="49" customFormat="false" ht="13.5" hidden="false" customHeight="false" outlineLevel="0" collapsed="false"/>
    <row r="50" customFormat="false" ht="13.5" hidden="false" customHeight="false" outlineLevel="0" collapsed="false"/>
    <row r="51" customFormat="false" ht="13.5" hidden="false" customHeight="false" outlineLevel="0" collapsed="false"/>
    <row r="52" customFormat="false" ht="13.5" hidden="false" customHeight="false" outlineLevel="0" collapsed="false"/>
    <row r="53" customFormat="false" ht="13.5" hidden="false" customHeight="false" outlineLevel="0" collapsed="false"/>
    <row r="54" customFormat="false" ht="13.5" hidden="false" customHeight="false" outlineLevel="0" collapsed="false"/>
    <row r="55" customFormat="false" ht="13.5" hidden="false" customHeight="false" outlineLevel="0" collapsed="false"/>
    <row r="56" customFormat="false" ht="13.5" hidden="false" customHeight="false" outlineLevel="0" collapsed="false"/>
    <row r="57" customFormat="false" ht="13.5" hidden="false" customHeight="false" outlineLevel="0" collapsed="false"/>
    <row r="58" customFormat="false" ht="13.5" hidden="false" customHeight="false" outlineLevel="0" collapsed="false"/>
    <row r="59" customFormat="false" ht="13.5" hidden="false" customHeight="false" outlineLevel="0" collapsed="false"/>
    <row r="60" customFormat="false" ht="13.5" hidden="false" customHeight="false" outlineLevel="0" collapsed="false"/>
    <row r="61" customFormat="false" ht="13.5" hidden="false" customHeight="false" outlineLevel="0" collapsed="false"/>
    <row r="62" customFormat="false" ht="13.5" hidden="false" customHeight="false" outlineLevel="0" collapsed="false"/>
    <row r="63" customFormat="false" ht="13.5" hidden="false" customHeight="false" outlineLevel="0" collapsed="false"/>
    <row r="64" customFormat="false" ht="13.5" hidden="false" customHeight="false" outlineLevel="0" collapsed="false"/>
    <row r="65" customFormat="false" ht="13.5" hidden="false" customHeight="false" outlineLevel="0" collapsed="false"/>
    <row r="66" customFormat="false" ht="13.5" hidden="false" customHeight="false" outlineLevel="0" collapsed="false"/>
    <row r="67" customFormat="false" ht="13.5" hidden="false" customHeight="false" outlineLevel="0" collapsed="false"/>
    <row r="68" customFormat="false" ht="13.5" hidden="false" customHeight="false" outlineLevel="0" collapsed="false"/>
    <row r="69" customFormat="false" ht="13.5" hidden="false" customHeight="false" outlineLevel="0" collapsed="false"/>
    <row r="70" customFormat="false" ht="13.5" hidden="false" customHeight="false" outlineLevel="0" collapsed="false"/>
    <row r="71" customFormat="false" ht="13.5" hidden="false" customHeight="false" outlineLevel="0" collapsed="false"/>
    <row r="72" customFormat="false" ht="13.5" hidden="false" customHeight="false" outlineLevel="0" collapsed="false"/>
    <row r="73" customFormat="false" ht="13.5" hidden="false" customHeight="false" outlineLevel="0" collapsed="false"/>
    <row r="74" customFormat="false" ht="13.5" hidden="false" customHeight="false" outlineLevel="0" collapsed="false"/>
    <row r="75" customFormat="false" ht="13.5" hidden="false" customHeight="false" outlineLevel="0" collapsed="false"/>
    <row r="76" customFormat="false" ht="13.5" hidden="false" customHeight="false" outlineLevel="0" collapsed="false"/>
    <row r="77" customFormat="false" ht="13.5" hidden="false" customHeight="false" outlineLevel="0" collapsed="false"/>
    <row r="78" customFormat="false" ht="13.5" hidden="false" customHeight="false" outlineLevel="0" collapsed="false"/>
    <row r="79" customFormat="false" ht="13.5" hidden="false" customHeight="false" outlineLevel="0" collapsed="false"/>
    <row r="80" customFormat="false" ht="13.5" hidden="false" customHeight="false" outlineLevel="0" collapsed="false"/>
    <row r="81" customFormat="false" ht="13.5" hidden="false" customHeight="false" outlineLevel="0" collapsed="false"/>
    <row r="82" customFormat="false" ht="13.5" hidden="false" customHeight="false" outlineLevel="0" collapsed="false"/>
    <row r="83" customFormat="false" ht="13.5" hidden="false" customHeight="false" outlineLevel="0" collapsed="false"/>
    <row r="84" customFormat="false" ht="13.5" hidden="false" customHeight="false" outlineLevel="0" collapsed="false"/>
    <row r="85" customFormat="false" ht="13.5" hidden="false" customHeight="false" outlineLevel="0" collapsed="false"/>
    <row r="86" customFormat="false" ht="13.5" hidden="false" customHeight="false" outlineLevel="0" collapsed="false"/>
    <row r="87" customFormat="false" ht="13.5" hidden="false" customHeight="false" outlineLevel="0" collapsed="false"/>
    <row r="88" customFormat="false" ht="13.5" hidden="false" customHeight="false" outlineLevel="0" collapsed="false"/>
    <row r="89" customFormat="false" ht="13.5" hidden="false" customHeight="false" outlineLevel="0" collapsed="false"/>
    <row r="90" customFormat="false" ht="13.5" hidden="false" customHeight="false" outlineLevel="0" collapsed="false"/>
    <row r="91" customFormat="false" ht="13.5" hidden="false" customHeight="false" outlineLevel="0" collapsed="false"/>
    <row r="92" customFormat="false" ht="13.5" hidden="false" customHeight="false" outlineLevel="0" collapsed="false"/>
    <row r="93" customFormat="false" ht="13.5" hidden="false" customHeight="false" outlineLevel="0" collapsed="false"/>
    <row r="94" customFormat="false" ht="13.5" hidden="false" customHeight="false" outlineLevel="0" collapsed="false"/>
    <row r="95" customFormat="false" ht="13.5" hidden="false" customHeight="false" outlineLevel="0" collapsed="false"/>
    <row r="96" customFormat="false" ht="13.5" hidden="false" customHeight="false" outlineLevel="0" collapsed="false"/>
    <row r="97" customFormat="false" ht="13.5" hidden="false" customHeight="false" outlineLevel="0" collapsed="false"/>
    <row r="98" customFormat="false" ht="13.5" hidden="false" customHeight="false" outlineLevel="0" collapsed="false"/>
    <row r="99" customFormat="false" ht="13.5" hidden="false" customHeight="fals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</sheetData>
  <mergeCells count="2">
    <mergeCell ref="C1:E1"/>
    <mergeCell ref="F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4" topLeftCell="A5" activePane="bottomLeft" state="frozen"/>
      <selection pane="topLeft" activeCell="A1" activeCellId="0" sqref="A1"/>
      <selection pane="bottomLeft" activeCell="D54" activeCellId="0" sqref="D54"/>
    </sheetView>
  </sheetViews>
  <sheetFormatPr defaultColWidth="8.66796875" defaultRowHeight="13.5" customHeight="false" zeroHeight="false" outlineLevelRow="0" outlineLevelCol="0"/>
  <cols>
    <col collapsed="false" customWidth="true" hidden="false" outlineLevel="0" max="1" min="1" style="20" width="3.56"/>
    <col collapsed="false" customWidth="true" hidden="false" outlineLevel="0" max="2" min="2" style="20" width="53.56"/>
    <col collapsed="false" customWidth="true" hidden="false" outlineLevel="0" max="3" min="3" style="20" width="9.67"/>
    <col collapsed="false" customWidth="true" hidden="false" outlineLevel="0" max="4" min="4" style="20" width="14"/>
    <col collapsed="false" customWidth="true" hidden="false" outlineLevel="0" max="9" min="5" style="20" width="12.56"/>
    <col collapsed="false" customWidth="true" hidden="false" outlineLevel="0" max="10" min="10" style="20" width="10.56"/>
    <col collapsed="false" customWidth="false" hidden="false" outlineLevel="0" max="16384" min="11" style="20" width="8.67"/>
  </cols>
  <sheetData>
    <row r="1" customFormat="false" ht="36.75" hidden="false" customHeight="true" outlineLevel="0" collapsed="false">
      <c r="A1" s="3" t="s">
        <v>108</v>
      </c>
      <c r="B1" s="4"/>
      <c r="C1" s="5" t="s">
        <v>1</v>
      </c>
      <c r="D1" s="5"/>
      <c r="E1" s="5"/>
      <c r="F1" s="5" t="s">
        <v>3</v>
      </c>
      <c r="G1" s="5"/>
      <c r="H1" s="5"/>
      <c r="I1" s="5"/>
      <c r="J1" s="5"/>
    </row>
    <row r="2" customFormat="false" ht="13.8" hidden="false" customHeight="false" outlineLevel="0" collapsed="false">
      <c r="A2" s="7" t="s">
        <v>4</v>
      </c>
      <c r="B2" s="8"/>
      <c r="C2" s="9" t="s">
        <v>5</v>
      </c>
      <c r="D2" s="9" t="s">
        <v>6</v>
      </c>
      <c r="E2" s="9" t="s">
        <v>7</v>
      </c>
      <c r="F2" s="10" t="s">
        <v>9</v>
      </c>
      <c r="G2" s="10" t="s">
        <v>10</v>
      </c>
      <c r="H2" s="10" t="s">
        <v>11</v>
      </c>
      <c r="I2" s="10" t="s">
        <v>12</v>
      </c>
      <c r="J2" s="10" t="s">
        <v>13</v>
      </c>
    </row>
    <row r="3" customFormat="false" ht="13.8" hidden="false" customHeight="false" outlineLevel="0" collapsed="false">
      <c r="A3" s="11"/>
      <c r="B3" s="12"/>
      <c r="C3" s="12"/>
      <c r="E3" s="13"/>
      <c r="F3" s="13"/>
      <c r="G3" s="13"/>
      <c r="H3" s="13"/>
      <c r="I3" s="13"/>
      <c r="J3" s="13"/>
    </row>
    <row r="4" customFormat="false" ht="13.8" hidden="false" customHeight="false" outlineLevel="0" collapsed="false">
      <c r="A4" s="11"/>
      <c r="B4" s="12"/>
      <c r="C4" s="12"/>
      <c r="E4" s="13"/>
      <c r="F4" s="13"/>
      <c r="G4" s="13"/>
      <c r="H4" s="13"/>
      <c r="I4" s="13"/>
      <c r="J4" s="13"/>
    </row>
    <row r="5" customFormat="false" ht="13.8" hidden="false" customHeight="false" outlineLevel="0" collapsed="false">
      <c r="A5" s="11"/>
      <c r="B5" s="20" t="s">
        <v>109</v>
      </c>
      <c r="C5" s="75" t="n">
        <f aca="false">'Income Statement'!C9</f>
        <v>25500</v>
      </c>
      <c r="D5" s="75" t="n">
        <f aca="false">'Income Statement'!D9</f>
        <v>31700</v>
      </c>
      <c r="E5" s="75" t="n">
        <f aca="false">'Income Statement'!E9</f>
        <v>38800</v>
      </c>
      <c r="F5" s="75" t="n">
        <f aca="false">'Income Statement'!G9</f>
        <v>45994</v>
      </c>
      <c r="G5" s="75" t="n">
        <f aca="false">'Income Statement'!H9</f>
        <v>54531.32</v>
      </c>
      <c r="H5" s="75" t="n">
        <f aca="false">'Income Statement'!I9</f>
        <v>64664.4616</v>
      </c>
      <c r="I5" s="75" t="n">
        <f aca="false">'Income Statement'!J9</f>
        <v>76693.681328</v>
      </c>
      <c r="J5" s="75" t="n">
        <f aca="false">'Income Statement'!K9</f>
        <v>90976.07366944</v>
      </c>
    </row>
    <row r="6" customFormat="false" ht="13.8" hidden="false" customHeight="false" outlineLevel="0" collapsed="false">
      <c r="A6" s="11"/>
      <c r="C6" s="75"/>
      <c r="D6" s="75"/>
      <c r="E6" s="75"/>
      <c r="F6" s="75"/>
      <c r="G6" s="75"/>
      <c r="H6" s="75"/>
      <c r="I6" s="75"/>
      <c r="J6" s="75"/>
    </row>
    <row r="7" customFormat="false" ht="13.8" hidden="false" customHeight="false" outlineLevel="0" collapsed="false">
      <c r="B7" s="88" t="s">
        <v>24</v>
      </c>
      <c r="C7" s="75" t="n">
        <f aca="false">'Income Statement'!C20</f>
        <v>1200</v>
      </c>
      <c r="D7" s="75" t="n">
        <f aca="false">'Income Statement'!D20</f>
        <v>1400</v>
      </c>
      <c r="E7" s="75" t="n">
        <f aca="false">'Income Statement'!E20</f>
        <v>1700</v>
      </c>
      <c r="F7" s="83" t="n">
        <f aca="false">F5*F8</f>
        <v>2069.73</v>
      </c>
      <c r="G7" s="83" t="n">
        <f aca="false">G5*G8</f>
        <v>2453.9094</v>
      </c>
      <c r="H7" s="83" t="n">
        <f aca="false">H5*H8</f>
        <v>2909.900772</v>
      </c>
      <c r="I7" s="83" t="n">
        <f aca="false">I5*I8</f>
        <v>3451.21565976</v>
      </c>
      <c r="J7" s="83" t="n">
        <f aca="false">J5*J8</f>
        <v>4093.9233151248</v>
      </c>
    </row>
    <row r="8" customFormat="false" ht="13.5" hidden="false" customHeight="false" outlineLevel="0" collapsed="false">
      <c r="B8" s="45" t="s">
        <v>110</v>
      </c>
      <c r="C8" s="89" t="n">
        <f aca="false">C7/C5</f>
        <v>0.0470588235294118</v>
      </c>
      <c r="D8" s="89" t="n">
        <f aca="false">D7/D5</f>
        <v>0.0441640378548896</v>
      </c>
      <c r="E8" s="89" t="n">
        <f aca="false">E7/E5</f>
        <v>0.0438144329896907</v>
      </c>
      <c r="F8" s="90" t="n">
        <v>0.045</v>
      </c>
      <c r="G8" s="90" t="n">
        <v>0.045</v>
      </c>
      <c r="H8" s="90" t="n">
        <v>0.045</v>
      </c>
      <c r="I8" s="90" t="n">
        <v>0.045</v>
      </c>
      <c r="J8" s="90" t="n">
        <v>0.045</v>
      </c>
    </row>
    <row r="9" customFormat="false" ht="13.8" hidden="false" customHeight="false" outlineLevel="0" collapsed="false">
      <c r="A9" s="11"/>
      <c r="B9" s="12"/>
      <c r="C9" s="12"/>
      <c r="E9" s="13"/>
      <c r="F9" s="13"/>
      <c r="G9" s="13"/>
      <c r="H9" s="13"/>
      <c r="I9" s="13"/>
      <c r="J9" s="13"/>
    </row>
    <row r="10" customFormat="false" ht="13.8" hidden="false" customHeight="false" outlineLevel="0" collapsed="false">
      <c r="B10" s="20" t="s">
        <v>111</v>
      </c>
      <c r="C10" s="14"/>
      <c r="E10" s="2"/>
      <c r="F10" s="79" t="n">
        <f aca="false">E13</f>
        <v>31400</v>
      </c>
      <c r="G10" s="79" t="n">
        <f aca="false">F13</f>
        <v>39330.27</v>
      </c>
      <c r="H10" s="79" t="n">
        <f aca="false">G13</f>
        <v>48376.3606</v>
      </c>
      <c r="I10" s="79" t="n">
        <f aca="false">H13</f>
        <v>58466.459828</v>
      </c>
      <c r="J10" s="79" t="n">
        <f aca="false">I13</f>
        <v>68515.24416824</v>
      </c>
    </row>
    <row r="11" customFormat="false" ht="13.8" hidden="false" customHeight="false" outlineLevel="0" collapsed="false">
      <c r="B11" s="20" t="s">
        <v>112</v>
      </c>
      <c r="C11" s="14"/>
      <c r="E11" s="75"/>
      <c r="F11" s="91" t="n">
        <v>10000</v>
      </c>
      <c r="G11" s="91" t="n">
        <v>11500</v>
      </c>
      <c r="H11" s="91" t="n">
        <v>13000</v>
      </c>
      <c r="I11" s="91" t="n">
        <v>13500</v>
      </c>
      <c r="J11" s="91" t="n">
        <v>15000</v>
      </c>
    </row>
    <row r="12" customFormat="false" ht="13.8" hidden="false" customHeight="false" outlineLevel="0" collapsed="false">
      <c r="B12" s="20" t="s">
        <v>24</v>
      </c>
      <c r="F12" s="92" t="n">
        <f aca="false">F7</f>
        <v>2069.73</v>
      </c>
      <c r="G12" s="92" t="n">
        <f aca="false">G7</f>
        <v>2453.9094</v>
      </c>
      <c r="H12" s="92" t="n">
        <f aca="false">H7</f>
        <v>2909.900772</v>
      </c>
      <c r="I12" s="92" t="n">
        <f aca="false">I7</f>
        <v>3451.21565976</v>
      </c>
      <c r="J12" s="92" t="n">
        <f aca="false">J7</f>
        <v>4093.9233151248</v>
      </c>
    </row>
    <row r="13" customFormat="false" ht="14.15" hidden="false" customHeight="false" outlineLevel="0" collapsed="false">
      <c r="B13" s="93" t="s">
        <v>57</v>
      </c>
      <c r="C13" s="94"/>
      <c r="D13" s="84"/>
      <c r="E13" s="86" t="n">
        <f aca="false">'Balance Sheet'!E13</f>
        <v>31400</v>
      </c>
      <c r="F13" s="86" t="n">
        <f aca="false">F10+F11-F12</f>
        <v>39330.27</v>
      </c>
      <c r="G13" s="86" t="n">
        <f aca="false">G10+G11-G12</f>
        <v>48376.3606</v>
      </c>
      <c r="H13" s="86" t="n">
        <f aca="false">H10+H11-H12</f>
        <v>58466.459828</v>
      </c>
      <c r="I13" s="86" t="n">
        <f aca="false">I10+I11-I12</f>
        <v>68515.24416824</v>
      </c>
      <c r="J13" s="86" t="n">
        <f aca="false">J10+J11-J12</f>
        <v>79421.3208531152</v>
      </c>
    </row>
    <row r="14" customFormat="false" ht="14.25" hidden="false" customHeight="false" outlineLevel="0" collapsed="false">
      <c r="C14" s="14"/>
      <c r="E14" s="79"/>
      <c r="F14" s="79"/>
      <c r="G14" s="79"/>
      <c r="H14" s="79"/>
      <c r="I14" s="79"/>
      <c r="J14" s="79"/>
    </row>
  </sheetData>
  <mergeCells count="2">
    <mergeCell ref="C1:E1"/>
    <mergeCell ref="F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4" topLeftCell="A11" activePane="bottomLeft" state="frozen"/>
      <selection pane="topLeft" activeCell="A1" activeCellId="0" sqref="A1"/>
      <selection pane="bottomLeft" activeCell="B28" activeCellId="0" sqref="B28"/>
    </sheetView>
  </sheetViews>
  <sheetFormatPr defaultColWidth="8.66796875" defaultRowHeight="13.8" customHeight="false" zeroHeight="false" outlineLevelRow="0" outlineLevelCol="0"/>
  <cols>
    <col collapsed="false" customWidth="true" hidden="false" outlineLevel="0" max="1" min="1" style="20" width="3.56"/>
    <col collapsed="false" customWidth="true" hidden="false" outlineLevel="0" max="2" min="2" style="20" width="53.56"/>
    <col collapsed="false" customWidth="true" hidden="false" outlineLevel="0" max="3" min="3" style="20" width="12"/>
    <col collapsed="false" customWidth="true" hidden="false" outlineLevel="0" max="4" min="4" style="20" width="14"/>
    <col collapsed="false" customWidth="true" hidden="false" outlineLevel="0" max="9" min="5" style="20" width="12.56"/>
    <col collapsed="false" customWidth="true" hidden="false" outlineLevel="0" max="10" min="10" style="20" width="10.56"/>
    <col collapsed="false" customWidth="true" hidden="false" outlineLevel="0" max="11" min="11" style="20" width="11.67"/>
    <col collapsed="false" customWidth="false" hidden="false" outlineLevel="0" max="16384" min="12" style="20" width="8.67"/>
  </cols>
  <sheetData>
    <row r="1" customFormat="false" ht="36.75" hidden="false" customHeight="true" outlineLevel="0" collapsed="false">
      <c r="A1" s="3" t="s">
        <v>113</v>
      </c>
      <c r="B1" s="4"/>
      <c r="C1" s="5" t="s">
        <v>1</v>
      </c>
      <c r="D1" s="5"/>
      <c r="E1" s="5"/>
      <c r="F1" s="5" t="s">
        <v>3</v>
      </c>
      <c r="G1" s="5"/>
      <c r="H1" s="5"/>
      <c r="I1" s="5"/>
      <c r="J1" s="5"/>
    </row>
    <row r="2" customFormat="false" ht="13.8" hidden="false" customHeight="false" outlineLevel="0" collapsed="false">
      <c r="A2" s="7" t="s">
        <v>4</v>
      </c>
      <c r="B2" s="8"/>
      <c r="C2" s="9" t="s">
        <v>5</v>
      </c>
      <c r="D2" s="9" t="s">
        <v>6</v>
      </c>
      <c r="E2" s="9" t="s">
        <v>7</v>
      </c>
      <c r="F2" s="10" t="s">
        <v>9</v>
      </c>
      <c r="G2" s="10" t="s">
        <v>10</v>
      </c>
      <c r="H2" s="10" t="s">
        <v>11</v>
      </c>
      <c r="I2" s="10" t="s">
        <v>12</v>
      </c>
      <c r="J2" s="10" t="s">
        <v>13</v>
      </c>
    </row>
    <row r="3" customFormat="false" ht="13.8" hidden="false" customHeight="false" outlineLevel="0" collapsed="false">
      <c r="A3" s="11"/>
      <c r="B3" s="12"/>
      <c r="C3" s="12"/>
      <c r="E3" s="13"/>
      <c r="F3" s="13"/>
      <c r="G3" s="13"/>
      <c r="H3" s="13"/>
      <c r="I3" s="13"/>
      <c r="J3" s="13"/>
    </row>
    <row r="4" customFormat="false" ht="13.8" hidden="false" customHeight="false" outlineLevel="0" collapsed="false">
      <c r="A4" s="11"/>
      <c r="B4" s="12"/>
      <c r="C4" s="12"/>
      <c r="E4" s="13"/>
      <c r="F4" s="13"/>
      <c r="G4" s="13"/>
      <c r="H4" s="13"/>
      <c r="I4" s="13"/>
      <c r="J4" s="13"/>
    </row>
    <row r="5" customFormat="false" ht="13.8" hidden="false" customHeight="false" outlineLevel="0" collapsed="false">
      <c r="A5" s="11"/>
      <c r="B5" s="12"/>
      <c r="C5" s="12"/>
      <c r="E5" s="13"/>
      <c r="F5" s="13"/>
      <c r="G5" s="13"/>
      <c r="H5" s="13"/>
      <c r="I5" s="13"/>
      <c r="J5" s="13"/>
    </row>
    <row r="6" customFormat="false" ht="13.8" hidden="false" customHeight="false" outlineLevel="0" collapsed="false">
      <c r="B6" s="48" t="s">
        <v>114</v>
      </c>
      <c r="C6" s="14"/>
      <c r="E6" s="83"/>
      <c r="F6" s="83"/>
      <c r="G6" s="83"/>
      <c r="H6" s="83"/>
      <c r="I6" s="83"/>
      <c r="J6" s="83"/>
    </row>
    <row r="7" customFormat="false" ht="13.8" hidden="false" customHeight="false" outlineLevel="0" collapsed="false">
      <c r="B7" s="20" t="s">
        <v>53</v>
      </c>
      <c r="C7" s="95" t="n">
        <f aca="false">'Balance Sheet'!C8</f>
        <v>1440</v>
      </c>
      <c r="D7" s="95" t="n">
        <f aca="false">'Balance Sheet'!D8</f>
        <v>1700</v>
      </c>
      <c r="E7" s="95" t="n">
        <f aca="false">'Balance Sheet'!E8</f>
        <v>1960</v>
      </c>
      <c r="F7" s="18" t="n">
        <f aca="false">F11/F15</f>
        <v>2394.20821917808</v>
      </c>
      <c r="G7" s="18" t="n">
        <f aca="false">G11/G15</f>
        <v>2838.61665753425</v>
      </c>
      <c r="H7" s="18" t="n">
        <f aca="false">H11/H15</f>
        <v>3366.09526136986</v>
      </c>
      <c r="I7" s="18" t="n">
        <f aca="false">I11/I15</f>
        <v>3992.27382255342</v>
      </c>
      <c r="J7" s="18" t="n">
        <f aca="false">J11/J15</f>
        <v>4735.74082114893</v>
      </c>
    </row>
    <row r="8" customFormat="false" ht="13.8" hidden="false" customHeight="false" outlineLevel="0" collapsed="false">
      <c r="B8" s="20" t="s">
        <v>54</v>
      </c>
      <c r="C8" s="95" t="n">
        <f aca="false">'Balance Sheet'!C9</f>
        <v>3100</v>
      </c>
      <c r="D8" s="95" t="n">
        <f aca="false">'Balance Sheet'!D9</f>
        <v>3560</v>
      </c>
      <c r="E8" s="95" t="n">
        <f aca="false">'Balance Sheet'!E9</f>
        <v>4000</v>
      </c>
      <c r="F8" s="18" t="n">
        <f aca="false">F12/F16</f>
        <v>4354.71342465753</v>
      </c>
      <c r="G8" s="18" t="n">
        <f aca="false">G12/G16</f>
        <v>5163.33992328767</v>
      </c>
      <c r="H8" s="18" t="n">
        <f aca="false">H12/H16</f>
        <v>6123.18669852055</v>
      </c>
      <c r="I8" s="18" t="n">
        <f aca="false">I12/I16</f>
        <v>7262.72080398027</v>
      </c>
      <c r="J8" s="18" t="n">
        <f aca="false">J12/J16</f>
        <v>8615.80106810494</v>
      </c>
    </row>
    <row r="9" customFormat="false" ht="13.8" hidden="false" customHeight="false" outlineLevel="0" collapsed="false">
      <c r="B9" s="20" t="s">
        <v>65</v>
      </c>
      <c r="C9" s="95" t="n">
        <f aca="false">'Balance Sheet'!C24</f>
        <v>2200</v>
      </c>
      <c r="D9" s="95" t="n">
        <f aca="false">'Balance Sheet'!D24</f>
        <v>2480</v>
      </c>
      <c r="E9" s="95" t="n">
        <f aca="false">'Balance Sheet'!E24</f>
        <v>2760</v>
      </c>
      <c r="F9" s="18" t="n">
        <f aca="false">F12/F17</f>
        <v>2986.08920547945</v>
      </c>
      <c r="G9" s="18" t="n">
        <f aca="false">G12/G17</f>
        <v>3540.57594739726</v>
      </c>
      <c r="H9" s="18" t="n">
        <f aca="false">H12/H17</f>
        <v>4198.75659327123</v>
      </c>
      <c r="I9" s="18" t="n">
        <f aca="false">I12/I17</f>
        <v>4980.15140844362</v>
      </c>
      <c r="J9" s="18" t="n">
        <f aca="false">J12/J17</f>
        <v>5907.97787527196</v>
      </c>
    </row>
    <row r="10" customFormat="false" ht="13.8" hidden="false" customHeight="false" outlineLevel="0" collapsed="false">
      <c r="C10" s="43"/>
      <c r="D10" s="43"/>
      <c r="E10" s="43"/>
      <c r="F10" s="43"/>
      <c r="G10" s="43"/>
      <c r="H10" s="43"/>
      <c r="I10" s="43"/>
      <c r="J10" s="43"/>
    </row>
    <row r="11" customFormat="false" ht="13.8" hidden="false" customHeight="false" outlineLevel="0" collapsed="false">
      <c r="B11" s="48" t="s">
        <v>18</v>
      </c>
      <c r="C11" s="96" t="n">
        <f aca="false">'Income Statement'!C9</f>
        <v>25500</v>
      </c>
      <c r="D11" s="96" t="n">
        <f aca="false">'Income Statement'!D9</f>
        <v>31700</v>
      </c>
      <c r="E11" s="96" t="n">
        <f aca="false">'Income Statement'!E9</f>
        <v>38800</v>
      </c>
      <c r="F11" s="96" t="n">
        <f aca="false">'Income Statement'!G9</f>
        <v>45994</v>
      </c>
      <c r="G11" s="96" t="n">
        <f aca="false">'Income Statement'!H9</f>
        <v>54531.32</v>
      </c>
      <c r="H11" s="96" t="n">
        <f aca="false">'Income Statement'!I9</f>
        <v>64664.4616</v>
      </c>
      <c r="I11" s="96" t="n">
        <f aca="false">'Income Statement'!J9</f>
        <v>76693.681328</v>
      </c>
      <c r="J11" s="96" t="n">
        <f aca="false">'Income Statement'!K9</f>
        <v>90976.07366944</v>
      </c>
    </row>
    <row r="12" customFormat="false" ht="13.8" hidden="false" customHeight="false" outlineLevel="0" collapsed="false">
      <c r="B12" s="48" t="s">
        <v>115</v>
      </c>
      <c r="C12" s="96" t="n">
        <f aca="false">'Income Statement'!C14</f>
        <v>12500</v>
      </c>
      <c r="D12" s="96" t="n">
        <f aca="false">'Income Statement'!D14</f>
        <v>15550</v>
      </c>
      <c r="E12" s="96" t="n">
        <f aca="false">'Income Statement'!E14</f>
        <v>19100</v>
      </c>
      <c r="F12" s="96" t="n">
        <f aca="false">'Income Statement'!G14</f>
        <v>22706.72</v>
      </c>
      <c r="G12" s="96" t="n">
        <f aca="false">'Income Statement'!H14</f>
        <v>26923.1296</v>
      </c>
      <c r="H12" s="96" t="n">
        <f aca="false">'Income Statement'!I14</f>
        <v>31928.044928</v>
      </c>
      <c r="I12" s="96" t="n">
        <f aca="false">'Income Statement'!J14</f>
        <v>37869.90133504</v>
      </c>
      <c r="J12" s="96" t="n">
        <f aca="false">'Income Statement'!K14</f>
        <v>44925.2484265472</v>
      </c>
    </row>
    <row r="13" customFormat="false" ht="13.8" hidden="false" customHeight="false" outlineLevel="0" collapsed="false">
      <c r="C13" s="43"/>
      <c r="D13" s="43"/>
      <c r="E13" s="43"/>
      <c r="F13" s="43"/>
      <c r="G13" s="43"/>
      <c r="H13" s="43"/>
      <c r="I13" s="43"/>
      <c r="J13" s="43"/>
    </row>
    <row r="14" customFormat="false" ht="13.8" hidden="false" customHeight="false" outlineLevel="0" collapsed="false">
      <c r="B14" s="97" t="s">
        <v>116</v>
      </c>
      <c r="C14" s="43"/>
      <c r="D14" s="43"/>
      <c r="E14" s="43"/>
      <c r="F14" s="43"/>
      <c r="G14" s="43"/>
      <c r="H14" s="43"/>
      <c r="I14" s="43"/>
      <c r="J14" s="43"/>
    </row>
    <row r="15" customFormat="false" ht="13.8" hidden="false" customHeight="false" outlineLevel="0" collapsed="false">
      <c r="B15" s="20" t="s">
        <v>117</v>
      </c>
      <c r="C15" s="98" t="n">
        <f aca="false">C11/C7</f>
        <v>17.7083333333333</v>
      </c>
      <c r="D15" s="98" t="n">
        <f aca="false">D11/D7</f>
        <v>18.6470588235294</v>
      </c>
      <c r="E15" s="98" t="n">
        <f aca="false">E11/E7</f>
        <v>19.7959183673469</v>
      </c>
      <c r="F15" s="98" t="n">
        <f aca="false">$L$16/F19</f>
        <v>19.2105263157895</v>
      </c>
      <c r="G15" s="98" t="n">
        <f aca="false">$L$16/G19</f>
        <v>19.2105263157895</v>
      </c>
      <c r="H15" s="98" t="n">
        <f aca="false">$L$16/H19</f>
        <v>19.2105263157895</v>
      </c>
      <c r="I15" s="98" t="n">
        <f aca="false">$L$16/I19</f>
        <v>19.2105263157895</v>
      </c>
      <c r="J15" s="98" t="n">
        <f aca="false">$L$16/J19</f>
        <v>19.2105263157895</v>
      </c>
      <c r="L15" s="99" t="s">
        <v>118</v>
      </c>
    </row>
    <row r="16" customFormat="false" ht="13.8" hidden="false" customHeight="false" outlineLevel="0" collapsed="false">
      <c r="B16" s="20" t="s">
        <v>119</v>
      </c>
      <c r="C16" s="98" t="n">
        <f aca="false">C12/C8</f>
        <v>4.03225806451613</v>
      </c>
      <c r="D16" s="98" t="n">
        <f aca="false">D12/D8</f>
        <v>4.36797752808989</v>
      </c>
      <c r="E16" s="98" t="n">
        <f aca="false">E12/E8</f>
        <v>4.775</v>
      </c>
      <c r="F16" s="98" t="n">
        <f aca="false">$L$16/F20</f>
        <v>5.21428571428571</v>
      </c>
      <c r="G16" s="98" t="n">
        <f aca="false">$L$16/G20</f>
        <v>5.21428571428571</v>
      </c>
      <c r="H16" s="98" t="n">
        <f aca="false">$L$16/H20</f>
        <v>5.21428571428571</v>
      </c>
      <c r="I16" s="98" t="n">
        <f aca="false">$L$16/I20</f>
        <v>5.21428571428571</v>
      </c>
      <c r="J16" s="98" t="n">
        <f aca="false">$L$16/J20</f>
        <v>5.21428571428571</v>
      </c>
      <c r="L16" s="100" t="n">
        <v>365</v>
      </c>
    </row>
    <row r="17" customFormat="false" ht="13.8" hidden="false" customHeight="false" outlineLevel="0" collapsed="false">
      <c r="B17" s="20" t="s">
        <v>120</v>
      </c>
      <c r="C17" s="98" t="n">
        <f aca="false">C12/C9</f>
        <v>5.68181818181818</v>
      </c>
      <c r="D17" s="98" t="n">
        <f aca="false">D12/D9</f>
        <v>6.27016129032258</v>
      </c>
      <c r="E17" s="98" t="n">
        <f aca="false">E12/E9</f>
        <v>6.92028985507246</v>
      </c>
      <c r="F17" s="98" t="n">
        <f aca="false">$L$16/F21</f>
        <v>7.60416666666667</v>
      </c>
      <c r="G17" s="98" t="n">
        <f aca="false">$L$16/G21</f>
        <v>7.60416666666667</v>
      </c>
      <c r="H17" s="98" t="n">
        <f aca="false">$L$16/H21</f>
        <v>7.60416666666667</v>
      </c>
      <c r="I17" s="98" t="n">
        <f aca="false">$L$16/I21</f>
        <v>7.60416666666667</v>
      </c>
      <c r="J17" s="98" t="n">
        <f aca="false">$L$16/J21</f>
        <v>7.60416666666667</v>
      </c>
    </row>
    <row r="18" customFormat="false" ht="13.8" hidden="false" customHeight="false" outlineLevel="0" collapsed="false">
      <c r="C18" s="43"/>
      <c r="D18" s="43"/>
      <c r="E18" s="43"/>
      <c r="F18" s="43"/>
      <c r="G18" s="43"/>
      <c r="H18" s="43"/>
      <c r="I18" s="43"/>
      <c r="J18" s="43"/>
    </row>
    <row r="19" customFormat="false" ht="13.8" hidden="false" customHeight="false" outlineLevel="0" collapsed="false">
      <c r="B19" s="20" t="s">
        <v>121</v>
      </c>
      <c r="C19" s="98" t="n">
        <f aca="false">$L$16/C15</f>
        <v>20.6117647058824</v>
      </c>
      <c r="D19" s="98" t="n">
        <f aca="false">$L$16/D15</f>
        <v>19.5741324921136</v>
      </c>
      <c r="E19" s="98" t="n">
        <f aca="false">$L$16/E15</f>
        <v>18.4381443298969</v>
      </c>
      <c r="F19" s="101" t="n">
        <v>19</v>
      </c>
      <c r="G19" s="101" t="n">
        <v>19</v>
      </c>
      <c r="H19" s="101" t="n">
        <v>19</v>
      </c>
      <c r="I19" s="101" t="n">
        <v>19</v>
      </c>
      <c r="J19" s="101" t="n">
        <v>19</v>
      </c>
    </row>
    <row r="20" customFormat="false" ht="13.8" hidden="false" customHeight="false" outlineLevel="0" collapsed="false">
      <c r="B20" s="20" t="s">
        <v>122</v>
      </c>
      <c r="C20" s="102" t="n">
        <f aca="false">$L$16/C16</f>
        <v>90.52</v>
      </c>
      <c r="D20" s="102" t="n">
        <f aca="false">$L$16/D16</f>
        <v>83.5627009646302</v>
      </c>
      <c r="E20" s="102" t="n">
        <f aca="false">$L$16/E16</f>
        <v>76.4397905759162</v>
      </c>
      <c r="F20" s="101" t="n">
        <v>70</v>
      </c>
      <c r="G20" s="101" t="n">
        <v>70</v>
      </c>
      <c r="H20" s="101" t="n">
        <v>70</v>
      </c>
      <c r="I20" s="101" t="n">
        <v>70</v>
      </c>
      <c r="J20" s="101" t="n">
        <v>70</v>
      </c>
    </row>
    <row r="21" customFormat="false" ht="13.8" hidden="false" customHeight="false" outlineLevel="0" collapsed="false">
      <c r="B21" s="20" t="s">
        <v>123</v>
      </c>
      <c r="C21" s="98" t="n">
        <f aca="false">$L$16/C17</f>
        <v>64.24</v>
      </c>
      <c r="D21" s="98" t="n">
        <f aca="false">$L$16/D17</f>
        <v>58.2122186495177</v>
      </c>
      <c r="E21" s="98" t="n">
        <f aca="false">$L$16/E17</f>
        <v>52.7434554973822</v>
      </c>
      <c r="F21" s="101" t="n">
        <v>48</v>
      </c>
      <c r="G21" s="101" t="n">
        <v>48</v>
      </c>
      <c r="H21" s="101" t="n">
        <v>48</v>
      </c>
      <c r="I21" s="101" t="n">
        <v>48</v>
      </c>
      <c r="J21" s="101" t="n">
        <v>48</v>
      </c>
    </row>
    <row r="22" customFormat="false" ht="13.8" hidden="false" customHeight="false" outlineLevel="0" collapsed="false">
      <c r="B22" s="103" t="s">
        <v>124</v>
      </c>
      <c r="C22" s="104" t="n">
        <f aca="false">C19+C20-C21</f>
        <v>46.8917647058824</v>
      </c>
      <c r="D22" s="104" t="n">
        <f aca="false">D19+D20-D21</f>
        <v>44.9246148072261</v>
      </c>
      <c r="E22" s="104" t="n">
        <f aca="false">E19+E20-E21</f>
        <v>42.1344794084309</v>
      </c>
      <c r="F22" s="104" t="n">
        <f aca="false">F19+F20-F21</f>
        <v>41</v>
      </c>
      <c r="G22" s="104" t="n">
        <f aca="false">G19+G20-G21</f>
        <v>41</v>
      </c>
      <c r="H22" s="104" t="n">
        <f aca="false">H19+H20-H21</f>
        <v>41</v>
      </c>
      <c r="I22" s="104" t="n">
        <f aca="false">I19+I20-I21</f>
        <v>41</v>
      </c>
      <c r="J22" s="104" t="n">
        <f aca="false">J19+J20-J21</f>
        <v>41</v>
      </c>
    </row>
    <row r="33" customFormat="false" ht="13.8" hidden="false" customHeight="false" outlineLevel="0" collapsed="false">
      <c r="B33" s="48"/>
    </row>
    <row r="34" customFormat="false" ht="13.8" hidden="false" customHeight="false" outlineLevel="0" collapsed="false">
      <c r="B34" s="48"/>
    </row>
    <row r="47" customFormat="false" ht="13.8" hidden="false" customHeight="false" outlineLevel="0" collapsed="false">
      <c r="F47" s="20" t="s">
        <v>125</v>
      </c>
    </row>
    <row r="2385" customFormat="false" ht="13.8" hidden="false" customHeight="false" outlineLevel="0" collapsed="false">
      <c r="F2385" s="20" t="s">
        <v>125</v>
      </c>
    </row>
    <row r="2386" customFormat="false" ht="13.8" hidden="false" customHeight="false" outlineLevel="0" collapsed="false">
      <c r="F2386" s="20" t="s">
        <v>125</v>
      </c>
    </row>
    <row r="2685" customFormat="false" ht="13.8" hidden="false" customHeight="false" outlineLevel="0" collapsed="false">
      <c r="F2685" s="20" t="s">
        <v>125</v>
      </c>
    </row>
    <row r="2686" customFormat="false" ht="13.8" hidden="false" customHeight="false" outlineLevel="0" collapsed="false">
      <c r="F2686" s="20" t="s">
        <v>125</v>
      </c>
    </row>
    <row r="2687" customFormat="false" ht="13.8" hidden="false" customHeight="false" outlineLevel="0" collapsed="false">
      <c r="F2687" s="20" t="s">
        <v>125</v>
      </c>
    </row>
    <row r="2688" customFormat="false" ht="13.8" hidden="false" customHeight="false" outlineLevel="0" collapsed="false">
      <c r="F2688" s="20" t="s">
        <v>125</v>
      </c>
    </row>
    <row r="1048543" customFormat="false" ht="13.8" hidden="false" customHeight="false" outlineLevel="0" collapsed="false">
      <c r="F1048543" s="20" t="s">
        <v>125</v>
      </c>
    </row>
    <row r="1048544" customFormat="false" ht="13.5" hidden="false" customHeight="false" outlineLevel="0" collapsed="false"/>
    <row r="1048545" customFormat="false" ht="13.5" hidden="false" customHeight="false" outlineLevel="0" collapsed="false"/>
    <row r="1048546" customFormat="false" ht="13.5" hidden="false" customHeight="false" outlineLevel="0" collapsed="false"/>
    <row r="1048547" customFormat="false" ht="13.5" hidden="false" customHeight="false" outlineLevel="0" collapsed="false"/>
    <row r="1048548" customFormat="false" ht="13.5" hidden="false" customHeight="false" outlineLevel="0" collapsed="false"/>
    <row r="1048549" customFormat="false" ht="13.5" hidden="false" customHeight="false" outlineLevel="0" collapsed="false"/>
    <row r="1048550" customFormat="false" ht="13.5" hidden="false" customHeight="false" outlineLevel="0" collapsed="false"/>
    <row r="1048551" customFormat="false" ht="13.5" hidden="false" customHeight="false" outlineLevel="0" collapsed="false"/>
    <row r="1048552" customFormat="false" ht="13.5" hidden="false" customHeight="false" outlineLevel="0" collapsed="false"/>
    <row r="1048553" customFormat="false" ht="13.5" hidden="false" customHeight="false" outlineLevel="0" collapsed="false"/>
    <row r="1048554" customFormat="false" ht="13.5" hidden="false" customHeight="false" outlineLevel="0" collapsed="false"/>
    <row r="1048555" customFormat="false" ht="13.5" hidden="false" customHeight="false" outlineLevel="0" collapsed="false"/>
    <row r="1048556" customFormat="false" ht="13.5" hidden="false" customHeight="false" outlineLevel="0" collapsed="false"/>
    <row r="1048557" customFormat="false" ht="13.5" hidden="false" customHeight="false" outlineLevel="0" collapsed="false"/>
    <row r="1048558" customFormat="false" ht="13.5" hidden="false" customHeight="false" outlineLevel="0" collapsed="false"/>
    <row r="1048559" customFormat="false" ht="13.5" hidden="false" customHeight="false" outlineLevel="0" collapsed="false"/>
    <row r="1048560" customFormat="false" ht="13.5" hidden="false" customHeight="false" outlineLevel="0" collapsed="false"/>
    <row r="1048561" customFormat="false" ht="13.5" hidden="false" customHeight="false" outlineLevel="0" collapsed="false"/>
    <row r="1048562" customFormat="false" ht="13.5" hidden="false" customHeight="false" outlineLevel="0" collapsed="false"/>
    <row r="1048563" customFormat="false" ht="13.5" hidden="false" customHeight="false" outlineLevel="0" collapsed="false"/>
    <row r="1048564" customFormat="false" ht="13.5" hidden="false" customHeight="false" outlineLevel="0" collapsed="false"/>
    <row r="1048565" customFormat="false" ht="13.5" hidden="false" customHeight="false" outlineLevel="0" collapsed="false"/>
    <row r="1048566" customFormat="false" ht="13.5" hidden="false" customHeight="false" outlineLevel="0" collapsed="false"/>
    <row r="1048567" customFormat="false" ht="13.5" hidden="false" customHeight="false" outlineLevel="0" collapsed="false"/>
    <row r="1048568" customFormat="false" ht="13.5" hidden="false" customHeight="false" outlineLevel="0" collapsed="false"/>
    <row r="1048569" customFormat="false" ht="13.5" hidden="false" customHeight="false" outlineLevel="0" collapsed="false"/>
    <row r="1048570" customFormat="false" ht="13.5" hidden="false" customHeight="false" outlineLevel="0" collapsed="false"/>
    <row r="1048571" customFormat="false" ht="13.5" hidden="false" customHeight="false" outlineLevel="0" collapsed="false"/>
    <row r="1048572" customFormat="false" ht="13.5" hidden="false" customHeight="false" outlineLevel="0" collapsed="false"/>
    <row r="1048573" customFormat="false" ht="13.5" hidden="false" customHeight="false" outlineLevel="0" collapsed="false"/>
    <row r="1048574" customFormat="false" ht="13.5" hidden="false" customHeight="false" outlineLevel="0" collapsed="false"/>
    <row r="1048575" customFormat="false" ht="13.5" hidden="false" customHeight="false" outlineLevel="0" collapsed="false"/>
    <row r="1048576" customFormat="false" ht="13.5" hidden="false" customHeight="false" outlineLevel="0" collapsed="false"/>
  </sheetData>
  <mergeCells count="2">
    <mergeCell ref="C1:E1"/>
    <mergeCell ref="F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493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4" topLeftCell="A5" activePane="bottomLeft" state="frozen"/>
      <selection pane="topLeft" activeCell="A1" activeCellId="0" sqref="A1"/>
      <selection pane="bottomLeft" activeCell="E85" activeCellId="0" sqref="E85"/>
    </sheetView>
  </sheetViews>
  <sheetFormatPr defaultColWidth="8.66796875" defaultRowHeight="13.5" customHeight="false" zeroHeight="false" outlineLevelRow="0" outlineLevelCol="0"/>
  <cols>
    <col collapsed="false" customWidth="true" hidden="false" outlineLevel="0" max="1" min="1" style="20" width="3.56"/>
    <col collapsed="false" customWidth="true" hidden="false" outlineLevel="0" max="2" min="2" style="20" width="53.56"/>
    <col collapsed="false" customWidth="true" hidden="false" outlineLevel="0" max="3" min="3" style="20" width="9.56"/>
    <col collapsed="false" customWidth="true" hidden="false" outlineLevel="0" max="4" min="4" style="20" width="14.56"/>
    <col collapsed="false" customWidth="true" hidden="false" outlineLevel="0" max="9" min="5" style="20" width="12.56"/>
    <col collapsed="false" customWidth="true" hidden="false" outlineLevel="0" max="10" min="10" style="20" width="10.56"/>
    <col collapsed="false" customWidth="false" hidden="false" outlineLevel="0" max="16384" min="11" style="20" width="8.67"/>
  </cols>
  <sheetData>
    <row r="1" customFormat="false" ht="36.75" hidden="false" customHeight="true" outlineLevel="0" collapsed="false">
      <c r="A1" s="3" t="s">
        <v>126</v>
      </c>
      <c r="B1" s="4"/>
      <c r="C1" s="5" t="s">
        <v>1</v>
      </c>
      <c r="D1" s="5"/>
      <c r="E1" s="5"/>
      <c r="F1" s="5" t="s">
        <v>3</v>
      </c>
      <c r="G1" s="5"/>
      <c r="H1" s="5"/>
      <c r="I1" s="5"/>
      <c r="J1" s="5"/>
    </row>
    <row r="2" customFormat="false" ht="13.8" hidden="false" customHeight="false" outlineLevel="0" collapsed="false">
      <c r="A2" s="7" t="s">
        <v>4</v>
      </c>
      <c r="B2" s="8"/>
      <c r="C2" s="9" t="s">
        <v>5</v>
      </c>
      <c r="D2" s="9" t="s">
        <v>6</v>
      </c>
      <c r="E2" s="9" t="s">
        <v>7</v>
      </c>
      <c r="F2" s="10" t="s">
        <v>9</v>
      </c>
      <c r="G2" s="10" t="s">
        <v>10</v>
      </c>
      <c r="H2" s="10" t="s">
        <v>11</v>
      </c>
      <c r="I2" s="10" t="s">
        <v>12</v>
      </c>
      <c r="J2" s="10" t="s">
        <v>13</v>
      </c>
    </row>
    <row r="3" customFormat="false" ht="13.8" hidden="false" customHeight="false" outlineLevel="0" collapsed="false">
      <c r="A3" s="11"/>
      <c r="B3" s="12"/>
      <c r="C3" s="12"/>
      <c r="E3" s="13"/>
      <c r="F3" s="13"/>
      <c r="G3" s="13"/>
      <c r="H3" s="13"/>
      <c r="I3" s="13"/>
      <c r="J3" s="13"/>
    </row>
    <row r="4" customFormat="false" ht="13.8" hidden="false" customHeight="false" outlineLevel="0" collapsed="false">
      <c r="A4" s="11"/>
      <c r="B4" s="12"/>
      <c r="C4" s="12"/>
      <c r="E4" s="13"/>
      <c r="F4" s="13"/>
      <c r="G4" s="13"/>
      <c r="H4" s="13"/>
      <c r="I4" s="13"/>
      <c r="J4" s="13"/>
    </row>
    <row r="5" customFormat="false" ht="13.8" hidden="false" customHeight="false" outlineLevel="0" collapsed="false">
      <c r="A5" s="11"/>
      <c r="B5" s="12"/>
      <c r="C5" s="12"/>
      <c r="E5" s="13"/>
      <c r="F5" s="13"/>
      <c r="G5" s="13"/>
      <c r="H5" s="13"/>
      <c r="I5" s="13"/>
      <c r="J5" s="13"/>
    </row>
    <row r="6" customFormat="false" ht="13.8" hidden="false" customHeight="false" outlineLevel="0" collapsed="false">
      <c r="B6" s="48" t="s">
        <v>68</v>
      </c>
      <c r="E6" s="18"/>
      <c r="F6" s="18"/>
      <c r="G6" s="18"/>
      <c r="H6" s="18"/>
      <c r="I6" s="18"/>
      <c r="J6" s="18"/>
    </row>
    <row r="7" customFormat="false" ht="13.8" hidden="false" customHeight="false" outlineLevel="0" collapsed="false">
      <c r="B7" s="20" t="s">
        <v>127</v>
      </c>
      <c r="E7" s="18"/>
      <c r="F7" s="18" t="n">
        <f aca="false">E10</f>
        <v>25200</v>
      </c>
      <c r="G7" s="18" t="n">
        <f aca="false">F10</f>
        <v>24200</v>
      </c>
      <c r="H7" s="18" t="n">
        <f aca="false">G10</f>
        <v>23200</v>
      </c>
      <c r="I7" s="18" t="n">
        <f aca="false">H10</f>
        <v>22200</v>
      </c>
      <c r="J7" s="18" t="n">
        <f aca="false">I10</f>
        <v>21200</v>
      </c>
    </row>
    <row r="8" customFormat="false" ht="13.8" hidden="false" customHeight="false" outlineLevel="0" collapsed="false">
      <c r="B8" s="20" t="s">
        <v>128</v>
      </c>
      <c r="E8" s="18"/>
      <c r="F8" s="17" t="n">
        <v>1000</v>
      </c>
      <c r="G8" s="17" t="n">
        <v>1000</v>
      </c>
      <c r="H8" s="17" t="n">
        <v>1000</v>
      </c>
      <c r="I8" s="17" t="n">
        <v>1000</v>
      </c>
      <c r="J8" s="17" t="n">
        <v>1000</v>
      </c>
    </row>
    <row r="9" customFormat="false" ht="18" hidden="false" customHeight="true" outlineLevel="0" collapsed="false">
      <c r="B9" s="20" t="s">
        <v>129</v>
      </c>
      <c r="E9" s="18"/>
      <c r="F9" s="17" t="n">
        <v>-2000</v>
      </c>
      <c r="G9" s="17" t="n">
        <v>-2000</v>
      </c>
      <c r="H9" s="17" t="n">
        <v>-2000</v>
      </c>
      <c r="I9" s="17" t="n">
        <v>-2000</v>
      </c>
      <c r="J9" s="17" t="n">
        <v>-2000</v>
      </c>
    </row>
    <row r="10" customFormat="false" ht="13.5" hidden="false" customHeight="false" outlineLevel="0" collapsed="false">
      <c r="B10" s="76" t="s">
        <v>130</v>
      </c>
      <c r="C10" s="76"/>
      <c r="D10" s="76"/>
      <c r="E10" s="105" t="n">
        <f aca="false">'Balance Sheet'!E28</f>
        <v>25200</v>
      </c>
      <c r="F10" s="106" t="n">
        <f aca="false">SUM(F7:F9)</f>
        <v>24200</v>
      </c>
      <c r="G10" s="106" t="n">
        <f aca="false">SUM(G7:G9)</f>
        <v>23200</v>
      </c>
      <c r="H10" s="106" t="n">
        <f aca="false">SUM(H7:H9)</f>
        <v>22200</v>
      </c>
      <c r="I10" s="106" t="n">
        <f aca="false">SUM(I7:I9)</f>
        <v>21200</v>
      </c>
      <c r="J10" s="106" t="n">
        <f aca="false">SUM(J7:J9)</f>
        <v>20200</v>
      </c>
    </row>
    <row r="11" customFormat="false" ht="13.5" hidden="false" customHeight="false" outlineLevel="0" collapsed="false">
      <c r="E11" s="18"/>
      <c r="F11" s="18"/>
      <c r="G11" s="18"/>
      <c r="H11" s="18"/>
      <c r="I11" s="18"/>
      <c r="J11" s="18"/>
    </row>
    <row r="12" customFormat="false" ht="13.5" hidden="false" customHeight="false" outlineLevel="0" collapsed="false">
      <c r="B12" s="14" t="s">
        <v>131</v>
      </c>
      <c r="E12" s="18"/>
      <c r="F12" s="18"/>
      <c r="G12" s="18"/>
      <c r="H12" s="18"/>
      <c r="I12" s="18"/>
      <c r="J12" s="18"/>
    </row>
    <row r="13" customFormat="false" ht="13.5" hidden="false" customHeight="false" outlineLevel="0" collapsed="false">
      <c r="B13" s="20" t="s">
        <v>132</v>
      </c>
      <c r="E13" s="18"/>
      <c r="F13" s="18" t="n">
        <f aca="false">AVERAGE(E10:F10)</f>
        <v>24700</v>
      </c>
      <c r="G13" s="18" t="n">
        <f aca="false">AVERAGE(F10:G10)</f>
        <v>23700</v>
      </c>
      <c r="H13" s="18" t="n">
        <f aca="false">AVERAGE(G10:H10)</f>
        <v>22700</v>
      </c>
      <c r="I13" s="18" t="n">
        <f aca="false">AVERAGE(H10:I10)</f>
        <v>21700</v>
      </c>
      <c r="J13" s="18" t="n">
        <f aca="false">AVERAGE(I10:J10)</f>
        <v>20700</v>
      </c>
    </row>
    <row r="14" customFormat="false" ht="13.5" hidden="false" customHeight="false" outlineLevel="0" collapsed="false">
      <c r="B14" s="20" t="s">
        <v>133</v>
      </c>
      <c r="E14" s="18"/>
      <c r="F14" s="107" t="n">
        <v>0.09</v>
      </c>
      <c r="G14" s="107" t="n">
        <v>0.09</v>
      </c>
      <c r="H14" s="107" t="n">
        <v>0.09</v>
      </c>
      <c r="I14" s="107" t="n">
        <v>0.09</v>
      </c>
      <c r="J14" s="107" t="n">
        <v>0.09</v>
      </c>
    </row>
    <row r="15" customFormat="false" ht="13.5" hidden="false" customHeight="false" outlineLevel="0" collapsed="false">
      <c r="B15" s="76" t="s">
        <v>27</v>
      </c>
      <c r="C15" s="76"/>
      <c r="D15" s="76"/>
      <c r="E15" s="106"/>
      <c r="F15" s="106" t="n">
        <f aca="false">F13*F14</f>
        <v>2223</v>
      </c>
      <c r="G15" s="106" t="n">
        <f aca="false">G13*G14</f>
        <v>2133</v>
      </c>
      <c r="H15" s="106" t="n">
        <f aca="false">H13*H14</f>
        <v>2043</v>
      </c>
      <c r="I15" s="106" t="n">
        <f aca="false">I13*I14</f>
        <v>1953</v>
      </c>
      <c r="J15" s="106" t="n">
        <f aca="false">J13*J14</f>
        <v>1863</v>
      </c>
    </row>
    <row r="16" customFormat="false" ht="13.5" hidden="false" customHeight="false" outlineLevel="0" collapsed="false">
      <c r="E16" s="18"/>
      <c r="F16" s="18"/>
      <c r="G16" s="18"/>
      <c r="H16" s="18"/>
      <c r="I16" s="18"/>
      <c r="J16" s="18"/>
    </row>
    <row r="17" customFormat="false" ht="13.5" hidden="false" customHeight="false" outlineLevel="0" collapsed="false">
      <c r="B17" s="14" t="s">
        <v>134</v>
      </c>
      <c r="E17" s="18"/>
      <c r="F17" s="18"/>
      <c r="G17" s="18"/>
      <c r="H17" s="18"/>
      <c r="I17" s="18"/>
      <c r="J17" s="18"/>
    </row>
    <row r="18" customFormat="false" ht="13.5" hidden="false" customHeight="false" outlineLevel="0" collapsed="false">
      <c r="B18" s="20" t="s">
        <v>135</v>
      </c>
      <c r="E18" s="18"/>
      <c r="F18" s="18" t="n">
        <f aca="false">'Cash Flow'!F26</f>
        <v>1400</v>
      </c>
      <c r="G18" s="18" t="n">
        <f aca="false">'Cash Flow'!G26</f>
        <v>1204.18426164384</v>
      </c>
      <c r="H18" s="18" t="n">
        <f aca="false">'Cash Flow'!H26</f>
        <v>1855.87019890792</v>
      </c>
      <c r="I18" s="18" t="n">
        <f aca="false">'Cash Flow'!I26</f>
        <v>3831.5006764443</v>
      </c>
      <c r="J18" s="18" t="n">
        <f aca="false">'Cash Flow'!J26</f>
        <v>8673.72866492208</v>
      </c>
    </row>
    <row r="19" customFormat="false" ht="13.5" hidden="false" customHeight="false" outlineLevel="0" collapsed="false">
      <c r="B19" s="20" t="s">
        <v>136</v>
      </c>
      <c r="E19" s="18"/>
      <c r="F19" s="107" t="n">
        <v>0.03</v>
      </c>
      <c r="G19" s="107" t="n">
        <v>0.03</v>
      </c>
      <c r="H19" s="107" t="n">
        <v>0.03</v>
      </c>
      <c r="I19" s="107" t="n">
        <v>0.03</v>
      </c>
      <c r="J19" s="107" t="n">
        <v>0.03</v>
      </c>
    </row>
    <row r="20" customFormat="false" ht="13.5" hidden="false" customHeight="false" outlineLevel="0" collapsed="false">
      <c r="B20" s="76" t="s">
        <v>137</v>
      </c>
      <c r="C20" s="76"/>
      <c r="D20" s="76"/>
      <c r="E20" s="106"/>
      <c r="F20" s="106" t="n">
        <f aca="false">F18*F19</f>
        <v>42</v>
      </c>
      <c r="G20" s="106" t="n">
        <f aca="false">G18*G19</f>
        <v>36.1255278493151</v>
      </c>
      <c r="H20" s="106" t="n">
        <f aca="false">H18*H19</f>
        <v>55.6761059672375</v>
      </c>
      <c r="I20" s="106" t="n">
        <f aca="false">I18*I19</f>
        <v>114.945020293329</v>
      </c>
      <c r="J20" s="106" t="n">
        <f aca="false">J18*J19</f>
        <v>260.211859947662</v>
      </c>
    </row>
    <row r="21" customFormat="false" ht="13.5" hidden="false" customHeight="false" outlineLevel="0" collapsed="false">
      <c r="E21" s="79"/>
      <c r="F21" s="79"/>
      <c r="G21" s="79"/>
      <c r="H21" s="79"/>
      <c r="I21" s="79"/>
      <c r="J21" s="79"/>
    </row>
    <row r="22" customFormat="false" ht="13.5" hidden="false" customHeight="false" outlineLevel="0" collapsed="false">
      <c r="E22" s="79"/>
      <c r="F22" s="79"/>
      <c r="G22" s="79"/>
      <c r="H22" s="79"/>
      <c r="I22" s="79"/>
      <c r="J22" s="79"/>
    </row>
    <row r="23" customFormat="false" ht="13.5" hidden="false" customHeight="false" outlineLevel="0" collapsed="false">
      <c r="B23" s="20" t="s">
        <v>138</v>
      </c>
    </row>
    <row r="24" customFormat="false" ht="13.5" hidden="false" customHeight="false" outlineLevel="0" collapsed="false">
      <c r="B24" s="20" t="s">
        <v>139</v>
      </c>
    </row>
    <row r="2335" customFormat="false" ht="13.5" hidden="false" customHeight="false" outlineLevel="0" collapsed="false">
      <c r="F2335" s="20" t="s">
        <v>125</v>
      </c>
    </row>
    <row r="2336" customFormat="false" ht="13.5" hidden="false" customHeight="false" outlineLevel="0" collapsed="false">
      <c r="F2336" s="20" t="s">
        <v>125</v>
      </c>
    </row>
    <row r="1048493" customFormat="false" ht="13.5" hidden="false" customHeight="false" outlineLevel="0" collapsed="false">
      <c r="F1048493" s="20" t="s">
        <v>125</v>
      </c>
    </row>
  </sheetData>
  <mergeCells count="2">
    <mergeCell ref="C1:E1"/>
    <mergeCell ref="F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S56" activeCellId="0" sqref="S56"/>
    </sheetView>
  </sheetViews>
  <sheetFormatPr defaultColWidth="8.88671875" defaultRowHeight="14.25" customHeight="false" zeroHeight="false" outlineLevelRow="0" outlineLevelCol="0"/>
  <cols>
    <col collapsed="false" customWidth="true" hidden="false" outlineLevel="0" max="1" min="1" style="108" width="1.88"/>
    <col collapsed="false" customWidth="false" hidden="false" outlineLevel="0" max="4" min="2" style="108" width="8.88"/>
    <col collapsed="false" customWidth="true" hidden="false" outlineLevel="0" max="5" min="5" style="108" width="1.44"/>
    <col collapsed="false" customWidth="false" hidden="false" outlineLevel="0" max="6" min="6" style="108" width="8.88"/>
    <col collapsed="false" customWidth="true" hidden="false" outlineLevel="0" max="7" min="7" style="108" width="10.44"/>
    <col collapsed="false" customWidth="false" hidden="false" outlineLevel="0" max="8" min="8" style="108" width="8.88"/>
    <col collapsed="false" customWidth="true" hidden="false" outlineLevel="0" max="9" min="9" style="108" width="1.44"/>
    <col collapsed="false" customWidth="false" hidden="false" outlineLevel="0" max="10" min="10" style="108" width="8.88"/>
    <col collapsed="false" customWidth="true" hidden="false" outlineLevel="0" max="11" min="11" style="108" width="10.44"/>
    <col collapsed="false" customWidth="false" hidden="false" outlineLevel="0" max="12" min="12" style="108" width="8.88"/>
    <col collapsed="false" customWidth="true" hidden="false" outlineLevel="0" max="13" min="13" style="108" width="1.11"/>
    <col collapsed="false" customWidth="false" hidden="false" outlineLevel="0" max="14" min="14" style="108" width="8.88"/>
    <col collapsed="false" customWidth="true" hidden="false" outlineLevel="0" max="15" min="15" style="108" width="10.44"/>
    <col collapsed="false" customWidth="false" hidden="false" outlineLevel="0" max="16" min="16" style="108" width="8.88"/>
    <col collapsed="false" customWidth="true" hidden="false" outlineLevel="0" max="17" min="17" style="108" width="1.33"/>
    <col collapsed="false" customWidth="false" hidden="false" outlineLevel="0" max="19" min="18" style="108" width="8.88"/>
    <col collapsed="false" customWidth="true" hidden="false" outlineLevel="0" max="20" min="20" style="108" width="10.44"/>
    <col collapsed="false" customWidth="true" hidden="false" outlineLevel="0" max="21" min="21" style="108" width="1.33"/>
    <col collapsed="false" customWidth="false" hidden="false" outlineLevel="0" max="23" min="22" style="108" width="8.88"/>
    <col collapsed="false" customWidth="true" hidden="false" outlineLevel="0" max="24" min="24" style="108" width="11.11"/>
    <col collapsed="false" customWidth="true" hidden="false" outlineLevel="0" max="25" min="25" style="108" width="3.88"/>
    <col collapsed="false" customWidth="false" hidden="false" outlineLevel="0" max="27" min="26" style="108" width="8.88"/>
    <col collapsed="false" customWidth="true" hidden="false" outlineLevel="0" max="28" min="28" style="108" width="2.56"/>
    <col collapsed="false" customWidth="false" hidden="false" outlineLevel="0" max="16384" min="29" style="108" width="8.88"/>
  </cols>
  <sheetData>
    <row r="1" customFormat="false" ht="14.25" hidden="false" customHeight="true" outlineLevel="0" collapsed="false">
      <c r="A1" s="109"/>
      <c r="B1" s="110" t="s">
        <v>140</v>
      </c>
      <c r="C1" s="110"/>
      <c r="D1" s="110"/>
      <c r="E1" s="110"/>
      <c r="F1" s="110"/>
      <c r="G1" s="110"/>
      <c r="H1" s="111" t="s">
        <v>141</v>
      </c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</row>
    <row r="2" customFormat="false" ht="15" hidden="false" customHeight="true" outlineLevel="0" collapsed="false">
      <c r="A2" s="109"/>
      <c r="B2" s="110"/>
      <c r="C2" s="110"/>
      <c r="D2" s="110"/>
      <c r="E2" s="110"/>
      <c r="F2" s="110"/>
      <c r="G2" s="110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</row>
    <row r="3" customFormat="false" ht="45" hidden="false" customHeight="true" outlineLevel="0" collapsed="false">
      <c r="A3" s="109"/>
      <c r="B3" s="110"/>
      <c r="C3" s="110"/>
      <c r="D3" s="110"/>
      <c r="E3" s="110"/>
      <c r="F3" s="110"/>
      <c r="G3" s="110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</row>
    <row r="4" customFormat="false" ht="14.25" hidden="false" customHeight="true" outlineLevel="0" collapsed="false">
      <c r="A4" s="112"/>
      <c r="B4" s="113" t="s">
        <v>109</v>
      </c>
      <c r="C4" s="113"/>
      <c r="D4" s="113"/>
      <c r="F4" s="113" t="s">
        <v>90</v>
      </c>
      <c r="G4" s="113"/>
      <c r="H4" s="113"/>
      <c r="J4" s="113" t="s">
        <v>142</v>
      </c>
      <c r="K4" s="113"/>
      <c r="L4" s="113"/>
      <c r="N4" s="113" t="s">
        <v>69</v>
      </c>
      <c r="O4" s="113"/>
      <c r="P4" s="113"/>
      <c r="R4" s="113" t="s">
        <v>143</v>
      </c>
      <c r="S4" s="113"/>
      <c r="T4" s="113"/>
      <c r="V4" s="113" t="s">
        <v>33</v>
      </c>
      <c r="W4" s="113"/>
      <c r="X4" s="113"/>
      <c r="Y4" s="112"/>
      <c r="Z4" s="112"/>
    </row>
    <row r="5" customFormat="false" ht="14.25" hidden="false" customHeight="true" outlineLevel="0" collapsed="false">
      <c r="A5" s="112"/>
      <c r="B5" s="113"/>
      <c r="C5" s="113"/>
      <c r="D5" s="113"/>
      <c r="F5" s="113"/>
      <c r="G5" s="113"/>
      <c r="H5" s="113"/>
      <c r="J5" s="113"/>
      <c r="K5" s="113"/>
      <c r="L5" s="113"/>
      <c r="N5" s="113"/>
      <c r="O5" s="113"/>
      <c r="P5" s="113"/>
      <c r="R5" s="113"/>
      <c r="S5" s="113"/>
      <c r="T5" s="113"/>
      <c r="V5" s="113"/>
      <c r="W5" s="113"/>
      <c r="X5" s="113"/>
      <c r="Y5" s="112"/>
      <c r="Z5" s="112"/>
    </row>
    <row r="6" customFormat="false" ht="14.25" hidden="false" customHeight="true" outlineLevel="0" collapsed="false">
      <c r="A6" s="112"/>
      <c r="B6" s="113"/>
      <c r="C6" s="113"/>
      <c r="D6" s="113"/>
      <c r="F6" s="113"/>
      <c r="G6" s="113"/>
      <c r="H6" s="113"/>
      <c r="J6" s="113"/>
      <c r="K6" s="113"/>
      <c r="L6" s="113"/>
      <c r="N6" s="113"/>
      <c r="O6" s="113"/>
      <c r="P6" s="113"/>
      <c r="R6" s="113"/>
      <c r="S6" s="113"/>
      <c r="T6" s="113"/>
      <c r="V6" s="113"/>
      <c r="W6" s="113"/>
      <c r="X6" s="113"/>
      <c r="Y6" s="112"/>
      <c r="Z6" s="112"/>
    </row>
    <row r="7" customFormat="false" ht="14.25" hidden="false" customHeight="true" outlineLevel="0" collapsed="false">
      <c r="A7" s="114"/>
      <c r="B7" s="115" t="n">
        <f aca="false">'Income Statement'!K9</f>
        <v>90976.07366944</v>
      </c>
      <c r="C7" s="115"/>
      <c r="D7" s="115"/>
      <c r="F7" s="115" t="n">
        <f aca="false">'Income Statement'!K30</f>
        <v>20458.1002967715</v>
      </c>
      <c r="G7" s="115"/>
      <c r="H7" s="115"/>
      <c r="J7" s="115" t="n">
        <f aca="false">'Cash Flow'!J27</f>
        <v>16057.0314809266</v>
      </c>
      <c r="K7" s="115"/>
      <c r="L7" s="115"/>
      <c r="N7" s="115" t="n">
        <f aca="false">'Balance Sheet'!K29</f>
        <v>20200</v>
      </c>
      <c r="O7" s="115"/>
      <c r="P7" s="115"/>
      <c r="R7" s="115" t="n">
        <f aca="false">'Cash Flow'!J14-'Dep Capex'!J11</f>
        <v>8383.30281600451</v>
      </c>
      <c r="S7" s="115"/>
      <c r="T7" s="115"/>
      <c r="V7" s="116" t="n">
        <f aca="false">'Income Statement'!K18/'Income Statement'!K9</f>
        <v>0.356186114496628</v>
      </c>
      <c r="W7" s="116"/>
      <c r="X7" s="116"/>
      <c r="Y7" s="117"/>
      <c r="Z7" s="117"/>
    </row>
    <row r="8" customFormat="false" ht="14.25" hidden="false" customHeight="true" outlineLevel="0" collapsed="false">
      <c r="A8" s="114"/>
      <c r="B8" s="115"/>
      <c r="C8" s="115"/>
      <c r="D8" s="115"/>
      <c r="F8" s="115"/>
      <c r="G8" s="115"/>
      <c r="H8" s="115"/>
      <c r="J8" s="115"/>
      <c r="K8" s="115"/>
      <c r="L8" s="115"/>
      <c r="N8" s="115"/>
      <c r="O8" s="115"/>
      <c r="P8" s="115"/>
      <c r="R8" s="115"/>
      <c r="S8" s="115"/>
      <c r="T8" s="115"/>
      <c r="V8" s="116"/>
      <c r="W8" s="116"/>
      <c r="X8" s="116"/>
      <c r="Y8" s="117"/>
      <c r="Z8" s="117"/>
    </row>
    <row r="9" customFormat="false" ht="14.25" hidden="false" customHeight="true" outlineLevel="0" collapsed="false">
      <c r="A9" s="114"/>
      <c r="B9" s="115"/>
      <c r="C9" s="115"/>
      <c r="D9" s="115"/>
      <c r="F9" s="115"/>
      <c r="G9" s="115"/>
      <c r="H9" s="115"/>
      <c r="J9" s="115"/>
      <c r="K9" s="115"/>
      <c r="L9" s="115"/>
      <c r="N9" s="115"/>
      <c r="O9" s="115"/>
      <c r="P9" s="115"/>
      <c r="R9" s="115"/>
      <c r="S9" s="115"/>
      <c r="T9" s="115"/>
      <c r="V9" s="116"/>
      <c r="W9" s="116"/>
      <c r="X9" s="116"/>
      <c r="Y9" s="117"/>
      <c r="Z9" s="117"/>
    </row>
    <row r="10" customFormat="false" ht="14.25" hidden="false" customHeight="true" outlineLevel="0" collapsed="false">
      <c r="A10" s="114"/>
      <c r="B10" s="114"/>
      <c r="C10" s="114"/>
      <c r="D10" s="114"/>
    </row>
    <row r="11" customFormat="false" ht="15" hidden="false" customHeight="true" outlineLevel="0" collapsed="false">
      <c r="A11" s="114"/>
      <c r="B11" s="114"/>
      <c r="C11" s="114"/>
      <c r="D11" s="114"/>
    </row>
  </sheetData>
  <mergeCells count="14">
    <mergeCell ref="B1:G3"/>
    <mergeCell ref="H1:X3"/>
    <mergeCell ref="B4:D6"/>
    <mergeCell ref="F4:H6"/>
    <mergeCell ref="J4:L6"/>
    <mergeCell ref="N4:P6"/>
    <mergeCell ref="R4:T6"/>
    <mergeCell ref="V4:X6"/>
    <mergeCell ref="B7:D9"/>
    <mergeCell ref="F7:H9"/>
    <mergeCell ref="J7:L9"/>
    <mergeCell ref="N7:P9"/>
    <mergeCell ref="R7:T9"/>
    <mergeCell ref="V7:X9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V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4" activeCellId="0" sqref="J14"/>
    </sheetView>
  </sheetViews>
  <sheetFormatPr defaultColWidth="8.6796875" defaultRowHeight="14.25" customHeight="false" zeroHeight="false" outlineLevelRow="0" outlineLevelCol="0"/>
  <cols>
    <col collapsed="false" customWidth="true" hidden="true" outlineLevel="0" max="4" min="4" style="0" width="2"/>
  </cols>
  <sheetData>
    <row r="3" customFormat="false" ht="14.25" hidden="false" customHeight="false" outlineLevel="0" collapsed="false">
      <c r="B3" s="108" t="s">
        <v>144</v>
      </c>
      <c r="C3" s="108" t="s">
        <v>145</v>
      </c>
      <c r="D3" s="108"/>
      <c r="E3" s="108" t="s">
        <v>43</v>
      </c>
      <c r="F3" s="108" t="s">
        <v>17</v>
      </c>
      <c r="H3" s="108" t="s">
        <v>144</v>
      </c>
      <c r="I3" s="108" t="s">
        <v>90</v>
      </c>
      <c r="K3" s="108" t="s">
        <v>144</v>
      </c>
      <c r="L3" s="108" t="s">
        <v>20</v>
      </c>
      <c r="M3" s="108"/>
      <c r="O3" s="108" t="s">
        <v>144</v>
      </c>
      <c r="P3" s="108" t="s">
        <v>146</v>
      </c>
      <c r="Q3" s="108"/>
      <c r="R3" s="108" t="s">
        <v>144</v>
      </c>
      <c r="S3" s="108" t="s">
        <v>69</v>
      </c>
      <c r="U3" s="108" t="s">
        <v>144</v>
      </c>
      <c r="V3" s="108" t="s">
        <v>62</v>
      </c>
    </row>
    <row r="4" customFormat="false" ht="14.25" hidden="false" customHeight="false" outlineLevel="0" collapsed="false">
      <c r="B4" s="108" t="s">
        <v>9</v>
      </c>
      <c r="C4" s="118" t="n">
        <f aca="false">'Income Statement'!G6</f>
        <v>22200</v>
      </c>
      <c r="D4" s="118"/>
      <c r="E4" s="118" t="n">
        <f aca="false">'Income Statement'!G7</f>
        <v>14514</v>
      </c>
      <c r="F4" s="118" t="n">
        <f aca="false">'Income Statement'!G8</f>
        <v>9280</v>
      </c>
      <c r="H4" s="108" t="s">
        <v>9</v>
      </c>
      <c r="I4" s="118" t="n">
        <f aca="false">'Income Statement'!G30</f>
        <v>9297.2867</v>
      </c>
      <c r="K4" s="108" t="s">
        <v>9</v>
      </c>
      <c r="L4" s="118" t="n">
        <f aca="false">'Income Statement'!G14</f>
        <v>22706.72</v>
      </c>
      <c r="M4" s="108"/>
      <c r="O4" s="108" t="s">
        <v>9</v>
      </c>
      <c r="P4" s="118" t="n">
        <f aca="false">'Income Statement'!G9</f>
        <v>45994</v>
      </c>
      <c r="Q4" s="108"/>
      <c r="R4" s="108" t="s">
        <v>9</v>
      </c>
      <c r="S4" s="118" t="n">
        <f aca="false">'Balance Sheet'!G29</f>
        <v>24200</v>
      </c>
      <c r="U4" s="108" t="s">
        <v>9</v>
      </c>
      <c r="V4" s="118" t="n">
        <f aca="false">'Balance Sheet'!G20</f>
        <v>49683.3759054795</v>
      </c>
    </row>
    <row r="5" customFormat="false" ht="14.25" hidden="false" customHeight="false" outlineLevel="0" collapsed="false">
      <c r="B5" s="108" t="s">
        <v>10</v>
      </c>
      <c r="C5" s="118" t="n">
        <f aca="false">'Income Statement'!H6</f>
        <v>26640</v>
      </c>
      <c r="D5" s="118"/>
      <c r="E5" s="118" t="n">
        <f aca="false">'Income Statement'!H7</f>
        <v>17126.52</v>
      </c>
      <c r="F5" s="118" t="n">
        <f aca="false">'Income Statement'!H8</f>
        <v>10764.8</v>
      </c>
      <c r="H5" s="108" t="s">
        <v>10</v>
      </c>
      <c r="I5" s="118" t="n">
        <f aca="false">'Income Statement'!H30</f>
        <v>11396.3247323326</v>
      </c>
      <c r="K5" s="108" t="s">
        <v>10</v>
      </c>
      <c r="L5" s="118" t="n">
        <f aca="false">'Income Statement'!H14</f>
        <v>26923.1296</v>
      </c>
      <c r="M5" s="108"/>
      <c r="O5" s="108" t="s">
        <v>10</v>
      </c>
      <c r="P5" s="118" t="n">
        <f aca="false">'Income Statement'!H9</f>
        <v>54531.32</v>
      </c>
      <c r="Q5" s="108"/>
      <c r="R5" s="108" t="s">
        <v>10</v>
      </c>
      <c r="S5" s="118" t="n">
        <f aca="false">'Balance Sheet'!H29</f>
        <v>23200</v>
      </c>
      <c r="U5" s="108" t="s">
        <v>10</v>
      </c>
      <c r="V5" s="118" t="n">
        <f aca="false">'Balance Sheet'!H20</f>
        <v>60634.1873797298</v>
      </c>
    </row>
    <row r="6" customFormat="false" ht="14.25" hidden="false" customHeight="false" outlineLevel="0" collapsed="false">
      <c r="B6" s="108" t="s">
        <v>11</v>
      </c>
      <c r="C6" s="118" t="n">
        <f aca="false">'Income Statement'!I6</f>
        <v>31968</v>
      </c>
      <c r="D6" s="118"/>
      <c r="E6" s="118" t="n">
        <f aca="false">'Income Statement'!I7</f>
        <v>20209.2936</v>
      </c>
      <c r="F6" s="118" t="n">
        <f aca="false">'Income Statement'!I8</f>
        <v>12487.168</v>
      </c>
      <c r="H6" s="108" t="s">
        <v>11</v>
      </c>
      <c r="I6" s="118" t="n">
        <f aca="false">'Income Statement'!I30</f>
        <v>13894.8744387309</v>
      </c>
      <c r="K6" s="108" t="s">
        <v>11</v>
      </c>
      <c r="L6" s="118" t="n">
        <f aca="false">'Income Statement'!I14</f>
        <v>31928.044928</v>
      </c>
      <c r="M6" s="108"/>
      <c r="O6" s="108" t="s">
        <v>11</v>
      </c>
      <c r="P6" s="118" t="n">
        <f aca="false">'Income Statement'!I9</f>
        <v>64664.4616</v>
      </c>
      <c r="Q6" s="108"/>
      <c r="R6" s="108" t="s">
        <v>11</v>
      </c>
      <c r="S6" s="118" t="n">
        <f aca="false">'Balance Sheet'!I29</f>
        <v>22200</v>
      </c>
      <c r="U6" s="108" t="s">
        <v>11</v>
      </c>
      <c r="V6" s="118" t="n">
        <f aca="false">'Balance Sheet'!I20</f>
        <v>74187.2424643347</v>
      </c>
    </row>
    <row r="7" customFormat="false" ht="14.25" hidden="false" customHeight="false" outlineLevel="0" collapsed="false">
      <c r="B7" s="108" t="s">
        <v>12</v>
      </c>
      <c r="C7" s="118" t="n">
        <f aca="false">'Income Statement'!J6</f>
        <v>38361.6</v>
      </c>
      <c r="D7" s="118"/>
      <c r="E7" s="118" t="n">
        <f aca="false">'Income Statement'!J7</f>
        <v>23846.966448</v>
      </c>
      <c r="F7" s="118" t="n">
        <f aca="false">'Income Statement'!J8</f>
        <v>14485.11488</v>
      </c>
      <c r="H7" s="108" t="s">
        <v>12</v>
      </c>
      <c r="I7" s="118" t="n">
        <f aca="false">'Income Statement'!J30</f>
        <v>16875.3301801887</v>
      </c>
      <c r="K7" s="108" t="s">
        <v>12</v>
      </c>
      <c r="L7" s="118" t="n">
        <f aca="false">'Income Statement'!J14</f>
        <v>37869.90133504</v>
      </c>
      <c r="M7" s="108"/>
      <c r="O7" s="108" t="s">
        <v>12</v>
      </c>
      <c r="P7" s="118" t="n">
        <f aca="false">'Income Statement'!J9</f>
        <v>76693.681328</v>
      </c>
      <c r="Q7" s="108"/>
      <c r="R7" s="108" t="s">
        <v>12</v>
      </c>
      <c r="S7" s="118" t="n">
        <f aca="false">'Balance Sheet'!J29</f>
        <v>21200</v>
      </c>
      <c r="U7" s="108" t="s">
        <v>12</v>
      </c>
      <c r="V7" s="118" t="n">
        <f aca="false">'Balance Sheet'!J20</f>
        <v>90843.9674596958</v>
      </c>
    </row>
    <row r="8" customFormat="false" ht="14.25" hidden="false" customHeight="false" outlineLevel="0" collapsed="false">
      <c r="B8" s="108" t="s">
        <v>13</v>
      </c>
      <c r="C8" s="118" t="n">
        <f aca="false">'Income Statement'!K6</f>
        <v>46033.92</v>
      </c>
      <c r="D8" s="118"/>
      <c r="E8" s="118" t="n">
        <f aca="false">'Income Statement'!K7</f>
        <v>28139.42040864</v>
      </c>
      <c r="F8" s="118" t="n">
        <f aca="false">'Income Statement'!K8</f>
        <v>16802.7332608</v>
      </c>
      <c r="H8" s="108" t="s">
        <v>13</v>
      </c>
      <c r="I8" s="118" t="n">
        <f aca="false">'Income Statement'!K30</f>
        <v>20458.1002967715</v>
      </c>
      <c r="K8" s="108" t="s">
        <v>13</v>
      </c>
      <c r="L8" s="118" t="n">
        <f aca="false">'Income Statement'!K14</f>
        <v>44925.2484265472</v>
      </c>
      <c r="M8" s="108"/>
      <c r="O8" s="108" t="s">
        <v>13</v>
      </c>
      <c r="P8" s="118" t="n">
        <f aca="false">'Income Statement'!K9</f>
        <v>90976.07366944</v>
      </c>
      <c r="Q8" s="108"/>
      <c r="R8" s="108" t="s">
        <v>13</v>
      </c>
      <c r="S8" s="118" t="n">
        <f aca="false">'Balance Sheet'!K29</f>
        <v>20200</v>
      </c>
      <c r="U8" s="108" t="s">
        <v>13</v>
      </c>
      <c r="V8" s="118" t="n">
        <f aca="false">'Balance Sheet'!K20</f>
        <v>111229.894223296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  <Company>Swapnanil Sinha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ontentStatus>Financial Modelling Completed</cp:contentStatus>
  <dcterms:created xsi:type="dcterms:W3CDTF">2013-06-17T08:47:06Z</dcterms:created>
  <dc:creator>Swapnanil Sinha</dc:creator>
  <dc:description>I made a three statement financial model and equity analysis of a company name Apex Solutions</dc:description>
  <cp:keywords>FInancial Modelling Equity Reserach Analysis</cp:keywords>
  <dc:language>en-US</dc:language>
  <cp:lastModifiedBy/>
  <cp:lastPrinted>2026-05-25T08:55:42Z</cp:lastPrinted>
  <dcterms:modified xsi:type="dcterms:W3CDTF">2026-10-14T15:13:22Z</dcterms:modified>
  <cp:revision>1</cp:revision>
  <dc:subject>Apex Solutions Inc.</dc:subject>
  <dc:title>Three Statement Financial Modelling and Analysis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