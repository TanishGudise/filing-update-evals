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<sst xmlns="http://schemas.openxmlformats.org/spreadsheetml/2006/main" count="84" uniqueCount="61">
  <si>
    <t xml:space="preserve">Q1 2024</t>
  </si>
  <si>
    <t xml:space="preserve">Q2 2024</t>
  </si>
  <si>
    <t xml:space="preserve">Q3 2024</t>
  </si>
  <si>
    <t xml:space="preserve">Q4 2024</t>
  </si>
  <si>
    <t xml:space="preserve">Revenue</t>
  </si>
  <si>
    <t xml:space="preserve">Assets</t>
  </si>
  <si>
    <t xml:space="preserve">Cash from Operating Activities</t>
  </si>
  <si>
    <t xml:space="preserve">Implementation Fees</t>
  </si>
  <si>
    <t xml:space="preserve">Cash &amp; Cash Equivalents</t>
  </si>
  <si>
    <t xml:space="preserve">Net Income</t>
  </si>
  <si>
    <t xml:space="preserve">MRR</t>
  </si>
  <si>
    <t xml:space="preserve">Current Assets</t>
  </si>
  <si>
    <t xml:space="preserve">Accounts Receivable</t>
  </si>
  <si>
    <t xml:space="preserve">Depreciation</t>
  </si>
  <si>
    <t xml:space="preserve">Inventory</t>
  </si>
  <si>
    <t xml:space="preserve">Amortization</t>
  </si>
  <si>
    <t xml:space="preserve">Cost of Goods Sold</t>
  </si>
  <si>
    <t xml:space="preserve">Prepaid Expenses</t>
  </si>
  <si>
    <t xml:space="preserve">Hosting &amp; Servers</t>
  </si>
  <si>
    <t xml:space="preserve">Fixed Assets</t>
  </si>
  <si>
    <t xml:space="preserve">Customer Support</t>
  </si>
  <si>
    <t xml:space="preserve">Laptops &amp; computers</t>
  </si>
  <si>
    <t xml:space="preserve">Furniture</t>
  </si>
  <si>
    <t xml:space="preserve">Accumulated Depreciation</t>
  </si>
  <si>
    <t xml:space="preserve">Gross Profit</t>
  </si>
  <si>
    <t xml:space="preserve">Intangible Assets</t>
  </si>
  <si>
    <t xml:space="preserve">Accounts Payable</t>
  </si>
  <si>
    <t xml:space="preserve">Gross Margin</t>
  </si>
  <si>
    <t xml:space="preserve">Goodwill</t>
  </si>
  <si>
    <t xml:space="preserve">Credit Cards</t>
  </si>
  <si>
    <t xml:space="preserve">Accumulated Amortization</t>
  </si>
  <si>
    <t xml:space="preserve">Deferred Revenue</t>
  </si>
  <si>
    <t xml:space="preserve">Operating Expenses</t>
  </si>
  <si>
    <t xml:space="preserve">Accrued Interest</t>
  </si>
  <si>
    <t xml:space="preserve">General &amp; Administrative</t>
  </si>
  <si>
    <t xml:space="preserve">Liabilities</t>
  </si>
  <si>
    <t xml:space="preserve">Sales &amp; Marketing</t>
  </si>
  <si>
    <t xml:space="preserve">Current Liabilities</t>
  </si>
  <si>
    <t xml:space="preserve">Cash from Investing Activities</t>
  </si>
  <si>
    <t xml:space="preserve">Research &amp; Development</t>
  </si>
  <si>
    <t xml:space="preserve">Customer Success</t>
  </si>
  <si>
    <t xml:space="preserve">Net Operating Income</t>
  </si>
  <si>
    <t xml:space="preserve">Long Term Liabilities</t>
  </si>
  <si>
    <t xml:space="preserve">Line of Credit</t>
  </si>
  <si>
    <t xml:space="preserve">Cash from Financing Activities</t>
  </si>
  <si>
    <t xml:space="preserve">Other Income </t>
  </si>
  <si>
    <t xml:space="preserve">Convertible Notes</t>
  </si>
  <si>
    <t xml:space="preserve">Interest Income</t>
  </si>
  <si>
    <t xml:space="preserve">Gain on Sale of assets</t>
  </si>
  <si>
    <t xml:space="preserve">Common Stock</t>
  </si>
  <si>
    <t xml:space="preserve">Owners Equity</t>
  </si>
  <si>
    <t xml:space="preserve">Preferred Stock</t>
  </si>
  <si>
    <t xml:space="preserve">Other Expenses</t>
  </si>
  <si>
    <t xml:space="preserve">Interest Expense</t>
  </si>
  <si>
    <t xml:space="preserve">Total Cash Flows</t>
  </si>
  <si>
    <t xml:space="preserve">Depreciation Expense</t>
  </si>
  <si>
    <t xml:space="preserve">Retained Earnings</t>
  </si>
  <si>
    <t xml:space="preserve">Amortization Expense</t>
  </si>
  <si>
    <t xml:space="preserve">Beginning Cash</t>
  </si>
  <si>
    <t xml:space="preserve">Ending Cash</t>
  </si>
  <si>
    <t xml:space="preserve">Net Other Income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</si>
</sst>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_);_(* \(#,##0\);_(* \-??_);_(@_)"/>
    <numFmt numFmtId="166" formatCode="_-* #,##0.00_-;\-* #,##0.00_-;_-* \-??_-;_-@_-"/>
    <numFmt numFmtId="167" formatCode="0%"/>
    <numFmt numFmtId="168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sz val="11"/>
      <color theme="1"/>
      <name val="Calibri"/>
      <family val="0"/>
      <charset val="1"/>
    </font>
    <font>
      <sz val="11"/>
      <color theme="1"/>
      <name val="Calibri"/>
      <family val="2"/>
      <charset val="238"/>
    </font>
    <font>
      <b val="true"/>
      <sz val="16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u val="double"/>
      <sz val="11"/>
      <color theme="1"/>
      <name val="Calibri"/>
      <family val="2"/>
      <charset val="1"/>
    </font>
    <font>
      <b val="true"/>
      <sz val="28"/>
      <color theme="2" tint="-0.75"/>
      <name val="Arial Black"/>
      <family val="2"/>
    </font>
    <font>
      <b val="true"/>
      <sz val="32"/>
      <color theme="1" tint="0.05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5"/>
        <bgColor rgb="FF969696"/>
      </patternFill>
    </fill>
    <fill>
      <patternFill patternType="solid">
        <fgColor theme="6" tint="0.3999"/>
        <bgColor rgb="FFCCCCFF"/>
      </patternFill>
    </fill>
    <fill>
      <patternFill patternType="solid">
        <fgColor theme="0" tint="-0.05"/>
        <bgColor rgb="FFE2F0D9"/>
      </patternFill>
    </fill>
    <fill>
      <patternFill patternType="solid">
        <fgColor theme="0"/>
        <bgColor rgb="FFF2F2F2"/>
      </patternFill>
    </fill>
    <fill>
      <patternFill patternType="solid">
        <fgColor theme="9" tint="0.7999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0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0"/>
    <cellStyle name="Normal 2" xfId="21"/>
    <cellStyle name="Normal 2 3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3B38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90360</xdr:colOff>
      <xdr:row>3</xdr:row>
      <xdr:rowOff>152280</xdr:rowOff>
    </xdr:from>
    <xdr:to>
      <xdr:col>14</xdr:col>
      <xdr:colOff>470880</xdr:colOff>
      <xdr:row>6</xdr:row>
      <xdr:rowOff>104400</xdr:rowOff>
    </xdr:to>
    <xdr:sp>
      <xdr:nvSpPr>
        <xdr:cNvPr id="1" name="TextBox 3"/>
        <xdr:cNvSpPr/>
      </xdr:nvSpPr>
      <xdr:spPr>
        <a:xfrm>
          <a:off x="5779440" y="723960"/>
          <a:ext cx="5786640" cy="523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2800" b="1" u="none" strike="noStrike">
              <a:solidFill>
                <a:schemeClr val="lt2">
                  <a:lumMod val="25000"/>
                </a:schemeClr>
              </a:solidFill>
              <a:effectLst/>
              <a:uFillTx/>
              <a:latin typeface="Arial Black"/>
            </a:rPr>
            <a:t>Financial Position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15</xdr:col>
      <xdr:colOff>63000</xdr:colOff>
      <xdr:row>3</xdr:row>
      <xdr:rowOff>163440</xdr:rowOff>
    </xdr:from>
    <xdr:to>
      <xdr:col>20</xdr:col>
      <xdr:colOff>566280</xdr:colOff>
      <xdr:row>6</xdr:row>
      <xdr:rowOff>115560</xdr:rowOff>
    </xdr:to>
    <xdr:sp>
      <xdr:nvSpPr>
        <xdr:cNvPr id="2" name="TextBox 4"/>
        <xdr:cNvSpPr/>
      </xdr:nvSpPr>
      <xdr:spPr>
        <a:xfrm>
          <a:off x="12024360" y="735120"/>
          <a:ext cx="4903200" cy="523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2800" b="1" u="none" strike="noStrike">
              <a:solidFill>
                <a:schemeClr val="lt2">
                  <a:lumMod val="25000"/>
                </a:schemeClr>
              </a:solidFill>
              <a:effectLst/>
              <a:uFillTx/>
              <a:latin typeface="Arial Black"/>
            </a:rPr>
            <a:t>Cash Flows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0</xdr:col>
      <xdr:colOff>104400</xdr:colOff>
      <xdr:row>3</xdr:row>
      <xdr:rowOff>149400</xdr:rowOff>
    </xdr:from>
    <xdr:to>
      <xdr:col>7</xdr:col>
      <xdr:colOff>25560</xdr:colOff>
      <xdr:row>6</xdr:row>
      <xdr:rowOff>101520</xdr:rowOff>
    </xdr:to>
    <xdr:sp>
      <xdr:nvSpPr>
        <xdr:cNvPr id="3" name="TextBox 2"/>
        <xdr:cNvSpPr/>
      </xdr:nvSpPr>
      <xdr:spPr>
        <a:xfrm>
          <a:off x="104400" y="721080"/>
          <a:ext cx="5610240" cy="52344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2800" b="1" u="none" strike="noStrike">
              <a:solidFill>
                <a:schemeClr val="lt2">
                  <a:lumMod val="25000"/>
                </a:schemeClr>
              </a:solidFill>
              <a:effectLst/>
              <a:uFillTx/>
              <a:latin typeface="Arial Black"/>
            </a:rPr>
            <a:t>Profit or Loss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twoCell">
    <xdr:from>
      <xdr:col>6</xdr:col>
      <xdr:colOff>11880</xdr:colOff>
      <xdr:row>0</xdr:row>
      <xdr:rowOff>65880</xdr:rowOff>
    </xdr:from>
    <xdr:to>
      <xdr:col>16</xdr:col>
      <xdr:colOff>416160</xdr:colOff>
      <xdr:row>3</xdr:row>
      <xdr:rowOff>106920</xdr:rowOff>
    </xdr:to>
    <xdr:sp>
      <xdr:nvSpPr>
        <xdr:cNvPr id="4" name="TextBox 5"/>
        <xdr:cNvSpPr/>
      </xdr:nvSpPr>
      <xdr:spPr>
        <a:xfrm>
          <a:off x="4915440" y="65880"/>
          <a:ext cx="7653240" cy="612720"/>
        </a:xfrm>
        <a:prstGeom prst="rect">
          <a:avLst/>
        </a:prstGeom>
        <a:solidFill>
          <a:srgbClr val="FFFFFF"/>
        </a:solidFill>
        <a:ln w="9525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GB" sz="3200" b="1" u="none" strike="noStrike">
              <a:solidFill>
                <a:schemeClr val="dk1">
                  <a:lumMod val="95000"/>
                  <a:lumOff val="5000"/>
                </a:schemeClr>
              </a:solidFill>
              <a:effectLst/>
              <a:uFillTx/>
              <a:latin typeface="Arial Black"/>
            </a:rPr>
            <a:t>3 Statement Financial Model</a:t>
          </a:r>
          <a:endParaRPr lang="en-US" sz="3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8:V41"/>
  <sheetViews>
    <sheetView showFormulas="false" showGridLines="false" showRowColHeaders="true" showZeros="true" rightToLeft="false" tabSelected="true" showOutlineSymbols="true" defaultGridColor="true" view="normal" topLeftCell="G14" colorId="64" zoomScale="90" zoomScaleNormal="90" zoomScalePageLayoutView="100" workbookViewId="0">
      <selection pane="topLeft" activeCell="N34" activeCellId="0" sqref="N3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26.29"/>
    <col collapsed="false" customWidth="true" hidden="false" outlineLevel="0" max="3" min="3" style="0" width="2.71"/>
    <col collapsed="false" customWidth="true" hidden="false" outlineLevel="0" max="4" min="4" style="0" width="14.29"/>
    <col collapsed="false" customWidth="true" hidden="false" outlineLevel="0" max="5" min="5" style="0" width="12.15"/>
    <col collapsed="false" customWidth="true" hidden="false" outlineLevel="0" max="6" min="6" style="0" width="11.43"/>
    <col collapsed="false" customWidth="true" hidden="false" outlineLevel="0" max="7" min="7" style="0" width="11.14"/>
    <col collapsed="false" customWidth="true" hidden="false" outlineLevel="0" max="9" min="8" style="0" width="2.57"/>
    <col collapsed="false" customWidth="true" hidden="false" outlineLevel="0" max="10" min="10" style="0" width="28"/>
    <col collapsed="false" customWidth="true" hidden="false" outlineLevel="0" max="11" min="11" style="0" width="2.71"/>
    <col collapsed="false" customWidth="true" hidden="false" outlineLevel="0" max="12" min="12" style="0" width="12.29"/>
    <col collapsed="false" customWidth="true" hidden="false" outlineLevel="0" max="13" min="13" style="0" width="14.42"/>
    <col collapsed="false" customWidth="true" hidden="false" outlineLevel="0" max="14" min="14" style="0" width="14.14"/>
    <col collapsed="false" customWidth="true" hidden="false" outlineLevel="0" max="15" min="15" style="0" width="12.29"/>
    <col collapsed="false" customWidth="true" hidden="false" outlineLevel="0" max="16" min="16" style="0" width="2.71"/>
    <col collapsed="false" customWidth="true" hidden="false" outlineLevel="0" max="17" min="17" style="0" width="29.86"/>
    <col collapsed="false" customWidth="true" hidden="false" outlineLevel="0" max="18" min="18" style="0" width="2.86"/>
    <col collapsed="false" customWidth="true" hidden="false" outlineLevel="0" max="19" min="19" style="0" width="14.71"/>
    <col collapsed="false" customWidth="true" hidden="false" outlineLevel="0" max="20" min="20" style="0" width="12.29"/>
    <col collapsed="false" customWidth="true" hidden="false" outlineLevel="0" max="21" min="21" style="0" width="12.57"/>
    <col collapsed="false" customWidth="true" hidden="false" outlineLevel="0" max="22" min="22" style="0" width="14.29"/>
  </cols>
  <sheetData>
    <row r="8" customFormat="false" ht="19.7" hidden="false" customHeight="false" outlineLevel="0" collapsed="false">
      <c r="B8" s="1"/>
      <c r="C8" s="2"/>
      <c r="D8" s="3" t="s">
        <v>0</v>
      </c>
      <c r="E8" s="3" t="s">
        <v>1</v>
      </c>
      <c r="F8" s="3" t="s">
        <v>2</v>
      </c>
      <c r="G8" s="3" t="s">
        <v>3</v>
      </c>
      <c r="I8" s="4"/>
      <c r="J8" s="1"/>
      <c r="K8" s="5"/>
      <c r="L8" s="3" t="s">
        <v>0</v>
      </c>
      <c r="M8" s="3" t="s">
        <v>1</v>
      </c>
      <c r="N8" s="3" t="s">
        <v>2</v>
      </c>
      <c r="O8" s="3" t="s">
        <v>3</v>
      </c>
      <c r="Q8" s="1"/>
      <c r="R8" s="5"/>
      <c r="S8" s="3" t="s">
        <v>0</v>
      </c>
      <c r="T8" s="3" t="s">
        <v>1</v>
      </c>
      <c r="U8" s="3" t="s">
        <v>2</v>
      </c>
      <c r="V8" s="3" t="s">
        <v>3</v>
      </c>
    </row>
    <row r="9" customFormat="false" ht="15" hidden="false" customHeight="false" outlineLevel="0" collapsed="false">
      <c r="B9" s="6" t="s">
        <v>4</v>
      </c>
      <c r="D9" s="7" t="n">
        <f aca="false">D10+D11</f>
        <v>80000</v>
      </c>
      <c r="E9" s="7" t="n">
        <f aca="false">E10+E11</f>
        <v>80000</v>
      </c>
      <c r="F9" s="7" t="n">
        <f aca="false">F10+F11</f>
        <v>87500</v>
      </c>
      <c r="G9" s="7" t="n">
        <f aca="false">G10+G11</f>
        <v>80000</v>
      </c>
      <c r="H9" s="8"/>
      <c r="I9" s="6" t="s">
        <v>5</v>
      </c>
      <c r="J9" s="9"/>
      <c r="L9" s="7" t="n">
        <f aca="false">L10+L11+L15+L19</f>
        <v>280000</v>
      </c>
      <c r="M9" s="7" t="n">
        <f aca="false">M10+M11+M15+M19</f>
        <v>308000</v>
      </c>
      <c r="N9" s="7" t="n">
        <f aca="false">N10+N11+N15+N19</f>
        <v>339000</v>
      </c>
      <c r="O9" s="7" t="n">
        <f aca="false">O10+O11+O15+O19</f>
        <v>356500</v>
      </c>
      <c r="Q9" s="6" t="s">
        <v>6</v>
      </c>
      <c r="R9" s="10"/>
      <c r="S9" s="11" t="n">
        <f aca="false">SUM(S10:S22)</f>
        <v>61500</v>
      </c>
      <c r="T9" s="11" t="n">
        <f aca="false">SUM(T10:T22)</f>
        <v>34500</v>
      </c>
      <c r="U9" s="11" t="n">
        <f aca="false">SUM(U10:U22)</f>
        <v>25500</v>
      </c>
      <c r="V9" s="11" t="n">
        <f aca="false">SUM(V10:V22)</f>
        <v>36500</v>
      </c>
    </row>
    <row r="10" customFormat="false" ht="15" hidden="false" customHeight="false" outlineLevel="0" collapsed="false">
      <c r="B10" s="12" t="s">
        <v>7</v>
      </c>
      <c r="D10" s="13" t="n">
        <v>25000</v>
      </c>
      <c r="E10" s="13" t="n">
        <v>20000</v>
      </c>
      <c r="F10" s="13" t="n">
        <v>27500</v>
      </c>
      <c r="G10" s="13" t="n">
        <v>10000</v>
      </c>
      <c r="H10" s="8"/>
      <c r="I10" s="6"/>
      <c r="J10" s="9" t="s">
        <v>8</v>
      </c>
      <c r="L10" s="14" t="n">
        <v>136500</v>
      </c>
      <c r="M10" s="14" t="n">
        <v>171000</v>
      </c>
      <c r="N10" s="14" t="n">
        <v>191500</v>
      </c>
      <c r="O10" s="14" t="n">
        <v>226000</v>
      </c>
      <c r="Q10" s="9" t="s">
        <v>9</v>
      </c>
      <c r="S10" s="14" t="n">
        <f aca="false">L36-K36</f>
        <v>20000</v>
      </c>
      <c r="T10" s="14" t="n">
        <f aca="false">M36-L36</f>
        <v>28000</v>
      </c>
      <c r="U10" s="14" t="n">
        <f aca="false">N36-M36</f>
        <v>31000</v>
      </c>
      <c r="V10" s="14" t="n">
        <f aca="false">O36-N36</f>
        <v>19500</v>
      </c>
    </row>
    <row r="11" customFormat="false" ht="15" hidden="false" customHeight="false" outlineLevel="0" collapsed="false">
      <c r="B11" s="12" t="s">
        <v>10</v>
      </c>
      <c r="D11" s="13" t="n">
        <v>55000</v>
      </c>
      <c r="E11" s="13" t="n">
        <v>60000</v>
      </c>
      <c r="F11" s="13" t="n">
        <v>60000</v>
      </c>
      <c r="G11" s="13" t="n">
        <v>70000</v>
      </c>
      <c r="H11" s="8"/>
      <c r="I11" s="6"/>
      <c r="J11" s="6" t="s">
        <v>11</v>
      </c>
      <c r="L11" s="15" t="n">
        <f aca="false">L12+L13+L14</f>
        <v>30000</v>
      </c>
      <c r="M11" s="15" t="n">
        <f aca="false">M12+M13+M14</f>
        <v>30000</v>
      </c>
      <c r="N11" s="15" t="n">
        <f aca="false">N12+N13+N14</f>
        <v>42000</v>
      </c>
      <c r="O11" s="15" t="n">
        <f aca="false">O12+O13+O14</f>
        <v>31500</v>
      </c>
      <c r="Q11" s="12"/>
      <c r="S11" s="14" t="n">
        <v>0</v>
      </c>
      <c r="T11" s="14" t="n">
        <v>0</v>
      </c>
      <c r="U11" s="14" t="n">
        <v>0</v>
      </c>
      <c r="V11" s="14" t="n">
        <v>0</v>
      </c>
    </row>
    <row r="12" customFormat="false" ht="15" hidden="false" customHeight="false" outlineLevel="0" collapsed="false">
      <c r="B12" s="12"/>
      <c r="D12" s="16"/>
      <c r="E12" s="16"/>
      <c r="F12" s="16"/>
      <c r="G12" s="16"/>
      <c r="H12" s="8"/>
      <c r="I12" s="6"/>
      <c r="J12" s="12" t="s">
        <v>12</v>
      </c>
      <c r="L12" s="13" t="n">
        <v>11000</v>
      </c>
      <c r="M12" s="13" t="n">
        <v>15000</v>
      </c>
      <c r="N12" s="13" t="n">
        <v>13000</v>
      </c>
      <c r="O12" s="13" t="n">
        <v>14000</v>
      </c>
      <c r="Q12" s="12" t="s">
        <v>13</v>
      </c>
      <c r="S12" s="14" t="n">
        <f aca="false">K18-L18</f>
        <v>4000</v>
      </c>
      <c r="T12" s="14" t="n">
        <f aca="false">L18-M18</f>
        <v>4000</v>
      </c>
      <c r="U12" s="14" t="n">
        <f aca="false">M18-N18</f>
        <v>4000</v>
      </c>
      <c r="V12" s="14" t="n">
        <f aca="false">N18-O18</f>
        <v>4000</v>
      </c>
    </row>
    <row r="13" customFormat="false" ht="15" hidden="false" customHeight="false" outlineLevel="0" collapsed="false">
      <c r="B13" s="12"/>
      <c r="H13" s="8"/>
      <c r="I13" s="6"/>
      <c r="J13" s="12" t="s">
        <v>14</v>
      </c>
      <c r="L13" s="13" t="n">
        <v>19000</v>
      </c>
      <c r="M13" s="13" t="n">
        <v>15000</v>
      </c>
      <c r="N13" s="13" t="n">
        <v>29000</v>
      </c>
      <c r="O13" s="13" t="n">
        <v>17500</v>
      </c>
      <c r="Q13" s="12" t="s">
        <v>15</v>
      </c>
      <c r="S13" s="14" t="n">
        <f aca="false">K21-L21</f>
        <v>2500</v>
      </c>
      <c r="T13" s="14" t="n">
        <f aca="false">L21-M21</f>
        <v>2500</v>
      </c>
      <c r="U13" s="14" t="n">
        <f aca="false">M21-N21</f>
        <v>2500</v>
      </c>
      <c r="V13" s="14" t="n">
        <f aca="false">N21-O21</f>
        <v>2500</v>
      </c>
    </row>
    <row r="14" customFormat="false" ht="15" hidden="false" customHeight="false" outlineLevel="0" collapsed="false">
      <c r="B14" s="6" t="s">
        <v>16</v>
      </c>
      <c r="D14" s="7" t="n">
        <f aca="false">D15+D16</f>
        <v>5000</v>
      </c>
      <c r="E14" s="7" t="n">
        <f aca="false">E15+E16</f>
        <v>5000</v>
      </c>
      <c r="F14" s="7" t="n">
        <f aca="false">F15+F16</f>
        <v>7000</v>
      </c>
      <c r="G14" s="7" t="n">
        <f aca="false">G15+G16</f>
        <v>7000</v>
      </c>
      <c r="H14" s="8"/>
      <c r="I14" s="6"/>
      <c r="J14" s="12" t="s">
        <v>17</v>
      </c>
      <c r="L14" s="13" t="n">
        <v>0</v>
      </c>
      <c r="M14" s="13" t="n">
        <v>0</v>
      </c>
      <c r="N14" s="13" t="n">
        <v>0</v>
      </c>
      <c r="O14" s="13" t="n">
        <v>0</v>
      </c>
      <c r="Q14" s="12"/>
      <c r="S14" s="14"/>
      <c r="T14" s="14"/>
      <c r="U14" s="14"/>
      <c r="V14" s="14"/>
    </row>
    <row r="15" customFormat="false" ht="15" hidden="false" customHeight="false" outlineLevel="0" collapsed="false">
      <c r="B15" s="12" t="s">
        <v>18</v>
      </c>
      <c r="D15" s="13" t="n">
        <v>3500</v>
      </c>
      <c r="E15" s="13" t="n">
        <v>3500</v>
      </c>
      <c r="F15" s="13" t="n">
        <v>4000</v>
      </c>
      <c r="G15" s="13" t="n">
        <v>4000</v>
      </c>
      <c r="H15" s="17"/>
      <c r="I15" s="6"/>
      <c r="J15" s="6" t="s">
        <v>19</v>
      </c>
      <c r="K15" s="10"/>
      <c r="L15" s="15" t="n">
        <f aca="false">SUM(L16:L18)</f>
        <v>56000</v>
      </c>
      <c r="M15" s="15" t="n">
        <f aca="false">SUM(M16:M18)</f>
        <v>52000</v>
      </c>
      <c r="N15" s="15" t="n">
        <f aca="false">SUM(N16:N18)</f>
        <v>53000</v>
      </c>
      <c r="O15" s="15" t="n">
        <f aca="false">SUM(O16:O18)</f>
        <v>49000</v>
      </c>
      <c r="Q15" s="12" t="s">
        <v>12</v>
      </c>
      <c r="S15" s="14" t="n">
        <f aca="false">K12-L12</f>
        <v>-11000</v>
      </c>
      <c r="T15" s="14" t="n">
        <f aca="false">L12-M12</f>
        <v>-4000</v>
      </c>
      <c r="U15" s="14" t="n">
        <f aca="false">M12-N12</f>
        <v>2000</v>
      </c>
      <c r="V15" s="14" t="n">
        <f aca="false">N12-O12</f>
        <v>-1000</v>
      </c>
    </row>
    <row r="16" customFormat="false" ht="15" hidden="false" customHeight="false" outlineLevel="0" collapsed="false">
      <c r="B16" s="12" t="s">
        <v>20</v>
      </c>
      <c r="D16" s="13" t="n">
        <v>1500</v>
      </c>
      <c r="E16" s="13" t="n">
        <v>1500</v>
      </c>
      <c r="F16" s="13" t="n">
        <v>3000</v>
      </c>
      <c r="G16" s="13" t="n">
        <v>3000</v>
      </c>
      <c r="H16" s="8"/>
      <c r="I16" s="6"/>
      <c r="J16" s="12" t="s">
        <v>21</v>
      </c>
      <c r="L16" s="13" t="n">
        <v>35000</v>
      </c>
      <c r="M16" s="13" t="n">
        <v>35000</v>
      </c>
      <c r="N16" s="13" t="n">
        <v>40000</v>
      </c>
      <c r="O16" s="13" t="n">
        <v>40000</v>
      </c>
      <c r="Q16" s="12" t="s">
        <v>14</v>
      </c>
      <c r="S16" s="14" t="n">
        <f aca="false">K13-L13</f>
        <v>-19000</v>
      </c>
      <c r="T16" s="14" t="n">
        <f aca="false">L13-M13</f>
        <v>4000</v>
      </c>
      <c r="U16" s="14" t="n">
        <f aca="false">M13-N13</f>
        <v>-14000</v>
      </c>
      <c r="V16" s="14" t="n">
        <f aca="false">N13-O13</f>
        <v>11500</v>
      </c>
    </row>
    <row r="17" customFormat="false" ht="15" hidden="false" customHeight="false" outlineLevel="0" collapsed="false">
      <c r="B17" s="12"/>
      <c r="D17" s="16"/>
      <c r="E17" s="16"/>
      <c r="F17" s="16"/>
      <c r="G17" s="16"/>
      <c r="H17" s="8"/>
      <c r="I17" s="6"/>
      <c r="J17" s="12" t="s">
        <v>22</v>
      </c>
      <c r="L17" s="13" t="n">
        <v>25000</v>
      </c>
      <c r="M17" s="13" t="n">
        <v>25000</v>
      </c>
      <c r="N17" s="13" t="n">
        <v>25000</v>
      </c>
      <c r="O17" s="13" t="n">
        <v>25000</v>
      </c>
      <c r="Q17" s="12" t="s">
        <v>17</v>
      </c>
      <c r="S17" s="14" t="n">
        <f aca="false">K14-L14</f>
        <v>0</v>
      </c>
      <c r="T17" s="14" t="n">
        <f aca="false">L14-M14</f>
        <v>0</v>
      </c>
      <c r="U17" s="14" t="n">
        <f aca="false">M14-N14</f>
        <v>0</v>
      </c>
      <c r="V17" s="14" t="n">
        <f aca="false">N14-O14</f>
        <v>0</v>
      </c>
    </row>
    <row r="18" customFormat="false" ht="15" hidden="false" customHeight="false" outlineLevel="0" collapsed="false">
      <c r="B18" s="9"/>
      <c r="H18" s="8"/>
      <c r="I18" s="6"/>
      <c r="J18" s="12" t="s">
        <v>23</v>
      </c>
      <c r="L18" s="13" t="n">
        <f aca="false">K18-D36</f>
        <v>-4000</v>
      </c>
      <c r="M18" s="13" t="n">
        <f aca="false">L18-E36</f>
        <v>-8000</v>
      </c>
      <c r="N18" s="13" t="n">
        <f aca="false">M18-F36</f>
        <v>-12000</v>
      </c>
      <c r="O18" s="13" t="n">
        <f aca="false">N18-G36</f>
        <v>-16000</v>
      </c>
      <c r="Q18" s="12"/>
      <c r="S18" s="18"/>
      <c r="T18" s="18"/>
      <c r="U18" s="18"/>
      <c r="V18" s="18"/>
    </row>
    <row r="19" customFormat="false" ht="15" hidden="false" customHeight="false" outlineLevel="0" collapsed="false">
      <c r="B19" s="6" t="s">
        <v>24</v>
      </c>
      <c r="D19" s="7" t="n">
        <f aca="false">D9-D14</f>
        <v>75000</v>
      </c>
      <c r="E19" s="7" t="n">
        <f aca="false">E9-E14</f>
        <v>75000</v>
      </c>
      <c r="F19" s="7" t="n">
        <f aca="false">F9-F14</f>
        <v>80500</v>
      </c>
      <c r="G19" s="7" t="n">
        <f aca="false">G9-G14</f>
        <v>73000</v>
      </c>
      <c r="H19" s="17"/>
      <c r="I19" s="6"/>
      <c r="J19" s="19" t="s">
        <v>25</v>
      </c>
      <c r="K19" s="10"/>
      <c r="L19" s="15" t="n">
        <f aca="false">SUM(L20:L21)</f>
        <v>57500</v>
      </c>
      <c r="M19" s="15" t="n">
        <f aca="false">SUM(M20:M21)</f>
        <v>55000</v>
      </c>
      <c r="N19" s="15" t="n">
        <f aca="false">SUM(N20:N21)</f>
        <v>52500</v>
      </c>
      <c r="O19" s="15" t="n">
        <f aca="false">SUM(O20:O21)</f>
        <v>50000</v>
      </c>
      <c r="Q19" s="12" t="s">
        <v>26</v>
      </c>
      <c r="S19" s="14" t="n">
        <f aca="false">L25-K25</f>
        <v>24000</v>
      </c>
      <c r="T19" s="14" t="n">
        <f aca="false">M25-L25</f>
        <v>0</v>
      </c>
      <c r="U19" s="14" t="n">
        <f aca="false">N25-M25</f>
        <v>0</v>
      </c>
      <c r="V19" s="14" t="n">
        <f aca="false">O25-N25</f>
        <v>0</v>
      </c>
    </row>
    <row r="20" customFormat="false" ht="15" hidden="false" customHeight="false" outlineLevel="0" collapsed="false">
      <c r="B20" s="20" t="s">
        <v>27</v>
      </c>
      <c r="C20" s="21"/>
      <c r="D20" s="22" t="n">
        <f aca="false">IFERROR(D19/D9,0)</f>
        <v>0.9375</v>
      </c>
      <c r="E20" s="22" t="n">
        <f aca="false">IFERROR(E19/E9,0)</f>
        <v>0.9375</v>
      </c>
      <c r="F20" s="22" t="n">
        <f aca="false">IFERROR(F19/F9,0)</f>
        <v>0.92</v>
      </c>
      <c r="G20" s="22" t="n">
        <f aca="false">IFERROR(G19/G9,0)</f>
        <v>0.9125</v>
      </c>
      <c r="H20" s="8"/>
      <c r="I20" s="6"/>
      <c r="J20" s="12" t="s">
        <v>28</v>
      </c>
      <c r="L20" s="13" t="n">
        <v>60000</v>
      </c>
      <c r="M20" s="13" t="n">
        <v>60000</v>
      </c>
      <c r="N20" s="13" t="n">
        <v>60000</v>
      </c>
      <c r="O20" s="13" t="n">
        <v>60000</v>
      </c>
      <c r="Q20" s="12" t="s">
        <v>29</v>
      </c>
      <c r="S20" s="14" t="n">
        <f aca="false">L26-K26</f>
        <v>7000</v>
      </c>
      <c r="T20" s="14" t="n">
        <f aca="false">M26-L26</f>
        <v>0</v>
      </c>
      <c r="U20" s="14" t="n">
        <f aca="false">N26-M26</f>
        <v>0</v>
      </c>
      <c r="V20" s="14" t="n">
        <f aca="false">O26-N26</f>
        <v>0</v>
      </c>
    </row>
    <row r="21" customFormat="false" ht="15" hidden="false" customHeight="false" outlineLevel="0" collapsed="false">
      <c r="B21" s="12"/>
      <c r="H21" s="8"/>
      <c r="I21" s="6"/>
      <c r="J21" s="12" t="s">
        <v>30</v>
      </c>
      <c r="L21" s="13" t="n">
        <f aca="false">K21-D37</f>
        <v>-2500</v>
      </c>
      <c r="M21" s="13" t="n">
        <f aca="false">L21-E37</f>
        <v>-5000</v>
      </c>
      <c r="N21" s="13" t="n">
        <f aca="false">M21-F37</f>
        <v>-7500</v>
      </c>
      <c r="O21" s="13" t="n">
        <f aca="false">N21-G37</f>
        <v>-10000</v>
      </c>
      <c r="Q21" s="12" t="s">
        <v>31</v>
      </c>
      <c r="S21" s="14" t="n">
        <f aca="false">L27-K27</f>
        <v>34000</v>
      </c>
      <c r="T21" s="14" t="n">
        <f aca="false">M27-L27</f>
        <v>0</v>
      </c>
      <c r="U21" s="14" t="n">
        <f aca="false">N27-M27</f>
        <v>0</v>
      </c>
      <c r="V21" s="14" t="n">
        <f aca="false">O27-N27</f>
        <v>0</v>
      </c>
    </row>
    <row r="22" customFormat="false" ht="15" hidden="false" customHeight="false" outlineLevel="0" collapsed="false">
      <c r="B22" s="6" t="s">
        <v>32</v>
      </c>
      <c r="D22" s="7" t="n">
        <f aca="false">SUM(D23:D26)</f>
        <v>52500</v>
      </c>
      <c r="E22" s="7" t="n">
        <f aca="false">SUM(E23:E26)</f>
        <v>44500</v>
      </c>
      <c r="F22" s="7" t="n">
        <f aca="false">SUM(F23:F26)</f>
        <v>47500</v>
      </c>
      <c r="G22" s="7" t="n">
        <f aca="false">SUM(G23:G26)</f>
        <v>55000</v>
      </c>
      <c r="H22" s="8"/>
      <c r="I22" s="6"/>
      <c r="J22" s="9"/>
      <c r="Q22" s="12" t="s">
        <v>33</v>
      </c>
      <c r="S22" s="14" t="n">
        <f aca="false">L31-K31</f>
        <v>0</v>
      </c>
      <c r="T22" s="14" t="n">
        <f aca="false">M31-L31</f>
        <v>0</v>
      </c>
      <c r="U22" s="14" t="n">
        <f aca="false">N31-M31</f>
        <v>0</v>
      </c>
      <c r="V22" s="14" t="n">
        <f aca="false">O31-N31</f>
        <v>0</v>
      </c>
    </row>
    <row r="23" customFormat="false" ht="15" hidden="false" customHeight="false" outlineLevel="0" collapsed="false">
      <c r="B23" s="12" t="s">
        <v>34</v>
      </c>
      <c r="D23" s="23" t="n">
        <v>20000</v>
      </c>
      <c r="E23" s="23" t="n">
        <v>13000</v>
      </c>
      <c r="F23" s="23" t="n">
        <v>17500</v>
      </c>
      <c r="G23" s="23" t="n">
        <v>15000</v>
      </c>
      <c r="H23" s="8"/>
      <c r="I23" s="6" t="s">
        <v>35</v>
      </c>
      <c r="J23" s="9"/>
      <c r="L23" s="7" t="n">
        <f aca="false">L24+L28</f>
        <v>195000</v>
      </c>
      <c r="M23" s="7" t="n">
        <f aca="false">M24+M28</f>
        <v>195000</v>
      </c>
      <c r="N23" s="7" t="n">
        <f aca="false">N24+N28</f>
        <v>195000</v>
      </c>
      <c r="O23" s="7" t="n">
        <f aca="false">O24+O28</f>
        <v>195000</v>
      </c>
      <c r="Q23" s="9"/>
    </row>
    <row r="24" customFormat="false" ht="15" hidden="false" customHeight="false" outlineLevel="0" collapsed="false">
      <c r="B24" s="12" t="s">
        <v>36</v>
      </c>
      <c r="D24" s="23" t="n">
        <v>7000</v>
      </c>
      <c r="E24" s="23" t="n">
        <v>10500</v>
      </c>
      <c r="F24" s="23" t="n">
        <v>5000</v>
      </c>
      <c r="G24" s="23" t="n">
        <v>10000</v>
      </c>
      <c r="H24" s="8"/>
      <c r="I24" s="6"/>
      <c r="J24" s="6" t="s">
        <v>37</v>
      </c>
      <c r="L24" s="15" t="n">
        <f aca="false">SUM(L25:L27)</f>
        <v>65000</v>
      </c>
      <c r="M24" s="15" t="n">
        <f aca="false">SUM(M25:M27)</f>
        <v>65000</v>
      </c>
      <c r="N24" s="15" t="n">
        <f aca="false">SUM(N25:N27)</f>
        <v>65000</v>
      </c>
      <c r="O24" s="15" t="n">
        <f aca="false">SUM(O25:O27)</f>
        <v>65000</v>
      </c>
      <c r="Q24" s="6" t="s">
        <v>38</v>
      </c>
      <c r="S24" s="11" t="n">
        <f aca="false">SUM(S25:S27)</f>
        <v>-120000</v>
      </c>
      <c r="T24" s="11" t="n">
        <f aca="false">SUM(T25:T27)</f>
        <v>0</v>
      </c>
      <c r="U24" s="11" t="n">
        <f aca="false">SUM(U25:U27)</f>
        <v>-5000</v>
      </c>
      <c r="V24" s="11" t="n">
        <f aca="false">SUM(V25:V27)</f>
        <v>0</v>
      </c>
    </row>
    <row r="25" customFormat="false" ht="15" hidden="false" customHeight="false" outlineLevel="0" collapsed="false">
      <c r="B25" s="12" t="s">
        <v>39</v>
      </c>
      <c r="D25" s="23" t="n">
        <v>10500</v>
      </c>
      <c r="E25" s="23" t="n">
        <v>11000</v>
      </c>
      <c r="F25" s="23" t="n">
        <v>10000</v>
      </c>
      <c r="G25" s="23" t="n">
        <v>12000</v>
      </c>
      <c r="H25" s="8"/>
      <c r="I25" s="6"/>
      <c r="J25" s="12" t="s">
        <v>26</v>
      </c>
      <c r="L25" s="13" t="n">
        <v>24000</v>
      </c>
      <c r="M25" s="13" t="n">
        <v>24000</v>
      </c>
      <c r="N25" s="13" t="n">
        <v>24000</v>
      </c>
      <c r="O25" s="13" t="n">
        <v>24000</v>
      </c>
      <c r="Q25" s="12" t="s">
        <v>21</v>
      </c>
      <c r="S25" s="14" t="n">
        <f aca="false">K16-L16</f>
        <v>-35000</v>
      </c>
      <c r="T25" s="14" t="n">
        <f aca="false">L16-M16</f>
        <v>0</v>
      </c>
      <c r="U25" s="14" t="n">
        <f aca="false">M16-N16</f>
        <v>-5000</v>
      </c>
      <c r="V25" s="14" t="n">
        <f aca="false">N16-O16</f>
        <v>0</v>
      </c>
    </row>
    <row r="26" customFormat="false" ht="15" hidden="false" customHeight="false" outlineLevel="0" collapsed="false">
      <c r="B26" s="12" t="s">
        <v>40</v>
      </c>
      <c r="D26" s="23" t="n">
        <v>15000</v>
      </c>
      <c r="E26" s="23" t="n">
        <v>10000</v>
      </c>
      <c r="F26" s="23" t="n">
        <v>15000</v>
      </c>
      <c r="G26" s="23" t="n">
        <v>18000</v>
      </c>
      <c r="H26" s="8"/>
      <c r="I26" s="6"/>
      <c r="J26" s="12" t="s">
        <v>29</v>
      </c>
      <c r="L26" s="13" t="n">
        <v>7000</v>
      </c>
      <c r="M26" s="13" t="n">
        <v>7000</v>
      </c>
      <c r="N26" s="13" t="n">
        <v>7000</v>
      </c>
      <c r="O26" s="13" t="n">
        <v>7000</v>
      </c>
      <c r="Q26" s="12" t="s">
        <v>22</v>
      </c>
      <c r="S26" s="14" t="n">
        <f aca="false">K17-L17</f>
        <v>-25000</v>
      </c>
      <c r="T26" s="14" t="n">
        <f aca="false">L17-M17</f>
        <v>0</v>
      </c>
      <c r="U26" s="14" t="n">
        <f aca="false">M17-N17</f>
        <v>0</v>
      </c>
      <c r="V26" s="14" t="n">
        <f aca="false">N17-O17</f>
        <v>0</v>
      </c>
    </row>
    <row r="27" customFormat="false" ht="15" hidden="false" customHeight="false" outlineLevel="0" collapsed="false">
      <c r="B27" s="9"/>
      <c r="H27" s="8"/>
      <c r="I27" s="6"/>
      <c r="J27" s="12" t="s">
        <v>31</v>
      </c>
      <c r="L27" s="13" t="n">
        <v>34000</v>
      </c>
      <c r="M27" s="13" t="n">
        <v>34000</v>
      </c>
      <c r="N27" s="13" t="n">
        <v>34000</v>
      </c>
      <c r="O27" s="13" t="n">
        <v>34000</v>
      </c>
      <c r="Q27" s="12" t="s">
        <v>28</v>
      </c>
      <c r="S27" s="14" t="n">
        <f aca="false">K20-L20</f>
        <v>-60000</v>
      </c>
      <c r="T27" s="14" t="n">
        <f aca="false">L20-M20</f>
        <v>0</v>
      </c>
      <c r="U27" s="14" t="n">
        <f aca="false">M20-N20</f>
        <v>0</v>
      </c>
      <c r="V27" s="14" t="n">
        <f aca="false">N20-O20</f>
        <v>0</v>
      </c>
    </row>
    <row r="28" customFormat="false" ht="15" hidden="false" customHeight="false" outlineLevel="0" collapsed="false">
      <c r="B28" s="6" t="s">
        <v>41</v>
      </c>
      <c r="D28" s="7" t="n">
        <f aca="false">D19-D22</f>
        <v>22500</v>
      </c>
      <c r="E28" s="7" t="n">
        <f aca="false">E19-E22</f>
        <v>30500</v>
      </c>
      <c r="F28" s="7" t="n">
        <f aca="false">F19-F22</f>
        <v>33000</v>
      </c>
      <c r="G28" s="7" t="n">
        <f aca="false">G19-G22</f>
        <v>18000</v>
      </c>
      <c r="H28" s="8"/>
      <c r="I28" s="6"/>
      <c r="J28" s="19" t="s">
        <v>42</v>
      </c>
      <c r="L28" s="15" t="n">
        <f aca="false">SUM(L29:L31)</f>
        <v>130000</v>
      </c>
      <c r="M28" s="15" t="n">
        <f aca="false">SUM(M29:M31)</f>
        <v>130000</v>
      </c>
      <c r="N28" s="15" t="n">
        <f aca="false">SUM(N29:N31)</f>
        <v>130000</v>
      </c>
      <c r="O28" s="15" t="n">
        <f aca="false">SUM(O29:O31)</f>
        <v>130000</v>
      </c>
      <c r="Q28" s="9"/>
      <c r="S28" s="14"/>
      <c r="T28" s="14"/>
      <c r="U28" s="14"/>
      <c r="V28" s="14"/>
    </row>
    <row r="29" customFormat="false" ht="15" hidden="false" customHeight="false" outlineLevel="0" collapsed="false">
      <c r="B29" s="9"/>
      <c r="H29" s="8"/>
      <c r="I29" s="6"/>
      <c r="J29" s="12" t="s">
        <v>43</v>
      </c>
      <c r="L29" s="13" t="n">
        <v>105000</v>
      </c>
      <c r="M29" s="13" t="n">
        <v>105000</v>
      </c>
      <c r="N29" s="13" t="n">
        <v>105000</v>
      </c>
      <c r="O29" s="13" t="n">
        <v>105000</v>
      </c>
      <c r="Q29" s="6" t="s">
        <v>44</v>
      </c>
      <c r="S29" s="11" t="n">
        <f aca="false">SUM(S30:S33)</f>
        <v>195000</v>
      </c>
      <c r="T29" s="11" t="n">
        <f aca="false">SUM(T30:T33)</f>
        <v>0</v>
      </c>
      <c r="U29" s="11" t="n">
        <f aca="false">SUM(U30:U33)</f>
        <v>0</v>
      </c>
      <c r="V29" s="11" t="n">
        <f aca="false">SUM(V30:V33)</f>
        <v>0</v>
      </c>
    </row>
    <row r="30" customFormat="false" ht="15" hidden="false" customHeight="false" outlineLevel="0" collapsed="false">
      <c r="B30" s="6" t="s">
        <v>45</v>
      </c>
      <c r="D30" s="7" t="n">
        <f aca="false">D31</f>
        <v>10000</v>
      </c>
      <c r="E30" s="7" t="n">
        <f aca="false">E31</f>
        <v>10000</v>
      </c>
      <c r="F30" s="7" t="n">
        <f aca="false">F31</f>
        <v>10500</v>
      </c>
      <c r="G30" s="7" t="n">
        <f aca="false">G31</f>
        <v>14000</v>
      </c>
      <c r="H30" s="8"/>
      <c r="I30" s="6"/>
      <c r="J30" s="12" t="s">
        <v>46</v>
      </c>
      <c r="L30" s="13" t="n">
        <v>25000</v>
      </c>
      <c r="M30" s="13" t="n">
        <v>25000</v>
      </c>
      <c r="N30" s="13" t="n">
        <v>25000</v>
      </c>
      <c r="O30" s="13" t="n">
        <v>25000</v>
      </c>
      <c r="Q30" s="12" t="s">
        <v>43</v>
      </c>
      <c r="S30" s="14" t="n">
        <f aca="false">L29-K29</f>
        <v>105000</v>
      </c>
      <c r="T30" s="14" t="n">
        <f aca="false">M29-L29</f>
        <v>0</v>
      </c>
      <c r="U30" s="14" t="n">
        <f aca="false">N29-M29</f>
        <v>0</v>
      </c>
      <c r="V30" s="14" t="n">
        <f aca="false">O29-N29</f>
        <v>0</v>
      </c>
    </row>
    <row r="31" customFormat="false" ht="15" hidden="false" customHeight="false" outlineLevel="0" collapsed="false">
      <c r="B31" s="12" t="s">
        <v>47</v>
      </c>
      <c r="D31" s="23" t="n">
        <v>10000</v>
      </c>
      <c r="E31" s="23" t="n">
        <v>10000</v>
      </c>
      <c r="F31" s="23" t="n">
        <v>10500</v>
      </c>
      <c r="G31" s="23" t="n">
        <v>14000</v>
      </c>
      <c r="H31" s="8"/>
      <c r="I31" s="6"/>
      <c r="J31" s="12" t="s">
        <v>33</v>
      </c>
      <c r="L31" s="13" t="n">
        <v>0</v>
      </c>
      <c r="M31" s="13" t="n">
        <v>0</v>
      </c>
      <c r="N31" s="13" t="n">
        <v>0</v>
      </c>
      <c r="O31" s="13" t="n">
        <v>0</v>
      </c>
      <c r="Q31" s="12" t="s">
        <v>46</v>
      </c>
      <c r="S31" s="14" t="n">
        <f aca="false">L30-K30</f>
        <v>25000</v>
      </c>
      <c r="T31" s="14" t="n">
        <f aca="false">M30-L30</f>
        <v>0</v>
      </c>
      <c r="U31" s="14" t="n">
        <f aca="false">N30-M30</f>
        <v>0</v>
      </c>
      <c r="V31" s="14" t="n">
        <f aca="false">O30-N30</f>
        <v>0</v>
      </c>
    </row>
    <row r="32" customFormat="false" ht="17.25" hidden="false" customHeight="true" outlineLevel="0" collapsed="false">
      <c r="B32" s="24" t="s">
        <v>48</v>
      </c>
      <c r="C32" s="25"/>
      <c r="D32" s="25" t="n">
        <v>0</v>
      </c>
      <c r="E32" s="25" t="n">
        <v>0</v>
      </c>
      <c r="F32" s="25" t="n">
        <v>0</v>
      </c>
      <c r="G32" s="25" t="n">
        <v>0</v>
      </c>
      <c r="H32" s="8"/>
      <c r="I32" s="6"/>
      <c r="J32" s="9"/>
      <c r="Q32" s="9" t="s">
        <v>49</v>
      </c>
      <c r="S32" s="14" t="n">
        <f aca="false">L34-K34</f>
        <v>10000</v>
      </c>
      <c r="T32" s="14" t="n">
        <f aca="false">M34-L34</f>
        <v>0</v>
      </c>
      <c r="U32" s="14" t="n">
        <f aca="false">N34-M34</f>
        <v>0</v>
      </c>
      <c r="V32" s="14" t="n">
        <f aca="false">O34-N34</f>
        <v>0</v>
      </c>
    </row>
    <row r="33" customFormat="false" ht="15" hidden="false" customHeight="false" outlineLevel="0" collapsed="false">
      <c r="B33" s="9"/>
      <c r="H33" s="8"/>
      <c r="I33" s="6" t="s">
        <v>50</v>
      </c>
      <c r="J33" s="9"/>
      <c r="L33" s="7" t="n">
        <f aca="false">SUM(L34:L36)</f>
        <v>85000</v>
      </c>
      <c r="M33" s="7" t="n">
        <f aca="false">SUM(M34:M36)</f>
        <v>113000</v>
      </c>
      <c r="N33" s="7" t="n">
        <f aca="false">SUM(N34:N36)</f>
        <v>144000</v>
      </c>
      <c r="O33" s="7" t="n">
        <f aca="false">SUM(O34:O36)</f>
        <v>163500</v>
      </c>
      <c r="Q33" s="9" t="s">
        <v>51</v>
      </c>
      <c r="S33" s="14" t="n">
        <f aca="false">L35-K35</f>
        <v>55000</v>
      </c>
      <c r="T33" s="14" t="n">
        <f aca="false">M35-L35</f>
        <v>0</v>
      </c>
      <c r="U33" s="14" t="n">
        <f aca="false">N35-M35</f>
        <v>0</v>
      </c>
      <c r="V33" s="14" t="n">
        <f aca="false">O35-N35</f>
        <v>0</v>
      </c>
    </row>
    <row r="34" customFormat="false" ht="15" hidden="false" customHeight="false" outlineLevel="0" collapsed="false">
      <c r="B34" s="6" t="s">
        <v>52</v>
      </c>
      <c r="D34" s="7" t="n">
        <f aca="false">SUM(D35:D37)</f>
        <v>12500</v>
      </c>
      <c r="E34" s="7" t="n">
        <f aca="false">SUM(E35:E37)</f>
        <v>12500</v>
      </c>
      <c r="F34" s="7" t="n">
        <f aca="false">SUM(F35:F37)</f>
        <v>12500</v>
      </c>
      <c r="G34" s="7" t="n">
        <f aca="false">SUM(G35:G37)</f>
        <v>12500</v>
      </c>
      <c r="H34" s="8"/>
      <c r="I34" s="6"/>
      <c r="J34" s="9" t="s">
        <v>49</v>
      </c>
      <c r="L34" s="13" t="n">
        <v>10000</v>
      </c>
      <c r="M34" s="13" t="n">
        <v>10000</v>
      </c>
      <c r="N34" s="13" t="n">
        <v>10000</v>
      </c>
      <c r="O34" s="13" t="n">
        <v>10000</v>
      </c>
      <c r="Q34" s="12"/>
      <c r="S34" s="18"/>
      <c r="T34" s="18"/>
      <c r="U34" s="18"/>
      <c r="V34" s="18"/>
    </row>
    <row r="35" customFormat="false" ht="15" hidden="false" customHeight="false" outlineLevel="0" collapsed="false">
      <c r="B35" s="12" t="s">
        <v>53</v>
      </c>
      <c r="D35" s="23" t="n">
        <v>6000</v>
      </c>
      <c r="E35" s="23" t="n">
        <v>6000</v>
      </c>
      <c r="F35" s="23" t="n">
        <v>6000</v>
      </c>
      <c r="G35" s="23" t="n">
        <v>6000</v>
      </c>
      <c r="H35" s="8"/>
      <c r="I35" s="6"/>
      <c r="J35" s="9" t="s">
        <v>51</v>
      </c>
      <c r="L35" s="13" t="n">
        <v>55000</v>
      </c>
      <c r="M35" s="13" t="n">
        <v>55000</v>
      </c>
      <c r="N35" s="13" t="n">
        <v>55000</v>
      </c>
      <c r="O35" s="13" t="n">
        <v>55000</v>
      </c>
      <c r="Q35" s="6" t="s">
        <v>54</v>
      </c>
      <c r="S35" s="11" t="n">
        <f aca="false">S9+S24+S29</f>
        <v>136500</v>
      </c>
      <c r="T35" s="11" t="n">
        <f aca="false">T9+T24+T29</f>
        <v>34500</v>
      </c>
      <c r="U35" s="11" t="n">
        <f aca="false">U9+U24+U29</f>
        <v>20500</v>
      </c>
      <c r="V35" s="11" t="n">
        <f aca="false">V9+V24+V29</f>
        <v>36500</v>
      </c>
    </row>
    <row r="36" customFormat="false" ht="15" hidden="false" customHeight="false" outlineLevel="0" collapsed="false">
      <c r="B36" s="12" t="s">
        <v>55</v>
      </c>
      <c r="D36" s="23" t="n">
        <v>4000</v>
      </c>
      <c r="E36" s="23" t="n">
        <v>4000</v>
      </c>
      <c r="F36" s="23" t="n">
        <v>4000</v>
      </c>
      <c r="G36" s="23" t="n">
        <v>4000</v>
      </c>
      <c r="H36" s="8"/>
      <c r="I36" s="6"/>
      <c r="J36" s="9" t="s">
        <v>56</v>
      </c>
      <c r="L36" s="14" t="n">
        <f aca="false">K36+D41</f>
        <v>20000</v>
      </c>
      <c r="M36" s="14" t="n">
        <f aca="false">L36+E41</f>
        <v>48000</v>
      </c>
      <c r="N36" s="14" t="n">
        <f aca="false">M36+F41</f>
        <v>79000</v>
      </c>
      <c r="O36" s="14" t="n">
        <f aca="false">N36+G41</f>
        <v>98500</v>
      </c>
      <c r="Q36" s="6"/>
    </row>
    <row r="37" customFormat="false" ht="17.25" hidden="false" customHeight="true" outlineLevel="0" collapsed="false">
      <c r="B37" s="12" t="s">
        <v>57</v>
      </c>
      <c r="D37" s="23" t="n">
        <v>2500</v>
      </c>
      <c r="E37" s="23" t="n">
        <v>2500</v>
      </c>
      <c r="F37" s="23" t="n">
        <v>2500</v>
      </c>
      <c r="G37" s="23" t="n">
        <v>2500</v>
      </c>
      <c r="H37" s="8"/>
      <c r="I37" s="6"/>
      <c r="J37" s="9"/>
      <c r="Q37" s="9" t="s">
        <v>58</v>
      </c>
      <c r="S37" s="14" t="n">
        <f aca="false">R37</f>
        <v>0</v>
      </c>
      <c r="T37" s="14" t="n">
        <f aca="false">S38</f>
        <v>136500</v>
      </c>
      <c r="U37" s="14" t="n">
        <f aca="false">T38</f>
        <v>171000</v>
      </c>
      <c r="V37" s="14" t="n">
        <f aca="false">U38</f>
        <v>191500</v>
      </c>
    </row>
    <row r="38" customFormat="false" ht="15" hidden="false" customHeight="false" outlineLevel="0" collapsed="false">
      <c r="B38" s="9"/>
      <c r="H38" s="8"/>
      <c r="I38" s="6"/>
      <c r="J38" s="26"/>
      <c r="K38" s="27"/>
      <c r="L38" s="28"/>
      <c r="M38" s="28"/>
      <c r="N38" s="28"/>
      <c r="O38" s="28"/>
      <c r="Q38" s="6" t="s">
        <v>59</v>
      </c>
      <c r="S38" s="29" t="n">
        <f aca="false">S35+S37</f>
        <v>136500</v>
      </c>
      <c r="T38" s="29" t="n">
        <f aca="false">T35+T37</f>
        <v>171000</v>
      </c>
      <c r="U38" s="29" t="n">
        <f aca="false">U35+U37</f>
        <v>191500</v>
      </c>
      <c r="V38" s="29" t="n">
        <f aca="false">V35+V37</f>
        <v>228000</v>
      </c>
    </row>
    <row r="39" customFormat="false" ht="17.25" hidden="false" customHeight="true" outlineLevel="0" collapsed="false">
      <c r="B39" s="30" t="s">
        <v>60</v>
      </c>
      <c r="D39" s="7" t="n">
        <f aca="false">D30-D34</f>
        <v>-2500</v>
      </c>
      <c r="E39" s="7" t="n">
        <f aca="false">E30-E34</f>
        <v>-2500</v>
      </c>
      <c r="F39" s="7" t="n">
        <f aca="false">F30-F34</f>
        <v>-2000</v>
      </c>
      <c r="G39" s="7" t="n">
        <f aca="false">G30-G34</f>
        <v>1500</v>
      </c>
      <c r="I39" s="9"/>
      <c r="J39" s="9"/>
      <c r="Q39" s="9"/>
    </row>
    <row r="40" customFormat="false" ht="15" hidden="false" customHeight="false" outlineLevel="0" collapsed="false">
      <c r="B40" s="9"/>
      <c r="I40" s="9"/>
      <c r="J40" s="9"/>
      <c r="Q40" s="26"/>
      <c r="S40" s="28"/>
      <c r="T40" s="28"/>
      <c r="U40" s="28"/>
      <c r="V40" s="28"/>
    </row>
    <row r="41" customFormat="false" ht="15" hidden="false" customHeight="false" outlineLevel="0" collapsed="false">
      <c r="B41" s="6" t="s">
        <v>9</v>
      </c>
      <c r="D41" s="31" t="n">
        <f aca="false">D28+D39</f>
        <v>20000</v>
      </c>
      <c r="E41" s="31" t="n">
        <f aca="false">E28+E39</f>
        <v>28000</v>
      </c>
      <c r="F41" s="31" t="n">
        <f aca="false">F28+F39</f>
        <v>31000</v>
      </c>
      <c r="G41" s="31" t="n">
        <f aca="false">G28+G39</f>
        <v>19500</v>
      </c>
      <c r="I41" s="6"/>
      <c r="J41" s="9"/>
      <c r="Q41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2025-07-03T13:58:38Z</dcterms:created>
  <dc:creator>oluwaseun Adeyemi</dc:creator>
  <dc:description/>
  <dc:language>en-US</dc:language>
  <cp:lastModifiedBy>user</cp:lastModifiedBy>
  <dcterms:modified xsi:type="dcterms:W3CDTF">2025-07-26T13:02:24Z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