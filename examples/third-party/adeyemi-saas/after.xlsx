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<sst xmlns="http://schemas.openxmlformats.org/spreadsheetml/2006/main" count="88" uniqueCount="63">
  <si>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</si>
  <si>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</si>
  <si>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</si>
  <si>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</si>
  <si>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</si>
  <si>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Revenue</t>
  </si>
  <si>
    <t xml:space="preserve">Assets</t>
  </si>
  <si>
    <t xml:space="preserve">Cash from Operating Activities</t>
  </si>
  <si>
    <t xml:space="preserve">Implementation Fees</t>
  </si>
  <si>
    <t xml:space="preserve">Cash &amp; Cash Equivalents</t>
  </si>
  <si>
    <t xml:space="preserve">Net Income</t>
  </si>
  <si>
    <t xml:space="preserve">MRR</t>
  </si>
  <si>
    <t xml:space="preserve">Current Assets</t>
  </si>
  <si>
    <t xml:space="preserve">Accounts Receivable</t>
  </si>
  <si>
    <t xml:space="preserve">Depreciation</t>
  </si>
  <si>
    <t xml:space="preserve">Inventory</t>
  </si>
  <si>
    <t xml:space="preserve">Amortization</t>
  </si>
  <si>
    <t xml:space="preserve">Cost of Goods Sold</t>
  </si>
  <si>
    <t xml:space="preserve">Prepaid Expenses</t>
  </si>
  <si>
    <t xml:space="preserve">Hosting &amp; Servers</t>
  </si>
  <si>
    <t xml:space="preserve">Fixed Assets</t>
  </si>
  <si>
    <t xml:space="preserve">Customer Support</t>
  </si>
  <si>
    <t xml:space="preserve">Laptops &amp; computers</t>
  </si>
  <si>
    <t xml:space="preserve">Furniture</t>
  </si>
  <si>
    <t xml:space="preserve">Accumulated Depreciation</t>
  </si>
  <si>
    <t xml:space="preserve">Gross Profit</t>
  </si>
  <si>
    <t xml:space="preserve">Intangible Assets</t>
  </si>
  <si>
    <t xml:space="preserve">Accounts Payable</t>
  </si>
  <si>
    <t xml:space="preserve">Gross Margin</t>
  </si>
  <si>
    <t xml:space="preserve">Goodwill</t>
  </si>
  <si>
    <t xml:space="preserve">Credit Cards</t>
  </si>
  <si>
    <t xml:space="preserve">Accumulated Amortization</t>
  </si>
  <si>
    <t xml:space="preserve">Deferred Revenue</t>
  </si>
  <si>
    <t xml:space="preserve">Operating Expenses</t>
  </si>
  <si>
    <t xml:space="preserve">Accrued Interest</t>
  </si>
  <si>
    <t xml:space="preserve">General &amp; Administrative</t>
  </si>
  <si>
    <t xml:space="preserve">Liabilities</t>
  </si>
  <si>
    <t xml:space="preserve">Sales &amp; Marketing</t>
  </si>
  <si>
    <t xml:space="preserve">Current Liabilities</t>
  </si>
  <si>
    <t xml:space="preserve">Cash from Investing Activities</t>
  </si>
  <si>
    <t xml:space="preserve">Research &amp; Development</t>
  </si>
  <si>
    <t xml:space="preserve">Customer Success</t>
  </si>
  <si>
    <t xml:space="preserve">Stock-Based Compensation</t>
  </si>
  <si>
    <t xml:space="preserve">Operating Income</t>
  </si>
  <si>
    <t xml:space="preserve">Long Term Liabilities</t>
  </si>
  <si>
    <t xml:space="preserve">Line of Credit</t>
  </si>
  <si>
    <t xml:space="preserve">Cash from Financing Activities</t>
  </si>
  <si>
    <t xml:space="preserve">Other Income </t>
  </si>
  <si>
    <t xml:space="preserve">Convertible Notes</t>
  </si>
  <si>
    <t xml:space="preserve">Interest Income</t>
  </si>
  <si>
    <t xml:space="preserve">Gain on Sale of assets</t>
  </si>
  <si>
    <t xml:space="preserve">Common Stock</t>
  </si>
  <si>
    <t xml:space="preserve">Owners Equity</t>
  </si>
  <si>
    <t xml:space="preserve">Preferred Stock</t>
  </si>
  <si>
    <t xml:space="preserve">Other Expenses</t>
  </si>
  <si>
    <t xml:space="preserve">Interest Expense</t>
  </si>
  <si>
    <t xml:space="preserve">Total Cash Flows</t>
  </si>
  <si>
    <t xml:space="preserve">Depreciation Expense</t>
  </si>
  <si>
    <t xml:space="preserve">Retained Earnings</t>
  </si>
  <si>
    <t xml:space="preserve">Amortization Expense</t>
  </si>
  <si>
    <t xml:space="preserve">Beginning Cash</t>
  </si>
  <si>
    <t xml:space="preserve">Ending Cash</t>
  </si>
  <si>
    <t xml:space="preserve">Net Other Income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</si>
</sst>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_);_(* \(#,##0\);_(* \-??_);_(@_)"/>
    <numFmt numFmtId="166" formatCode="_-* #,##0.00_-;\-* #,##0.00_-;_-* \-??_-;_-@_-"/>
    <numFmt numFmtId="167" formatCode="0%"/>
    <numFmt numFmtId="168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238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u val="double"/>
      <sz val="11"/>
      <color theme="1"/>
      <name val="Calibri"/>
      <family val="2"/>
      <charset val="1"/>
    </font>
    <font>
      <b val="true"/>
      <sz val="28"/>
      <color theme="2" tint="-0.75"/>
      <name val="Arial Black"/>
      <family val="2"/>
    </font>
    <font>
      <b val="true"/>
      <sz val="32"/>
      <color theme="1" tint="0.05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5"/>
        <bgColor rgb="FF969696"/>
      </patternFill>
    </fill>
    <fill>
      <patternFill patternType="solid">
        <fgColor theme="6" tint="0.3999"/>
        <bgColor rgb="FFCCCCFF"/>
      </patternFill>
    </fill>
    <fill>
      <patternFill patternType="solid">
        <fgColor theme="0" tint="-0.05"/>
        <bgColor rgb="FFE2F0D9"/>
      </patternFill>
    </fill>
    <fill>
      <patternFill patternType="solid">
        <fgColor theme="0"/>
        <bgColor rgb="FFF2F2F2"/>
      </patternFill>
    </fill>
    <fill>
      <patternFill patternType="solid">
        <fgColor theme="9" tint="0.799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90360</xdr:colOff>
      <xdr:row>3</xdr:row>
      <xdr:rowOff>152280</xdr:rowOff>
    </xdr:from>
    <xdr:to>
      <xdr:col>15</xdr:col>
      <xdr:colOff>470880</xdr:colOff>
      <xdr:row>6</xdr:row>
      <xdr:rowOff>104400</xdr:rowOff>
    </xdr:to>
    <xdr:sp>
      <xdr:nvSpPr>
        <xdr:cNvPr id="1" name="TextBox 3"/>
        <xdr:cNvSpPr/>
      </xdr:nvSpPr>
      <xdr:spPr>
        <a:xfrm>
          <a:off x="5960160" y="723960"/>
          <a:ext cx="578700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Financial Position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17</xdr:col>
      <xdr:colOff>63000</xdr:colOff>
      <xdr:row>3</xdr:row>
      <xdr:rowOff>163440</xdr:rowOff>
    </xdr:from>
    <xdr:to>
      <xdr:col>22</xdr:col>
      <xdr:colOff>566280</xdr:colOff>
      <xdr:row>6</xdr:row>
      <xdr:rowOff>115560</xdr:rowOff>
    </xdr:to>
    <xdr:sp>
      <xdr:nvSpPr>
        <xdr:cNvPr id="2" name="TextBox 4"/>
        <xdr:cNvSpPr/>
      </xdr:nvSpPr>
      <xdr:spPr>
        <a:xfrm>
          <a:off x="12396600" y="735120"/>
          <a:ext cx="490320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Cash Flows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104400</xdr:colOff>
      <xdr:row>3</xdr:row>
      <xdr:rowOff>149400</xdr:rowOff>
    </xdr:from>
    <xdr:to>
      <xdr:col>8</xdr:col>
      <xdr:colOff>25560</xdr:colOff>
      <xdr:row>6</xdr:row>
      <xdr:rowOff>101520</xdr:rowOff>
    </xdr:to>
    <xdr:sp>
      <xdr:nvSpPr>
        <xdr:cNvPr id="3" name="TextBox 2"/>
        <xdr:cNvSpPr/>
      </xdr:nvSpPr>
      <xdr:spPr>
        <a:xfrm>
          <a:off x="104400" y="721080"/>
          <a:ext cx="579096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Profit or Loss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11880</xdr:colOff>
      <xdr:row>0</xdr:row>
      <xdr:rowOff>65880</xdr:rowOff>
    </xdr:from>
    <xdr:to>
      <xdr:col>18</xdr:col>
      <xdr:colOff>416160</xdr:colOff>
      <xdr:row>3</xdr:row>
      <xdr:rowOff>106920</xdr:rowOff>
    </xdr:to>
    <xdr:sp>
      <xdr:nvSpPr>
        <xdr:cNvPr id="4" name="TextBox 5"/>
        <xdr:cNvSpPr/>
      </xdr:nvSpPr>
      <xdr:spPr>
        <a:xfrm>
          <a:off x="4915440" y="65880"/>
          <a:ext cx="8025480" cy="612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3200" b="1" u="none" strike="noStrik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Arial Black"/>
            </a:rPr>
            <a:t>3 Statement Financial Model</a:t>
          </a:r>
          <a:endParaRPr lang="en-US" sz="3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8:Y42"/>
  <sheetViews>
    <sheetView showFormulas="false" showGridLines="false" showRowColHeaders="true" showZeros="true" rightToLeft="false" tabSelected="true" showOutlineSymbols="true" defaultGridColor="true" view="normal" topLeftCell="G14" colorId="64" zoomScale="90" zoomScaleNormal="90" zoomScalePageLayoutView="100" workbookViewId="0">
      <selection pane="topLeft" activeCell="N34" activeCellId="0" sqref="N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26.29"/>
    <col collapsed="false" customWidth="true" hidden="false" outlineLevel="0" max="3" min="3" style="0" width="2.71"/>
    <col collapsed="false" customWidth="true" hidden="false" outlineLevel="0" max="4" min="4" style="0" width="14.29"/>
    <col collapsed="false" customWidth="true" hidden="false" outlineLevel="0" max="5" min="5" style="0" width="12.15"/>
    <col collapsed="false" customWidth="true" hidden="false" outlineLevel="0" max="6" min="6" style="0" width="11.43"/>
    <col collapsed="false" customWidth="true" hidden="false" outlineLevel="0" max="7" min="7" style="0" width="11.14"/>
    <col collapsed="false" customWidth="true" hidden="false" outlineLevel="0" max="10" min="8" style="0" width="2.57"/>
    <col collapsed="false" customWidth="true" hidden="false" outlineLevel="0" max="11" min="11" style="0" width="28"/>
    <col collapsed="false" customWidth="true" hidden="false" outlineLevel="0" max="12" min="12" style="0" width="2.71"/>
    <col collapsed="false" customWidth="true" hidden="false" outlineLevel="0" max="13" min="13" style="0" width="12.29"/>
    <col collapsed="false" customWidth="true" hidden="false" outlineLevel="0" max="14" min="14" style="0" width="14.42"/>
    <col collapsed="false" customWidth="true" hidden="false" outlineLevel="0" max="15" min="15" style="0" width="14.14"/>
    <col collapsed="false" customWidth="true" hidden="false" outlineLevel="0" max="16" min="16" style="0" width="12.29"/>
    <col collapsed="false" customWidth="true" hidden="false" outlineLevel="0" max="18" min="17" style="0" width="2.71"/>
    <col collapsed="false" customWidth="true" hidden="false" outlineLevel="0" max="19" min="19" style="0" width="29.86"/>
    <col collapsed="false" customWidth="true" hidden="false" outlineLevel="0" max="20" min="20" style="0" width="2.86"/>
    <col collapsed="false" customWidth="true" hidden="false" outlineLevel="0" max="21" min="21" style="0" width="14.71"/>
    <col collapsed="false" customWidth="true" hidden="false" outlineLevel="0" max="22" min="22" style="0" width="12.29"/>
    <col collapsed="false" customWidth="true" hidden="false" outlineLevel="0" max="23" min="23" style="0" width="12.57"/>
    <col collapsed="false" customWidth="true" hidden="false" outlineLevel="0" max="24" min="24" style="0" width="14.29"/>
  </cols>
  <sheetData>
    <row r="8" customFormat="false" ht="19.7" hidden="false" customHeight="false" outlineLevel="0" collapsed="false">
      <c r="B8" s="1"/>
      <c r="C8" s="2"/>
      <c r="D8" s="3" t="s">
        <v>0</v>
      </c>
      <c r="E8" s="3" t="s">
        <v>1</v>
      </c>
      <c r="F8" s="3" t="s">
        <v>2</v>
      </c>
      <c r="G8" s="3" t="s">
        <v>3</v>
      </c>
      <c r="H8" s="3" t="s">
        <v>4</v>
      </c>
      <c r="J8" s="4"/>
      <c r="K8" s="1"/>
      <c r="L8" s="5"/>
      <c r="M8" s="3" t="s">
        <v>0</v>
      </c>
      <c r="N8" s="3" t="s">
        <v>1</v>
      </c>
      <c r="O8" s="3" t="s">
        <v>2</v>
      </c>
      <c r="P8" s="3" t="s">
        <v>3</v>
      </c>
      <c r="Q8" s="3" t="s">
        <v>4</v>
      </c>
      <c r="S8" s="1"/>
      <c r="T8" s="5"/>
      <c r="U8" s="3" t="s">
        <v>0</v>
      </c>
      <c r="V8" s="3" t="s">
        <v>1</v>
      </c>
      <c r="W8" s="3" t="s">
        <v>2</v>
      </c>
      <c r="X8" s="3" t="s">
        <v>3</v>
      </c>
      <c r="Y8" s="0" t="s">
        <v>4</v>
      </c>
    </row>
    <row r="9" customFormat="false" ht="15" hidden="false" customHeight="false" outlineLevel="0" collapsed="false">
      <c r="B9" s="6" t="s">
        <v>5</v>
      </c>
      <c r="D9" s="7" t="n">
        <f aca="false">D10+D11</f>
        <v>80000</v>
      </c>
      <c r="E9" s="7" t="n">
        <f aca="false">E10+E11</f>
        <v>80000</v>
      </c>
      <c r="F9" s="7" t="n">
        <f aca="false">F10+F11</f>
        <v>87500</v>
      </c>
      <c r="G9" s="7" t="n">
        <f aca="false">G10+G11</f>
        <v>80000</v>
      </c>
      <c r="H9" s="7" t="n">
        <f aca="false">H10+H11</f>
        <v>98500</v>
      </c>
      <c r="I9" s="8"/>
      <c r="J9" s="6" t="s">
        <v>6</v>
      </c>
      <c r="K9" s="9"/>
      <c r="M9" s="7" t="n">
        <f aca="false">M10+M11+M15+M19</f>
        <v>280000</v>
      </c>
      <c r="N9" s="7" t="n">
        <f aca="false">N10+N11+N15+N19</f>
        <v>308000</v>
      </c>
      <c r="O9" s="7" t="n">
        <f aca="false">O10+O11+O15+O19</f>
        <v>339000</v>
      </c>
      <c r="P9" s="7" t="n">
        <f aca="false">P10+P11+P15+P19</f>
        <v>356500</v>
      </c>
      <c r="Q9" s="7" t="n">
        <f aca="false">Q10+Q11+Q15+Q19</f>
        <v>393200</v>
      </c>
      <c r="S9" s="6" t="s">
        <v>7</v>
      </c>
      <c r="T9" s="10"/>
      <c r="U9" s="11" t="n">
        <f aca="false">SUM(U10:U22)</f>
        <v>61500</v>
      </c>
      <c r="V9" s="11" t="n">
        <f aca="false">SUM(V10:V22)</f>
        <v>34500</v>
      </c>
      <c r="W9" s="11" t="n">
        <f aca="false">SUM(W10:W22)</f>
        <v>25500</v>
      </c>
      <c r="X9" s="11" t="n">
        <f aca="false">SUM(X10:X22)</f>
        <v>36500</v>
      </c>
      <c r="Y9" s="11" t="n">
        <f aca="false">SUM(Y10:Y22)</f>
        <v>41200</v>
      </c>
    </row>
    <row r="10" customFormat="false" ht="15" hidden="false" customHeight="false" outlineLevel="0" collapsed="false">
      <c r="B10" s="12" t="s">
        <v>8</v>
      </c>
      <c r="D10" s="13" t="n">
        <v>25000</v>
      </c>
      <c r="E10" s="13" t="n">
        <v>20000</v>
      </c>
      <c r="F10" s="13" t="n">
        <v>27500</v>
      </c>
      <c r="G10" s="13" t="n">
        <v>10000</v>
      </c>
      <c r="H10" s="13" t="n">
        <v>22500</v>
      </c>
      <c r="I10" s="8"/>
      <c r="J10" s="6"/>
      <c r="K10" s="9" t="s">
        <v>9</v>
      </c>
      <c r="M10" s="14" t="n">
        <v>136500</v>
      </c>
      <c r="N10" s="14" t="n">
        <v>171000</v>
      </c>
      <c r="O10" s="14" t="n">
        <v>191500</v>
      </c>
      <c r="P10" s="14" t="n">
        <v>226000</v>
      </c>
      <c r="Q10" s="14" t="n">
        <v>263200</v>
      </c>
      <c r="S10" s="9" t="s">
        <v>10</v>
      </c>
      <c r="U10" s="14" t="n">
        <f aca="false">M37-L37</f>
        <v>20000</v>
      </c>
      <c r="V10" s="14" t="n">
        <f aca="false">N37-M37</f>
        <v>28000</v>
      </c>
      <c r="W10" s="14" t="n">
        <f aca="false">O37-N37</f>
        <v>31000</v>
      </c>
      <c r="X10" s="14" t="n">
        <f aca="false">P37-O37</f>
        <v>19500</v>
      </c>
      <c r="Y10" s="14" t="n">
        <f aca="false">Q37-P37</f>
        <v>32700</v>
      </c>
    </row>
    <row r="11" customFormat="false" ht="15" hidden="false" customHeight="false" outlineLevel="0" collapsed="false">
      <c r="B11" s="12" t="s">
        <v>11</v>
      </c>
      <c r="D11" s="13" t="n">
        <v>55000</v>
      </c>
      <c r="E11" s="13" t="n">
        <v>60000</v>
      </c>
      <c r="F11" s="13" t="n">
        <v>60000</v>
      </c>
      <c r="G11" s="13" t="n">
        <v>70000</v>
      </c>
      <c r="H11" s="13" t="n">
        <v>76000</v>
      </c>
      <c r="I11" s="8"/>
      <c r="J11" s="6"/>
      <c r="K11" s="6" t="s">
        <v>12</v>
      </c>
      <c r="M11" s="15" t="n">
        <f aca="false">M12+M13+M14</f>
        <v>30000</v>
      </c>
      <c r="N11" s="15" t="n">
        <f aca="false">N12+N13+N14</f>
        <v>30000</v>
      </c>
      <c r="O11" s="15" t="n">
        <f aca="false">O12+O13+O14</f>
        <v>42000</v>
      </c>
      <c r="P11" s="15" t="n">
        <f aca="false">P12+P13+P14</f>
        <v>31500</v>
      </c>
      <c r="Q11" s="15" t="n">
        <f aca="false">Q12+Q13+Q14</f>
        <v>31500</v>
      </c>
      <c r="S11" s="12"/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</row>
    <row r="12" customFormat="false" ht="15" hidden="false" customHeight="false" outlineLevel="0" collapsed="false">
      <c r="B12" s="12"/>
      <c r="D12" s="16"/>
      <c r="E12" s="16"/>
      <c r="F12" s="16"/>
      <c r="G12" s="16"/>
      <c r="H12" s="16"/>
      <c r="I12" s="8"/>
      <c r="J12" s="6"/>
      <c r="K12" s="12" t="s">
        <v>13</v>
      </c>
      <c r="M12" s="13" t="n">
        <v>11000</v>
      </c>
      <c r="N12" s="13" t="n">
        <v>15000</v>
      </c>
      <c r="O12" s="13" t="n">
        <v>13000</v>
      </c>
      <c r="P12" s="13" t="n">
        <v>14000</v>
      </c>
      <c r="Q12" s="13" t="n">
        <v>16000</v>
      </c>
      <c r="S12" s="12" t="s">
        <v>14</v>
      </c>
      <c r="U12" s="14" t="n">
        <f aca="false">L18-M18</f>
        <v>4000</v>
      </c>
      <c r="V12" s="14" t="n">
        <f aca="false">M18-N18</f>
        <v>4000</v>
      </c>
      <c r="W12" s="14" t="n">
        <f aca="false">N18-O18</f>
        <v>4000</v>
      </c>
      <c r="X12" s="14" t="n">
        <f aca="false">O18-P18</f>
        <v>4000</v>
      </c>
      <c r="Y12" s="14" t="n">
        <f aca="false">P18-Q18</f>
        <v>4000</v>
      </c>
    </row>
    <row r="13" customFormat="false" ht="15" hidden="false" customHeight="false" outlineLevel="0" collapsed="false">
      <c r="B13" s="12"/>
      <c r="I13" s="8"/>
      <c r="J13" s="6"/>
      <c r="K13" s="12" t="s">
        <v>15</v>
      </c>
      <c r="M13" s="13" t="n">
        <v>19000</v>
      </c>
      <c r="N13" s="13" t="n">
        <v>15000</v>
      </c>
      <c r="O13" s="13" t="n">
        <v>29000</v>
      </c>
      <c r="P13" s="13" t="n">
        <v>17500</v>
      </c>
      <c r="Q13" s="13" t="n">
        <v>15500</v>
      </c>
      <c r="S13" s="12" t="s">
        <v>16</v>
      </c>
      <c r="U13" s="14" t="n">
        <f aca="false">L21-M21</f>
        <v>2500</v>
      </c>
      <c r="V13" s="14" t="n">
        <f aca="false">M21-N21</f>
        <v>2500</v>
      </c>
      <c r="W13" s="14" t="n">
        <f aca="false">N21-O21</f>
        <v>2500</v>
      </c>
      <c r="X13" s="14" t="n">
        <f aca="false">O21-P21</f>
        <v>2500</v>
      </c>
      <c r="Y13" s="14" t="n">
        <f aca="false">P21-Q21</f>
        <v>2500</v>
      </c>
    </row>
    <row r="14" customFormat="false" ht="15" hidden="false" customHeight="false" outlineLevel="0" collapsed="false">
      <c r="B14" s="6" t="s">
        <v>17</v>
      </c>
      <c r="D14" s="7" t="n">
        <f aca="false">D15+D16</f>
        <v>5000</v>
      </c>
      <c r="E14" s="7" t="n">
        <f aca="false">E15+E16</f>
        <v>5000</v>
      </c>
      <c r="F14" s="7" t="n">
        <f aca="false">F15+F16</f>
        <v>7000</v>
      </c>
      <c r="G14" s="7" t="n">
        <f aca="false">G15+G16</f>
        <v>7000</v>
      </c>
      <c r="H14" s="7" t="n">
        <f aca="false">H15+H16</f>
        <v>7300</v>
      </c>
      <c r="I14" s="8"/>
      <c r="J14" s="6"/>
      <c r="K14" s="12" t="s">
        <v>18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S14" s="12"/>
      <c r="U14" s="14"/>
      <c r="V14" s="14"/>
      <c r="W14" s="14"/>
      <c r="X14" s="14"/>
      <c r="Y14" s="14"/>
    </row>
    <row r="15" customFormat="false" ht="15" hidden="false" customHeight="false" outlineLevel="0" collapsed="false">
      <c r="B15" s="12" t="s">
        <v>19</v>
      </c>
      <c r="D15" s="13" t="n">
        <v>3500</v>
      </c>
      <c r="E15" s="13" t="n">
        <v>3500</v>
      </c>
      <c r="F15" s="13" t="n">
        <v>4000</v>
      </c>
      <c r="G15" s="13" t="n">
        <v>4000</v>
      </c>
      <c r="H15" s="13" t="n">
        <v>4200</v>
      </c>
      <c r="I15" s="17"/>
      <c r="J15" s="6"/>
      <c r="K15" s="6" t="s">
        <v>20</v>
      </c>
      <c r="L15" s="10"/>
      <c r="M15" s="15" t="n">
        <f aca="false">SUM(M16:M18)</f>
        <v>56000</v>
      </c>
      <c r="N15" s="15" t="n">
        <f aca="false">SUM(N16:N18)</f>
        <v>52000</v>
      </c>
      <c r="O15" s="15" t="n">
        <f aca="false">SUM(O16:O18)</f>
        <v>53000</v>
      </c>
      <c r="P15" s="15" t="n">
        <f aca="false">SUM(P16:P18)</f>
        <v>49000</v>
      </c>
      <c r="Q15" s="15" t="n">
        <f aca="false">SUM(Q16:Q18)</f>
        <v>51000</v>
      </c>
      <c r="S15" s="12" t="s">
        <v>13</v>
      </c>
      <c r="U15" s="14" t="n">
        <f aca="false">L12-M12</f>
        <v>-11000</v>
      </c>
      <c r="V15" s="14" t="n">
        <f aca="false">M12-N12</f>
        <v>-4000</v>
      </c>
      <c r="W15" s="14" t="n">
        <f aca="false">N12-O12</f>
        <v>2000</v>
      </c>
      <c r="X15" s="14" t="n">
        <f aca="false">O12-P12</f>
        <v>-1000</v>
      </c>
      <c r="Y15" s="14" t="n">
        <f aca="false">P12-Q12</f>
        <v>-2000</v>
      </c>
    </row>
    <row r="16" customFormat="false" ht="15" hidden="false" customHeight="false" outlineLevel="0" collapsed="false">
      <c r="B16" s="12" t="s">
        <v>21</v>
      </c>
      <c r="D16" s="13" t="n">
        <v>1500</v>
      </c>
      <c r="E16" s="13" t="n">
        <v>1500</v>
      </c>
      <c r="F16" s="13" t="n">
        <v>3000</v>
      </c>
      <c r="G16" s="13" t="n">
        <v>3000</v>
      </c>
      <c r="H16" s="13" t="n">
        <v>3100</v>
      </c>
      <c r="I16" s="8"/>
      <c r="J16" s="6"/>
      <c r="K16" s="12" t="s">
        <v>22</v>
      </c>
      <c r="M16" s="13" t="n">
        <v>35000</v>
      </c>
      <c r="N16" s="13" t="n">
        <v>35000</v>
      </c>
      <c r="O16" s="13" t="n">
        <v>40000</v>
      </c>
      <c r="P16" s="13" t="n">
        <v>40000</v>
      </c>
      <c r="Q16" s="13" t="n">
        <v>46000</v>
      </c>
      <c r="S16" s="12" t="s">
        <v>15</v>
      </c>
      <c r="U16" s="14" t="n">
        <f aca="false">L13-M13</f>
        <v>-19000</v>
      </c>
      <c r="V16" s="14" t="n">
        <f aca="false">M13-N13</f>
        <v>4000</v>
      </c>
      <c r="W16" s="14" t="n">
        <f aca="false">N13-O13</f>
        <v>-14000</v>
      </c>
      <c r="X16" s="14" t="n">
        <f aca="false">O13-P13</f>
        <v>11500</v>
      </c>
      <c r="Y16" s="14" t="n">
        <f aca="false">P13-Q13</f>
        <v>2000</v>
      </c>
    </row>
    <row r="17" customFormat="false" ht="15" hidden="false" customHeight="false" outlineLevel="0" collapsed="false">
      <c r="B17" s="12"/>
      <c r="D17" s="16"/>
      <c r="E17" s="16"/>
      <c r="F17" s="16"/>
      <c r="G17" s="16"/>
      <c r="H17" s="16"/>
      <c r="I17" s="8"/>
      <c r="J17" s="6"/>
      <c r="K17" s="12" t="s">
        <v>23</v>
      </c>
      <c r="M17" s="13" t="n">
        <v>25000</v>
      </c>
      <c r="N17" s="13" t="n">
        <v>25000</v>
      </c>
      <c r="O17" s="13" t="n">
        <v>25000</v>
      </c>
      <c r="P17" s="13" t="n">
        <v>25000</v>
      </c>
      <c r="Q17" s="13" t="n">
        <v>25000</v>
      </c>
      <c r="S17" s="12" t="s">
        <v>18</v>
      </c>
      <c r="U17" s="14" t="n">
        <f aca="false">L14-M14</f>
        <v>0</v>
      </c>
      <c r="V17" s="14" t="n">
        <f aca="false">M14-N14</f>
        <v>0</v>
      </c>
      <c r="W17" s="14" t="n">
        <f aca="false">N14-O14</f>
        <v>0</v>
      </c>
      <c r="X17" s="14" t="n">
        <f aca="false">O14-P14</f>
        <v>0</v>
      </c>
      <c r="Y17" s="14" t="n">
        <f aca="false">P14-Q14</f>
        <v>0</v>
      </c>
    </row>
    <row r="18" customFormat="false" ht="15" hidden="false" customHeight="false" outlineLevel="0" collapsed="false">
      <c r="B18" s="9"/>
      <c r="I18" s="8"/>
      <c r="J18" s="6"/>
      <c r="K18" s="12" t="s">
        <v>24</v>
      </c>
      <c r="M18" s="13" t="n">
        <f aca="false">L18-D37</f>
        <v>-4000</v>
      </c>
      <c r="N18" s="13" t="n">
        <f aca="false">M18-E37</f>
        <v>-8000</v>
      </c>
      <c r="O18" s="13" t="n">
        <f aca="false">N18-F37</f>
        <v>-12000</v>
      </c>
      <c r="P18" s="13" t="n">
        <f aca="false">O18-G37</f>
        <v>-16000</v>
      </c>
      <c r="Q18" s="13" t="n">
        <f aca="false">P18-H37</f>
        <v>-20000</v>
      </c>
      <c r="S18" s="12"/>
      <c r="U18" s="18"/>
      <c r="V18" s="18"/>
      <c r="W18" s="18"/>
      <c r="X18" s="18"/>
      <c r="Y18" s="18"/>
    </row>
    <row r="19" customFormat="false" ht="15" hidden="false" customHeight="false" outlineLevel="0" collapsed="false">
      <c r="B19" s="6" t="s">
        <v>25</v>
      </c>
      <c r="D19" s="7" t="n">
        <f aca="false">D9-D14</f>
        <v>75000</v>
      </c>
      <c r="E19" s="7" t="n">
        <f aca="false">E9-E14</f>
        <v>75000</v>
      </c>
      <c r="F19" s="7" t="n">
        <f aca="false">F9-F14</f>
        <v>80500</v>
      </c>
      <c r="G19" s="7" t="n">
        <f aca="false">G9-G14</f>
        <v>73000</v>
      </c>
      <c r="H19" s="7" t="n">
        <f aca="false">H9-H14</f>
        <v>91200</v>
      </c>
      <c r="I19" s="17"/>
      <c r="J19" s="6"/>
      <c r="K19" s="19" t="s">
        <v>26</v>
      </c>
      <c r="L19" s="10"/>
      <c r="M19" s="15" t="n">
        <f aca="false">SUM(M20:M21)</f>
        <v>57500</v>
      </c>
      <c r="N19" s="15" t="n">
        <f aca="false">SUM(N20:N21)</f>
        <v>55000</v>
      </c>
      <c r="O19" s="15" t="n">
        <f aca="false">SUM(O20:O21)</f>
        <v>52500</v>
      </c>
      <c r="P19" s="15" t="n">
        <f aca="false">SUM(P20:P21)</f>
        <v>50000</v>
      </c>
      <c r="Q19" s="15" t="n">
        <f aca="false">SUM(Q20:Q21)</f>
        <v>47500</v>
      </c>
      <c r="S19" s="12" t="s">
        <v>27</v>
      </c>
      <c r="U19" s="14" t="n">
        <f aca="false">M25-L25</f>
        <v>24000</v>
      </c>
      <c r="V19" s="14" t="n">
        <f aca="false">N25-M25</f>
        <v>0</v>
      </c>
      <c r="W19" s="14" t="n">
        <f aca="false">O25-N25</f>
        <v>0</v>
      </c>
      <c r="X19" s="14" t="n">
        <f aca="false">P25-O25</f>
        <v>0</v>
      </c>
      <c r="Y19" s="14" t="n">
        <f aca="false">Q25-P25</f>
        <v>0</v>
      </c>
    </row>
    <row r="20" customFormat="false" ht="15" hidden="false" customHeight="false" outlineLevel="0" collapsed="false">
      <c r="B20" s="20" t="s">
        <v>28</v>
      </c>
      <c r="C20" s="21"/>
      <c r="D20" s="22" t="n">
        <f aca="false">IFERROR(D19/D9,0)</f>
        <v>0.9375</v>
      </c>
      <c r="E20" s="22" t="n">
        <f aca="false">IFERROR(E19/E9,0)</f>
        <v>0.9375</v>
      </c>
      <c r="F20" s="22" t="n">
        <f aca="false">IFERROR(F19/F9,0)</f>
        <v>0.92</v>
      </c>
      <c r="G20" s="22" t="n">
        <f aca="false">IFERROR(G19/G9,0)</f>
        <v>0.9125</v>
      </c>
      <c r="H20" s="22" t="n">
        <f aca="false">IFERROR(H19/H9,0)</f>
        <v>0.925888324873097</v>
      </c>
      <c r="I20" s="8"/>
      <c r="J20" s="6"/>
      <c r="K20" s="12" t="s">
        <v>29</v>
      </c>
      <c r="M20" s="13" t="n">
        <v>60000</v>
      </c>
      <c r="N20" s="13" t="n">
        <v>60000</v>
      </c>
      <c r="O20" s="13" t="n">
        <v>60000</v>
      </c>
      <c r="P20" s="13" t="n">
        <v>60000</v>
      </c>
      <c r="Q20" s="13" t="n">
        <v>60000</v>
      </c>
      <c r="S20" s="12" t="s">
        <v>30</v>
      </c>
      <c r="U20" s="14" t="n">
        <f aca="false">M26-L26</f>
        <v>7000</v>
      </c>
      <c r="V20" s="14" t="n">
        <f aca="false">N26-M26</f>
        <v>0</v>
      </c>
      <c r="W20" s="14" t="n">
        <f aca="false">O26-N26</f>
        <v>0</v>
      </c>
      <c r="X20" s="14" t="n">
        <f aca="false">P26-O26</f>
        <v>0</v>
      </c>
      <c r="Y20" s="14" t="n">
        <f aca="false">Q26-P26</f>
        <v>0</v>
      </c>
    </row>
    <row r="21" customFormat="false" ht="15" hidden="false" customHeight="false" outlineLevel="0" collapsed="false">
      <c r="B21" s="12"/>
      <c r="I21" s="8"/>
      <c r="J21" s="6"/>
      <c r="K21" s="12" t="s">
        <v>31</v>
      </c>
      <c r="M21" s="13" t="n">
        <f aca="false">L21-D38</f>
        <v>-2500</v>
      </c>
      <c r="N21" s="13" t="n">
        <f aca="false">M21-E38</f>
        <v>-5000</v>
      </c>
      <c r="O21" s="13" t="n">
        <f aca="false">N21-F38</f>
        <v>-7500</v>
      </c>
      <c r="P21" s="13" t="n">
        <f aca="false">O21-G38</f>
        <v>-10000</v>
      </c>
      <c r="Q21" s="13" t="n">
        <f aca="false">P21-H38</f>
        <v>-12500</v>
      </c>
      <c r="S21" s="12" t="s">
        <v>32</v>
      </c>
      <c r="U21" s="14" t="n">
        <f aca="false">M28-L28</f>
        <v>34000</v>
      </c>
      <c r="V21" s="14" t="n">
        <f aca="false">N28-M28</f>
        <v>0</v>
      </c>
      <c r="W21" s="14" t="n">
        <f aca="false">O28-N28</f>
        <v>0</v>
      </c>
      <c r="X21" s="14" t="n">
        <f aca="false">P28-O28</f>
        <v>0</v>
      </c>
      <c r="Y21" s="14" t="n">
        <f aca="false">Q28-P28</f>
        <v>2000</v>
      </c>
    </row>
    <row r="22" customFormat="false" ht="15" hidden="false" customHeight="false" outlineLevel="0" collapsed="false">
      <c r="B22" s="6" t="s">
        <v>33</v>
      </c>
      <c r="D22" s="7" t="n">
        <f aca="false">SUM(D23:D27)</f>
        <v>52500</v>
      </c>
      <c r="E22" s="7" t="n">
        <f aca="false">SUM(E23:E27)</f>
        <v>44500</v>
      </c>
      <c r="F22" s="7" t="n">
        <f aca="false">SUM(F23:F27)</f>
        <v>47500</v>
      </c>
      <c r="G22" s="7" t="n">
        <f aca="false">SUM(G23:G27)</f>
        <v>55000</v>
      </c>
      <c r="H22" s="7" t="n">
        <f aca="false">SUM(H23:H27)</f>
        <v>59000</v>
      </c>
      <c r="I22" s="8"/>
      <c r="J22" s="6"/>
      <c r="K22" s="9"/>
      <c r="S22" s="12" t="s">
        <v>34</v>
      </c>
      <c r="U22" s="14" t="n">
        <f aca="false">M32-L32</f>
        <v>0</v>
      </c>
      <c r="V22" s="14" t="n">
        <f aca="false">N32-M32</f>
        <v>0</v>
      </c>
      <c r="W22" s="14" t="n">
        <f aca="false">O32-N32</f>
        <v>0</v>
      </c>
      <c r="X22" s="14" t="n">
        <f aca="false">P32-O32</f>
        <v>0</v>
      </c>
      <c r="Y22" s="14" t="n">
        <f aca="false">Q32-P32</f>
        <v>0</v>
      </c>
    </row>
    <row r="23" customFormat="false" ht="15" hidden="false" customHeight="false" outlineLevel="0" collapsed="false">
      <c r="B23" s="12" t="s">
        <v>35</v>
      </c>
      <c r="D23" s="23" t="n">
        <v>20000</v>
      </c>
      <c r="E23" s="23" t="n">
        <v>13000</v>
      </c>
      <c r="F23" s="23" t="n">
        <v>17500</v>
      </c>
      <c r="G23" s="23" t="n">
        <v>15000</v>
      </c>
      <c r="H23" s="23" t="n">
        <v>16000</v>
      </c>
      <c r="I23" s="8"/>
      <c r="J23" s="6" t="s">
        <v>36</v>
      </c>
      <c r="K23" s="9"/>
      <c r="M23" s="7" t="n">
        <f aca="false">M24+M29</f>
        <v>195000</v>
      </c>
      <c r="N23" s="7" t="n">
        <f aca="false">N24+N29</f>
        <v>195000</v>
      </c>
      <c r="O23" s="7" t="n">
        <f aca="false">O24+O29</f>
        <v>195000</v>
      </c>
      <c r="P23" s="7" t="n">
        <f aca="false">P24+P29</f>
        <v>195000</v>
      </c>
      <c r="Q23" s="7" t="n">
        <f aca="false">Q24+Q29</f>
        <v>197000</v>
      </c>
      <c r="S23" s="9"/>
    </row>
    <row r="24" customFormat="false" ht="15" hidden="false" customHeight="false" outlineLevel="0" collapsed="false">
      <c r="B24" s="12" t="s">
        <v>37</v>
      </c>
      <c r="D24" s="23" t="n">
        <v>7000</v>
      </c>
      <c r="E24" s="23" t="n">
        <v>10500</v>
      </c>
      <c r="F24" s="23" t="n">
        <v>5000</v>
      </c>
      <c r="G24" s="23" t="n">
        <v>10000</v>
      </c>
      <c r="H24" s="23" t="n">
        <v>11000</v>
      </c>
      <c r="I24" s="8"/>
      <c r="J24" s="6"/>
      <c r="K24" s="6" t="s">
        <v>38</v>
      </c>
      <c r="M24" s="15" t="n">
        <f aca="false">SUM(M25:M28)</f>
        <v>65000</v>
      </c>
      <c r="N24" s="15" t="n">
        <f aca="false">SUM(N25:N28)</f>
        <v>65000</v>
      </c>
      <c r="O24" s="15" t="n">
        <f aca="false">SUM(O25:O28)</f>
        <v>65000</v>
      </c>
      <c r="P24" s="15" t="n">
        <f aca="false">SUM(P25:P28)</f>
        <v>65000</v>
      </c>
      <c r="Q24" s="15" t="n">
        <f aca="false">SUM(Q25:Q28)</f>
        <v>67000</v>
      </c>
      <c r="S24" s="6" t="s">
        <v>39</v>
      </c>
      <c r="U24" s="11" t="n">
        <f aca="false">SUM(U25:U28)</f>
        <v>-120000</v>
      </c>
      <c r="V24" s="11" t="n">
        <f aca="false">SUM(V25:V28)</f>
        <v>0</v>
      </c>
      <c r="W24" s="11" t="n">
        <f aca="false">SUM(W25:W28)</f>
        <v>-5000</v>
      </c>
      <c r="X24" s="11" t="n">
        <f aca="false">SUM(X25:X28)</f>
        <v>0</v>
      </c>
      <c r="Y24" s="11" t="n">
        <f aca="false">SUM(Y25:Y28)</f>
        <v>-6000</v>
      </c>
    </row>
    <row r="25" customFormat="false" ht="15" hidden="false" customHeight="false" outlineLevel="0" collapsed="false">
      <c r="B25" s="12" t="s">
        <v>40</v>
      </c>
      <c r="D25" s="23" t="n">
        <v>10500</v>
      </c>
      <c r="E25" s="23" t="n">
        <v>11000</v>
      </c>
      <c r="F25" s="23" t="n">
        <v>10000</v>
      </c>
      <c r="G25" s="23" t="n">
        <v>12000</v>
      </c>
      <c r="H25" s="23" t="n">
        <v>12500</v>
      </c>
      <c r="I25" s="8"/>
      <c r="J25" s="6"/>
      <c r="K25" s="12" t="s">
        <v>27</v>
      </c>
      <c r="M25" s="13" t="n">
        <v>24000</v>
      </c>
      <c r="N25" s="13" t="n">
        <v>24000</v>
      </c>
      <c r="O25" s="13" t="n">
        <v>24000</v>
      </c>
      <c r="P25" s="13" t="n">
        <v>24000</v>
      </c>
      <c r="Q25" s="13" t="n">
        <v>24000</v>
      </c>
      <c r="S25" s="12" t="s">
        <v>22</v>
      </c>
      <c r="U25" s="14" t="n">
        <f aca="false">L16-M16</f>
        <v>-35000</v>
      </c>
      <c r="V25" s="14" t="n">
        <f aca="false">M16-N16</f>
        <v>0</v>
      </c>
      <c r="W25" s="14" t="n">
        <f aca="false">N16-O16</f>
        <v>-5000</v>
      </c>
      <c r="X25" s="14" t="n">
        <f aca="false">O16-P16</f>
        <v>0</v>
      </c>
      <c r="Y25" s="14" t="n">
        <f aca="false">P16-Q16</f>
        <v>-6000</v>
      </c>
    </row>
    <row r="26" customFormat="false" ht="15" hidden="false" customHeight="false" outlineLevel="0" collapsed="false">
      <c r="B26" s="12" t="s">
        <v>41</v>
      </c>
      <c r="D26" s="23" t="n">
        <v>15000</v>
      </c>
      <c r="E26" s="23" t="n">
        <v>10000</v>
      </c>
      <c r="F26" s="23" t="n">
        <v>15000</v>
      </c>
      <c r="G26" s="23" t="n">
        <v>18000</v>
      </c>
      <c r="H26" s="23" t="n">
        <v>17000</v>
      </c>
      <c r="I26" s="8"/>
      <c r="J26" s="6"/>
      <c r="K26" s="12" t="s">
        <v>30</v>
      </c>
      <c r="M26" s="13" t="n">
        <v>7000</v>
      </c>
      <c r="N26" s="13" t="n">
        <v>7000</v>
      </c>
      <c r="O26" s="13" t="n">
        <v>7000</v>
      </c>
      <c r="P26" s="13" t="n">
        <v>7000</v>
      </c>
      <c r="Q26" s="13" t="n">
        <v>7000</v>
      </c>
      <c r="S26" s="12" t="s">
        <v>23</v>
      </c>
      <c r="U26" s="14" t="n">
        <f aca="false">L17-M17</f>
        <v>-25000</v>
      </c>
      <c r="V26" s="14" t="n">
        <f aca="false">M17-N17</f>
        <v>0</v>
      </c>
      <c r="W26" s="14" t="n">
        <f aca="false">N17-O17</f>
        <v>0</v>
      </c>
      <c r="X26" s="14" t="n">
        <f aca="false">O17-P17</f>
        <v>0</v>
      </c>
      <c r="Y26" s="14" t="n">
        <f aca="false">P17-Q17</f>
        <v>0</v>
      </c>
    </row>
    <row r="27" customFormat="false" ht="15" hidden="false" customHeight="false" outlineLevel="0" collapsed="false">
      <c r="B27" s="12" t="s">
        <v>42</v>
      </c>
      <c r="D27" s="23"/>
      <c r="E27" s="23"/>
      <c r="F27" s="23"/>
      <c r="G27" s="23"/>
      <c r="H27" s="23" t="n">
        <v>2500</v>
      </c>
      <c r="I27" s="8"/>
      <c r="J27" s="6"/>
      <c r="K27" s="12"/>
      <c r="M27" s="13"/>
      <c r="N27" s="13"/>
      <c r="O27" s="13"/>
      <c r="P27" s="13"/>
      <c r="Q27" s="13"/>
      <c r="S27" s="12"/>
      <c r="U27" s="14"/>
      <c r="V27" s="14"/>
      <c r="W27" s="14"/>
      <c r="X27" s="14"/>
      <c r="Y27" s="14"/>
    </row>
    <row r="28" customFormat="false" ht="15" hidden="false" customHeight="false" outlineLevel="0" collapsed="false">
      <c r="B28" s="9"/>
      <c r="I28" s="8"/>
      <c r="J28" s="6"/>
      <c r="K28" s="12" t="s">
        <v>32</v>
      </c>
      <c r="M28" s="13" t="n">
        <v>34000</v>
      </c>
      <c r="N28" s="13" t="n">
        <v>34000</v>
      </c>
      <c r="O28" s="13" t="n">
        <v>34000</v>
      </c>
      <c r="P28" s="13" t="n">
        <v>34000</v>
      </c>
      <c r="Q28" s="13" t="n">
        <v>36000</v>
      </c>
      <c r="S28" s="12" t="s">
        <v>29</v>
      </c>
      <c r="U28" s="14" t="n">
        <f aca="false">L20-M20</f>
        <v>-60000</v>
      </c>
      <c r="V28" s="14" t="n">
        <f aca="false">M20-N20</f>
        <v>0</v>
      </c>
      <c r="W28" s="14" t="n">
        <f aca="false">N20-O20</f>
        <v>0</v>
      </c>
      <c r="X28" s="14" t="n">
        <f aca="false">O20-P20</f>
        <v>0</v>
      </c>
      <c r="Y28" s="14" t="n">
        <f aca="false">P20-Q20</f>
        <v>0</v>
      </c>
    </row>
    <row r="29" customFormat="false" ht="15" hidden="false" customHeight="false" outlineLevel="0" collapsed="false">
      <c r="B29" s="6" t="s">
        <v>43</v>
      </c>
      <c r="D29" s="7" t="n">
        <f aca="false">D19-D22</f>
        <v>22500</v>
      </c>
      <c r="E29" s="7" t="n">
        <f aca="false">E19-E22</f>
        <v>30500</v>
      </c>
      <c r="F29" s="7" t="n">
        <f aca="false">F19-F22</f>
        <v>33000</v>
      </c>
      <c r="G29" s="7" t="n">
        <f aca="false">G19-G22</f>
        <v>18000</v>
      </c>
      <c r="H29" s="7" t="n">
        <f aca="false">H19-H22</f>
        <v>32200</v>
      </c>
      <c r="I29" s="8"/>
      <c r="J29" s="6"/>
      <c r="K29" s="19" t="s">
        <v>44</v>
      </c>
      <c r="M29" s="15" t="n">
        <f aca="false">SUM(M30:M32)</f>
        <v>130000</v>
      </c>
      <c r="N29" s="15" t="n">
        <f aca="false">SUM(N30:N32)</f>
        <v>130000</v>
      </c>
      <c r="O29" s="15" t="n">
        <f aca="false">SUM(O30:O32)</f>
        <v>130000</v>
      </c>
      <c r="P29" s="15" t="n">
        <f aca="false">SUM(P30:P32)</f>
        <v>130000</v>
      </c>
      <c r="Q29" s="15" t="n">
        <f aca="false">SUM(Q30:Q32)</f>
        <v>130000</v>
      </c>
      <c r="S29" s="9"/>
      <c r="U29" s="14"/>
      <c r="V29" s="14"/>
      <c r="W29" s="14"/>
      <c r="X29" s="14"/>
      <c r="Y29" s="14"/>
    </row>
    <row r="30" customFormat="false" ht="15" hidden="false" customHeight="false" outlineLevel="0" collapsed="false">
      <c r="B30" s="9"/>
      <c r="I30" s="8"/>
      <c r="J30" s="6"/>
      <c r="K30" s="12" t="s">
        <v>45</v>
      </c>
      <c r="M30" s="13" t="n">
        <v>105000</v>
      </c>
      <c r="N30" s="13" t="n">
        <v>105000</v>
      </c>
      <c r="O30" s="13" t="n">
        <v>105000</v>
      </c>
      <c r="P30" s="13" t="n">
        <v>105000</v>
      </c>
      <c r="Q30" s="13" t="n">
        <v>105000</v>
      </c>
      <c r="S30" s="6" t="s">
        <v>46</v>
      </c>
      <c r="U30" s="11" t="n">
        <f aca="false">SUM(U31:U34)</f>
        <v>195000</v>
      </c>
      <c r="V30" s="11" t="n">
        <f aca="false">SUM(V31:V34)</f>
        <v>0</v>
      </c>
      <c r="W30" s="11" t="n">
        <f aca="false">SUM(W31:W34)</f>
        <v>0</v>
      </c>
      <c r="X30" s="11" t="n">
        <f aca="false">SUM(X31:X34)</f>
        <v>0</v>
      </c>
      <c r="Y30" s="11" t="n">
        <f aca="false">SUM(Y31:Y34)</f>
        <v>0</v>
      </c>
    </row>
    <row r="31" customFormat="false" ht="15" hidden="false" customHeight="false" outlineLevel="0" collapsed="false">
      <c r="B31" s="6" t="s">
        <v>47</v>
      </c>
      <c r="D31" s="7" t="n">
        <f aca="false">D32</f>
        <v>10000</v>
      </c>
      <c r="E31" s="7" t="n">
        <f aca="false">E32</f>
        <v>10000</v>
      </c>
      <c r="F31" s="7" t="n">
        <f aca="false">F32</f>
        <v>10500</v>
      </c>
      <c r="G31" s="7" t="n">
        <f aca="false">G32</f>
        <v>14000</v>
      </c>
      <c r="H31" s="7" t="n">
        <f aca="false">H32</f>
        <v>13000</v>
      </c>
      <c r="I31" s="8"/>
      <c r="J31" s="6"/>
      <c r="K31" s="12" t="s">
        <v>48</v>
      </c>
      <c r="M31" s="13" t="n">
        <v>25000</v>
      </c>
      <c r="N31" s="13" t="n">
        <v>25000</v>
      </c>
      <c r="O31" s="13" t="n">
        <v>25000</v>
      </c>
      <c r="P31" s="13" t="n">
        <v>25000</v>
      </c>
      <c r="Q31" s="13" t="n">
        <v>25000</v>
      </c>
      <c r="S31" s="12" t="s">
        <v>45</v>
      </c>
      <c r="U31" s="14" t="n">
        <f aca="false">M30-L30</f>
        <v>105000</v>
      </c>
      <c r="V31" s="14" t="n">
        <f aca="false">N30-M30</f>
        <v>0</v>
      </c>
      <c r="W31" s="14" t="n">
        <f aca="false">O30-N30</f>
        <v>0</v>
      </c>
      <c r="X31" s="14" t="n">
        <f aca="false">P30-O30</f>
        <v>0</v>
      </c>
      <c r="Y31" s="14" t="n">
        <f aca="false">Q30-P30</f>
        <v>0</v>
      </c>
    </row>
    <row r="32" customFormat="false" ht="15" hidden="false" customHeight="false" outlineLevel="0" collapsed="false">
      <c r="B32" s="12" t="s">
        <v>49</v>
      </c>
      <c r="D32" s="23" t="n">
        <v>10000</v>
      </c>
      <c r="E32" s="23" t="n">
        <v>10000</v>
      </c>
      <c r="F32" s="23" t="n">
        <v>10500</v>
      </c>
      <c r="G32" s="23" t="n">
        <v>14000</v>
      </c>
      <c r="H32" s="23" t="n">
        <v>13000</v>
      </c>
      <c r="I32" s="8"/>
      <c r="J32" s="6"/>
      <c r="K32" s="12" t="s">
        <v>34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S32" s="12" t="s">
        <v>48</v>
      </c>
      <c r="U32" s="14" t="n">
        <f aca="false">M31-L31</f>
        <v>25000</v>
      </c>
      <c r="V32" s="14" t="n">
        <f aca="false">N31-M31</f>
        <v>0</v>
      </c>
      <c r="W32" s="14" t="n">
        <f aca="false">O31-N31</f>
        <v>0</v>
      </c>
      <c r="X32" s="14" t="n">
        <f aca="false">P31-O31</f>
        <v>0</v>
      </c>
      <c r="Y32" s="14" t="n">
        <f aca="false">Q31-P31</f>
        <v>0</v>
      </c>
    </row>
    <row r="33" customFormat="false" ht="17.25" hidden="false" customHeight="true" outlineLevel="0" collapsed="false">
      <c r="B33" s="24" t="s">
        <v>50</v>
      </c>
      <c r="C33" s="25"/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8"/>
      <c r="J33" s="6"/>
      <c r="K33" s="9"/>
      <c r="S33" s="9" t="s">
        <v>51</v>
      </c>
      <c r="U33" s="14" t="n">
        <f aca="false">M35-L35</f>
        <v>10000</v>
      </c>
      <c r="V33" s="14" t="n">
        <f aca="false">N35-M35</f>
        <v>0</v>
      </c>
      <c r="W33" s="14" t="n">
        <f aca="false">O35-N35</f>
        <v>0</v>
      </c>
      <c r="X33" s="14" t="n">
        <f aca="false">P35-O35</f>
        <v>0</v>
      </c>
      <c r="Y33" s="14" t="n">
        <f aca="false">Q35-P35</f>
        <v>0</v>
      </c>
    </row>
    <row r="34" customFormat="false" ht="15" hidden="false" customHeight="false" outlineLevel="0" collapsed="false">
      <c r="B34" s="9"/>
      <c r="I34" s="8"/>
      <c r="J34" s="6" t="s">
        <v>52</v>
      </c>
      <c r="K34" s="9"/>
      <c r="M34" s="7" t="n">
        <f aca="false">SUM(M35:M37)</f>
        <v>85000</v>
      </c>
      <c r="N34" s="7" t="n">
        <f aca="false">SUM(N35:N37)</f>
        <v>113000</v>
      </c>
      <c r="O34" s="7" t="n">
        <f aca="false">SUM(O35:O37)</f>
        <v>144000</v>
      </c>
      <c r="P34" s="7" t="n">
        <f aca="false">SUM(P35:P37)</f>
        <v>163500</v>
      </c>
      <c r="Q34" s="7" t="n">
        <f aca="false">SUM(Q35:Q37)</f>
        <v>196200</v>
      </c>
      <c r="S34" s="9" t="s">
        <v>53</v>
      </c>
      <c r="U34" s="14" t="n">
        <f aca="false">M36-L36</f>
        <v>55000</v>
      </c>
      <c r="V34" s="14" t="n">
        <f aca="false">N36-M36</f>
        <v>0</v>
      </c>
      <c r="W34" s="14" t="n">
        <f aca="false">O36-N36</f>
        <v>0</v>
      </c>
      <c r="X34" s="14" t="n">
        <f aca="false">P36-O36</f>
        <v>0</v>
      </c>
      <c r="Y34" s="14" t="n">
        <f aca="false">Q36-P36</f>
        <v>0</v>
      </c>
    </row>
    <row r="35" customFormat="false" ht="15" hidden="false" customHeight="false" outlineLevel="0" collapsed="false">
      <c r="B35" s="6" t="s">
        <v>54</v>
      </c>
      <c r="D35" s="7" t="n">
        <f aca="false">SUM(D36:D38)</f>
        <v>12500</v>
      </c>
      <c r="E35" s="7" t="n">
        <f aca="false">SUM(E36:E38)</f>
        <v>12500</v>
      </c>
      <c r="F35" s="7" t="n">
        <f aca="false">SUM(F36:F38)</f>
        <v>12500</v>
      </c>
      <c r="G35" s="7" t="n">
        <f aca="false">SUM(G36:G38)</f>
        <v>12500</v>
      </c>
      <c r="H35" s="7" t="n">
        <f aca="false">SUM(H36:H38)</f>
        <v>12500</v>
      </c>
      <c r="I35" s="8"/>
      <c r="J35" s="6"/>
      <c r="K35" s="9" t="s">
        <v>51</v>
      </c>
      <c r="M35" s="13" t="n">
        <v>10000</v>
      </c>
      <c r="N35" s="13" t="n">
        <v>10000</v>
      </c>
      <c r="O35" s="13" t="n">
        <v>10000</v>
      </c>
      <c r="P35" s="13" t="n">
        <v>10000</v>
      </c>
      <c r="Q35" s="13" t="n">
        <v>10000</v>
      </c>
      <c r="S35" s="12"/>
      <c r="U35" s="18"/>
      <c r="V35" s="18"/>
      <c r="W35" s="18"/>
      <c r="X35" s="18"/>
      <c r="Y35" s="18"/>
    </row>
    <row r="36" customFormat="false" ht="15" hidden="false" customHeight="false" outlineLevel="0" collapsed="false">
      <c r="B36" s="12" t="s">
        <v>55</v>
      </c>
      <c r="D36" s="23" t="n">
        <v>6000</v>
      </c>
      <c r="E36" s="23" t="n">
        <v>6000</v>
      </c>
      <c r="F36" s="23" t="n">
        <v>6000</v>
      </c>
      <c r="G36" s="23" t="n">
        <v>6000</v>
      </c>
      <c r="H36" s="23" t="n">
        <v>6000</v>
      </c>
      <c r="I36" s="8"/>
      <c r="J36" s="6"/>
      <c r="K36" s="9" t="s">
        <v>53</v>
      </c>
      <c r="M36" s="13" t="n">
        <v>55000</v>
      </c>
      <c r="N36" s="13" t="n">
        <v>55000</v>
      </c>
      <c r="O36" s="13" t="n">
        <v>55000</v>
      </c>
      <c r="P36" s="13" t="n">
        <v>55000</v>
      </c>
      <c r="Q36" s="13" t="n">
        <v>55000</v>
      </c>
      <c r="S36" s="6" t="s">
        <v>56</v>
      </c>
      <c r="U36" s="11" t="n">
        <f aca="false">U9+U24+U30</f>
        <v>136500</v>
      </c>
      <c r="V36" s="11" t="n">
        <f aca="false">V9+V24+V30</f>
        <v>34500</v>
      </c>
      <c r="W36" s="11" t="n">
        <f aca="false">W9+W24+W30</f>
        <v>20500</v>
      </c>
      <c r="X36" s="11" t="n">
        <f aca="false">X9+X24+X30</f>
        <v>36500</v>
      </c>
      <c r="Y36" s="11" t="n">
        <f aca="false">Y9+Y24+Y30</f>
        <v>35200</v>
      </c>
    </row>
    <row r="37" customFormat="false" ht="15" hidden="false" customHeight="false" outlineLevel="0" collapsed="false">
      <c r="B37" s="12" t="s">
        <v>57</v>
      </c>
      <c r="D37" s="23" t="n">
        <v>4000</v>
      </c>
      <c r="E37" s="23" t="n">
        <v>4000</v>
      </c>
      <c r="F37" s="23" t="n">
        <v>4000</v>
      </c>
      <c r="G37" s="23" t="n">
        <v>4000</v>
      </c>
      <c r="H37" s="23" t="n">
        <v>4000</v>
      </c>
      <c r="I37" s="8"/>
      <c r="J37" s="6"/>
      <c r="K37" s="9" t="s">
        <v>58</v>
      </c>
      <c r="M37" s="14" t="n">
        <f aca="false">L37+D42</f>
        <v>20000</v>
      </c>
      <c r="N37" s="14" t="n">
        <f aca="false">M37+E42</f>
        <v>48000</v>
      </c>
      <c r="O37" s="14" t="n">
        <f aca="false">N37+F42</f>
        <v>79000</v>
      </c>
      <c r="P37" s="14" t="n">
        <f aca="false">O37+G42</f>
        <v>98500</v>
      </c>
      <c r="Q37" s="14" t="n">
        <f aca="false">P37+H42</f>
        <v>131200</v>
      </c>
      <c r="S37" s="6"/>
    </row>
    <row r="38" customFormat="false" ht="17.25" hidden="false" customHeight="true" outlineLevel="0" collapsed="false">
      <c r="B38" s="12" t="s">
        <v>59</v>
      </c>
      <c r="D38" s="23" t="n">
        <v>2500</v>
      </c>
      <c r="E38" s="23" t="n">
        <v>2500</v>
      </c>
      <c r="F38" s="23" t="n">
        <v>2500</v>
      </c>
      <c r="G38" s="23" t="n">
        <v>2500</v>
      </c>
      <c r="H38" s="23" t="n">
        <v>2500</v>
      </c>
      <c r="I38" s="8"/>
      <c r="J38" s="6"/>
      <c r="K38" s="9"/>
      <c r="S38" s="9" t="s">
        <v>60</v>
      </c>
      <c r="U38" s="14" t="n">
        <f aca="false">T38</f>
        <v>0</v>
      </c>
      <c r="V38" s="14" t="n">
        <f aca="false">U39</f>
        <v>136500</v>
      </c>
      <c r="W38" s="14" t="n">
        <f aca="false">V39</f>
        <v>171000</v>
      </c>
      <c r="X38" s="14" t="n">
        <f aca="false">W39</f>
        <v>191500</v>
      </c>
      <c r="Y38" s="14" t="n">
        <f aca="false">X39</f>
        <v>228000</v>
      </c>
    </row>
    <row r="39" customFormat="false" ht="15" hidden="false" customHeight="false" outlineLevel="0" collapsed="false">
      <c r="B39" s="9"/>
      <c r="I39" s="8"/>
      <c r="J39" s="6"/>
      <c r="K39" s="26"/>
      <c r="L39" s="27"/>
      <c r="M39" s="28"/>
      <c r="N39" s="28"/>
      <c r="O39" s="28"/>
      <c r="P39" s="28"/>
      <c r="Q39" s="28"/>
      <c r="S39" s="6" t="s">
        <v>61</v>
      </c>
      <c r="U39" s="29" t="n">
        <f aca="false">U36+U38</f>
        <v>136500</v>
      </c>
      <c r="V39" s="29" t="n">
        <f aca="false">V36+V38</f>
        <v>171000</v>
      </c>
      <c r="W39" s="29" t="n">
        <f aca="false">W36+W38</f>
        <v>191500</v>
      </c>
      <c r="X39" s="29" t="n">
        <f aca="false">X36+X38</f>
        <v>228000</v>
      </c>
      <c r="Y39" s="29" t="n">
        <f aca="false">Y36+Y38</f>
        <v>263200</v>
      </c>
    </row>
    <row r="40" customFormat="false" ht="17.25" hidden="false" customHeight="true" outlineLevel="0" collapsed="false">
      <c r="B40" s="30" t="s">
        <v>62</v>
      </c>
      <c r="D40" s="7" t="n">
        <f aca="false">D31-D35</f>
        <v>-2500</v>
      </c>
      <c r="E40" s="7" t="n">
        <f aca="false">E31-E35</f>
        <v>-2500</v>
      </c>
      <c r="F40" s="7" t="n">
        <f aca="false">F31-F35</f>
        <v>-2000</v>
      </c>
      <c r="G40" s="7" t="n">
        <f aca="false">G31-G35</f>
        <v>1500</v>
      </c>
      <c r="H40" s="7" t="n">
        <f aca="false">H31-H35</f>
        <v>500</v>
      </c>
      <c r="J40" s="9"/>
      <c r="K40" s="9"/>
      <c r="S40" s="9"/>
    </row>
    <row r="41" customFormat="false" ht="15" hidden="false" customHeight="false" outlineLevel="0" collapsed="false">
      <c r="B41" s="9"/>
      <c r="J41" s="9"/>
      <c r="K41" s="9"/>
      <c r="S41" s="26"/>
      <c r="U41" s="28"/>
      <c r="V41" s="28"/>
      <c r="W41" s="28"/>
      <c r="X41" s="28"/>
    </row>
    <row r="42" customFormat="false" ht="15" hidden="false" customHeight="false" outlineLevel="0" collapsed="false">
      <c r="B42" s="6" t="s">
        <v>10</v>
      </c>
      <c r="D42" s="31" t="n">
        <f aca="false">D29+D40</f>
        <v>20000</v>
      </c>
      <c r="E42" s="31" t="n">
        <f aca="false">E29+E40</f>
        <v>28000</v>
      </c>
      <c r="F42" s="31" t="n">
        <f aca="false">F29+F40</f>
        <v>31000</v>
      </c>
      <c r="G42" s="31" t="n">
        <f aca="false">G29+G40</f>
        <v>19500</v>
      </c>
      <c r="H42" s="31" t="n">
        <f aca="false">H29+H40</f>
        <v>32700</v>
      </c>
      <c r="J42" s="6"/>
      <c r="K42" s="9"/>
      <c r="S4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2025-07-03T13:58:38Z</dcterms:created>
  <dc:creator>oluwaseun Adeyemi</dc:creator>
  <dc:description/>
  <dc:language>en-US</dc:language>
  <cp:lastModifiedBy/>
  <dcterms:modified xsi:type="dcterms:W3CDTF">2026-10-14T14:02:30Z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