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comments6.xml" ContentType="application/vnd.openxmlformats-officedocument.spreadsheetml.comments+xml"/>
  <Override PartName="/xl/theme/theme1.xml" ContentType="application/vnd.openxmlformats-officedocument.theme+xml"/>
  <Override PartName="/xl/comments4.xml" ContentType="application/vnd.openxmlformats-officedocument.spreadsheetml.comments+xml"/>
  <Override PartName="/xl/comments8.xml" ContentType="application/vnd.openxmlformats-officedocument.spreadsheetml.comments+xml"/>
  <Override PartName="/xl/comments3.xml" ContentType="application/vnd.openxmlformats-officedocument.spreadsheetml.comments+xml"/>
  <Override PartName="/xl/drawings/vmlDrawing3.vml" ContentType="application/vnd.openxmlformats-officedocument.vmlDrawing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5.vml" ContentType="application/vnd.openxmlformats-officedocument.vmlDrawing"/>
  <Override PartName="/xl/drawings/vmlDrawing4.vml" ContentType="application/vnd.openxmlformats-officedocument.vmlDrawing"/>
  <Override PartName="/xl/drawings/vmlDrawing6.vml" ContentType="application/vnd.openxmlformats-officedocument.vmlDrawing"/>
  <Override PartName="/xl/drawings/drawing2.xml" ContentType="application/vnd.openxmlformats-officedocument.drawing+xml"/>
  <Override PartName="/xl/charts/style1.xml" ContentType="application/vnd.ms-office.chartstyle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chart7.xml" ContentType="application/vnd.openxmlformats-officedocument.drawingml.chart+xml"/>
  <Override PartName="/xl/charts/colors3.xml" ContentType="application/vnd.ms-office.chartcolorstyle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hart3.xml" ContentType="application/vnd.openxmlformats-officedocument.drawingml.chart+xml"/>
  <Override PartName="/xl/charts/colors4.xml" ContentType="application/vnd.ms-office.chartcolorstyle+xml"/>
  <Override PartName="/xl/charts/style3.xml" ContentType="application/vnd.ms-office.chartstyle+xml"/>
  <Override PartName="/xl/charts/style10.xml" ContentType="application/vnd.ms-office.chart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chart11.xml" ContentType="application/vnd.openxmlformats-officedocument.drawingml.chart+xml"/>
  <Override PartName="/xl/charts/style7.xml" ContentType="application/vnd.ms-office.chartstyle+xml"/>
  <Override PartName="/xl/charts/chart6.xml" ContentType="application/vnd.openxmlformats-officedocument.drawingml.chart+xml"/>
  <Override PartName="/xl/charts/style8.xml" ContentType="application/vnd.ms-office.chartstyle+xml"/>
  <Override PartName="/xl/charts/chart9.xml" ContentType="application/vnd.openxmlformats-officedocument.drawingml.chart+xml"/>
  <Override PartName="/xl/charts/colors8.xml" ContentType="application/vnd.ms-office.chartcolorstyle+xml"/>
  <Override PartName="/xl/charts/colors11.xml" ContentType="application/vnd.ms-office.chartcolorstyle+xml"/>
  <Override PartName="/xl/charts/style4.xml" ContentType="application/vnd.ms-office.chartstyle+xml"/>
  <Override PartName="/xl/charts/chart10.xml" ContentType="application/vnd.openxmlformats-officedocument.drawingml.chart+xml"/>
  <Override PartName="/xl/charts/colors9.xml" ContentType="application/vnd.ms-office.chartcolor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style11.xml" ContentType="application/vnd.ms-office.chartstyle+xml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ashboard" sheetId="2" state="visible" r:id="rId4"/>
    <sheet name="Assumptions" sheetId="3" state="visible" r:id="rId5"/>
    <sheet name="IS" sheetId="4" state="visible" r:id="rId6"/>
    <sheet name="BS" sheetId="5" state="visible" r:id="rId7"/>
    <sheet name="CFS" sheetId="6" state="visible" r:id="rId8"/>
    <sheet name="Ratios" sheetId="7" state="visible" r:id="rId9"/>
    <sheet name="DCF" sheetId="8" state="visible" r:id="rId10"/>
    <sheet name="Validation" sheetId="9" state="visible" r:id="rId11"/>
    <sheet name="Pivots" sheetId="10" state="visible" r:id="rId12"/>
  </sheets>
  <definedNames>
    <definedName function="false" hidden="false" name="Scenario" vbProcedure="false">Assumptions!$B$62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ADMIN</author>
  </authors>
  <commentList>
    <comment ref="B1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Mirrors the scenario toggle on Assumptions!B62. Change either cell — they stay in sync.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ADMIN</author>
    <author>Unknown Author</author>
  </authors>
  <commentList>
    <comment ref="B58" authorId="1">
      <text>
        <r>
          <rPr>
            <sz val="10"/>
            <rFont val="Arial"/>
            <family val="2"/>
          </rPr>
          <t xml:space="preserve">From Apple FY2025 10-K. In thousands: 15,004,697 → millions: 15,004.7</t>
        </r>
      </text>
    </comment>
    <comment ref="B6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Calculated weighted-average Products growth for Bear case. Derived from segment growth rows 66-69 weighted by FY25 segment revenues.</t>
        </r>
      </text>
    </comment>
    <comment ref="B66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Bear case: iPhone flat. Reflects saturated developed-market demand.</t>
        </r>
      </text>
    </comment>
    <comment ref="B81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Bear case: 85% of FCF returned. Conserve cash.</t>
        </r>
      </text>
    </comment>
    <comment ref="B82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Bear: Higher dividend share (more stable, less buyback activity).</t>
        </r>
      </text>
    </comment>
    <comment ref="B8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Bear case: net interest expense or unfavorable FX.</t>
        </r>
      </text>
    </comment>
    <comment ref="B8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Bear case: higher D&amp;A as % of revenue (lower revenue base).</t>
        </r>
      </text>
    </comment>
    <comment ref="C66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Base case: iPhone 3% growth. AI-refresh upgrade cycle.</t>
        </r>
      </text>
    </comment>
    <comment ref="C81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Base case: 95% of FCF returned via buybacks + dividends.</t>
        </r>
      </text>
    </comment>
    <comment ref="C82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Base: ~15% dividends / 85% buybacks (per recent history).</t>
        </r>
      </text>
    </comment>
    <comment ref="C8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Base case: neutral. Apple's recent run -$565M to +$269M.</t>
        </r>
      </text>
    </comment>
    <comment ref="C8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Base case: ~2.8% of revenue. Apple's historical ratio.</t>
        </r>
      </text>
    </comment>
    <comment ref="D66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Bull case: iPhone 6%. Successful AI features drive accelerated upgrade cycle + India/EM share gains.</t>
        </r>
      </text>
    </comment>
    <comment ref="D81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Bull case: 105% of FCF returned (drawing down cash reserves modestly).</t>
        </r>
      </text>
    </comment>
    <comment ref="D82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Bull: Higher buyback intensity at strong share price.</t>
        </r>
      </text>
    </comment>
    <comment ref="D8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Bull case: net interest income on cash + favorable FX.</t>
        </r>
      </text>
    </comment>
    <comment ref="D8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Bull case: lower as % of revenue (revenue growing faster than asset base).</t>
        </r>
      </text>
    </comment>
    <comment ref="G8" authorId="1">
      <text>
        <r>
          <rPr>
            <sz val="10"/>
            <rFont val="Arial"/>
            <family val="2"/>
          </rPr>
          <t xml:space="preserve">Calculated weighted-average Products growth. Derived from segment growth rates 9-12 weighted by prior-year segment revenues.</t>
        </r>
      </text>
    </comment>
    <comment ref="G13" authorId="1">
      <text>
        <r>
          <rPr>
            <sz val="10"/>
            <rFont val="Arial"/>
            <family val="2"/>
          </rPr>
          <t xml:space="preserve">Services revenue growth. Bear 6% / Base 10.5% / Bull 14%.</t>
        </r>
      </text>
    </comment>
    <comment ref="G16" authorId="1">
      <text>
        <r>
          <rPr>
            <sz val="10"/>
            <rFont val="Arial"/>
            <family val="2"/>
          </rPr>
          <t xml:space="preserve">Products GM: FY21 35.3% → FY25 36.8%. Forecast continued expansion from premium mix and pricing.</t>
        </r>
      </text>
    </comment>
    <comment ref="G25" authorId="1">
      <text>
        <r>
          <rPr>
            <sz val="10"/>
            <rFont val="Arial"/>
            <family val="2"/>
          </rPr>
          <t xml:space="preserve">Normalized 15% effective rate. FY24 actual was 24.1% due to $10.2B EU State Aid (Ireland tax) one-time charge — this is non-recurring.</t>
        </r>
      </text>
    </comment>
    <comment ref="G32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Share-based comp as % of revenue. FY21-25 trended 2.2% → 3.1%. Hold near recent levels.</t>
        </r>
      </text>
    </comment>
    <comment ref="G3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Other current liab as % of revenue. Bundles accrued comp, taxes, other accruals.</t>
        </r>
      </text>
    </comment>
    <comment ref="G3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Deferred revenue as % of Services revenue. Subscription billings tied to services.</t>
        </r>
      </text>
    </comment>
    <comment ref="G3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Vendor non-trade receivables as % of total COGS. Apple's supplier prepayments — moves with production.</t>
        </r>
      </text>
    </comment>
    <comment ref="G38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D&amp;A = scenario % × revenue. Bear 3.2% / Base 2.8% / Bull 2.5%.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ADMIN</author>
    <author>Unknown Author</author>
  </authors>
  <commentList>
    <comment ref="B8" authorId="1">
      <text>
        <r>
          <rPr>
            <sz val="10"/>
            <rFont val="Arial"/>
            <family val="2"/>
          </rPr>
          <t xml:space="preserve">Source: Apple 10-K FY2022 p.29; FY2025 10-K p.29</t>
        </r>
      </text>
    </comment>
    <comment ref="B9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 p.30 (segment data)</t>
        </r>
      </text>
    </comment>
    <comment ref="B4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FY2022, p.29 Consolidated Statements of Operations. Basic EPS as reported.</t>
        </r>
      </text>
    </comment>
    <comment ref="B4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FY2022, p.29. Diluted EPS as reported.</t>
        </r>
      </text>
    </comment>
    <comment ref="B4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FY2022, p.29. Weighted-average diluted shares outstanding (M).</t>
        </r>
      </text>
    </comment>
    <comment ref="B46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FY2022. Dividends declared per share.</t>
        </r>
      </text>
    </comment>
    <comment ref="B66" authorId="0">
      <text>
        <r>
          <rPr>
            <b val="true"/>
            <sz val="9"/>
            <color rgb="FF000000"/>
            <rFont val="Tahoma"/>
            <family val="0"/>
            <charset val="1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 p.21 segment data</t>
        </r>
      </text>
    </comment>
    <comment ref="C4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FY2022, p.29 Consolidated Statements of Operations.</t>
        </r>
      </text>
    </comment>
    <comment ref="C4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FY2022, p.29.</t>
        </r>
      </text>
    </comment>
    <comment ref="C4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FY2022, p.29.</t>
        </r>
      </text>
    </comment>
    <comment ref="C46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FY2022.</t>
        </r>
      </text>
    </comment>
    <comment ref="D4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FY2023, p.29.</t>
        </r>
      </text>
    </comment>
    <comment ref="D4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FY2023, p.29.</t>
        </r>
      </text>
    </comment>
    <comment ref="D4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FY2023, p.29.</t>
        </r>
      </text>
    </comment>
    <comment ref="D46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FY2023.</t>
        </r>
      </text>
    </comment>
    <comment ref="E4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FY2024 Consolidated Statements of Operations.</t>
        </r>
      </text>
    </comment>
    <comment ref="E4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FY2024.</t>
        </r>
      </text>
    </comment>
    <comment ref="E4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FY2024.</t>
        </r>
      </text>
    </comment>
    <comment ref="E46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FY2024.</t>
        </r>
      </text>
    </comment>
    <comment ref="F9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FY2025 p.23</t>
        </r>
      </text>
    </comment>
    <comment ref="F4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FY2025, p.29.</t>
        </r>
      </text>
    </comment>
    <comment ref="F4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FY2025, p.29.</t>
        </r>
      </text>
    </comment>
    <comment ref="F4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FY2025, p.29. Diluted shares = 15,004.7M (rounded down to 15,004 here; full precision in Assumptions!B58).</t>
        </r>
      </text>
    </comment>
    <comment ref="F46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FY2025.</t>
        </r>
      </text>
    </comment>
    <comment ref="F66" authorId="0">
      <text>
        <r>
          <rPr>
            <b val="true"/>
            <sz val="9"/>
            <color rgb="FF000000"/>
            <rFont val="Tahoma"/>
            <family val="0"/>
            <charset val="1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FY2025 p.22 segment data</t>
        </r>
      </text>
    </comment>
    <comment ref="G9" authorId="0">
      <text>
        <r>
          <rPr>
            <b val="true"/>
            <sz val="9"/>
            <color rgb="FF000000"/>
            <rFont val="Tahoma"/>
            <family val="0"/>
            <charset val="1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FY2025 p.23</t>
        </r>
      </text>
    </comment>
    <comment ref="G43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FY2025, p.29.</t>
        </r>
      </text>
    </comment>
    <comment ref="G44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FY2025, p.29.</t>
        </r>
      </text>
    </comment>
    <comment ref="G45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FY2025, p.29. Diluted shares = 15,004.7M (rounded down to 15,004 here; full precision in Assumptions!B58).</t>
        </r>
      </text>
    </comment>
    <comment ref="G46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Source: Apple 10-K FY2025.</t>
        </r>
      </text>
    </comment>
    <comment ref="G66" authorId="0">
      <text>
        <r>
          <rPr>
            <b val="true"/>
            <sz val="9"/>
            <color rgb="FF000000"/>
            <rFont val="Tahoma"/>
            <family val="0"/>
            <charset val="1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FY2025 p.22 segment data</t>
        </r>
      </text>
    </comment>
    <comment ref="H4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Forecast Basic EPS uses diluted share count as a proxy (Apple's basic vs. diluted share gap is &lt; 0.5%).</t>
        </r>
      </text>
    </comment>
    <comment ref="H4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Diluted EPS = Net Income ÷ Diluted Shares (row 44). Row 44 rolls forward with buyback assumption.</t>
        </r>
      </text>
    </comment>
    <comment ref="H45" authorId="0">
      <text>
        <r>
          <rPr>
            <sz val="10"/>
            <rFont val="Arial"/>
            <family val="2"/>
          </rPr>
          <t xml:space="preserve">Diluted shares roll-forward: prior period shares + FY26 net buybacks at average share price. Matches FY27/FY28 pattern.</t>
        </r>
      </text>
    </comment>
    <comment ref="K66" authorId="0">
      <text>
        <r>
          <rPr>
            <b val="true"/>
            <sz val="9"/>
            <color rgb="FF000000"/>
            <rFont val="Tahoma"/>
            <family val="0"/>
            <charset val="1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Americas YoY forecast growth. FY21-25 CAGR ≈ 3.9%. Higher growth on iPhone refresh + Services penetration.</t>
        </r>
      </text>
    </comment>
    <comment ref="K67" authorId="0">
      <text>
        <r>
          <rPr>
            <b val="true"/>
            <sz val="9"/>
            <color rgb="FF000000"/>
            <rFont val="Tahoma"/>
            <family val="0"/>
            <charset val="1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Europe YoY forecast growth. FY21-25 CAGR ≈ 5.6%. India (counted in Europe segment) is fastest-growing region.</t>
        </r>
      </text>
    </comment>
    <comment ref="K68" authorId="0">
      <text>
        <r>
          <rPr>
            <b val="true"/>
            <sz val="9"/>
            <color rgb="FF000000"/>
            <rFont val="Tahoma"/>
            <family val="0"/>
            <charset val="1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Greater China YoY forecast growth. Revenue fell 4% in FY25A due to lower iPhone sales + local competition (Huawei). Modest continued decline.</t>
        </r>
      </text>
    </comment>
    <comment ref="K69" authorId="0">
      <text>
        <r>
          <rPr>
            <b val="true"/>
            <sz val="9"/>
            <color rgb="FF000000"/>
            <rFont val="Tahoma"/>
            <family val="0"/>
            <charset val="1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Japan YoY forecast growth. FY25A jumped 14.6% on iPhone + Services + iPad strength.</t>
        </r>
      </text>
    </comment>
    <comment ref="K70" authorId="0">
      <text>
        <r>
          <rPr>
            <b val="true"/>
            <sz val="9"/>
            <color rgb="FF000000"/>
            <rFont val="Tahoma"/>
            <family val="0"/>
            <charset val="1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Rest of APAC YoY forecast growth. FY25A grew 10% on broad-based product strength.</t>
        </r>
      </text>
    </comment>
    <comment ref="M66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ADMIN:
Americas YoY forecast growth. FY21-25 CAGR ≈ 3.9%. Higher growth on iPhone refresh + Services penetration.</t>
        </r>
      </text>
    </comment>
    <comment ref="M67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ADMIN:
Europe YoY forecast growth. FY21-25 CAGR ≈ 5.6%. India (counted in Europe segment) is fastest-growing region.</t>
        </r>
      </text>
    </comment>
    <comment ref="M68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ADMIN:
Greater China YoY forecast growth. Revenue fell 4% in FY25A due to lower iPhone sales + local competition (Huawei). Modest continued decline.</t>
        </r>
      </text>
    </comment>
    <comment ref="M69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ADMIN:
Japan YoY forecast growth. FY25A jumped 14.6% on iPhone + Services + iPad strength.</t>
        </r>
      </text>
    </comment>
    <comment ref="M70" authorId="0">
      <text>
        <r>
          <rPr>
            <b val="true"/>
            <sz val="9"/>
            <color rgb="FF000000"/>
            <rFont val="Tahoma"/>
            <family val="2"/>
            <charset val="1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ADMIN:
Rest of APAC YoY forecast growth. FY25A grew 10% on broad-based product strength.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ADMIN</author>
  </authors>
  <commentList>
    <comment ref="C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FY2022, p.31.</t>
        </r>
      </text>
    </comment>
    <comment ref="C9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FY2022. Vendor non-trade receivables.</t>
        </r>
      </text>
    </comment>
    <comment ref="C10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FY2022. Other current assets. Corrected from prior negative sign error.</t>
        </r>
      </text>
    </comment>
    <comment ref="C1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FY2022. Property, plant &amp; equipment, net.</t>
        </r>
      </text>
    </comment>
    <comment ref="C1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FY2022. Non-current marketable securities.</t>
        </r>
      </text>
    </comment>
    <comment ref="C16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FY2022. Other non-current assets.</t>
        </r>
      </text>
    </comment>
    <comment ref="C21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FY2022. Accounts payable.</t>
        </r>
      </text>
    </comment>
    <comment ref="C22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FY2022. Other current liabilities.</t>
        </r>
      </text>
    </comment>
    <comment ref="C2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FY2022. Deferred revenue.</t>
        </r>
      </text>
    </comment>
    <comment ref="C2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FY2022. Commercial paper.</t>
        </r>
      </text>
    </comment>
    <comment ref="C2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FY2022. Term debt, current portion.</t>
        </r>
      </text>
    </comment>
    <comment ref="C29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FY2022. Long-term debt.</t>
        </r>
      </text>
    </comment>
    <comment ref="C30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FY2022. Other non-current liabilities.</t>
        </r>
      </text>
    </comment>
    <comment ref="C3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FY2022. Common stock &amp; additional paid-in capital.</t>
        </r>
      </text>
    </comment>
    <comment ref="C36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FY2022. Retained earnings.</t>
        </r>
      </text>
    </comment>
    <comment ref="C37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FY2022. Accumulated other comprehensive income/(loss).</t>
        </r>
      </text>
    </comment>
    <comment ref="C42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Total Debt = Commercial paper + Current portion of LT debt + Long-term debt.</t>
        </r>
      </text>
    </comment>
    <comment ref="C4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Net Debt = Total Debt - Cash - ST securities - LT securities. Negative = net cash position.</t>
        </r>
      </text>
    </comment>
    <comment ref="C4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Working Capital = Total Current Assets - Total Current Liabilities.</t>
        </r>
      </text>
    </comment>
    <comment ref="C4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Current Ratio = Total Current Assets / Total Current Liabilities. Measures short-term liquidity.</t>
        </r>
      </text>
    </comment>
    <comment ref="C46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Quick Ratio = (Current Assets - Inventory) / Current Liabilities. Stricter liquidity test.</t>
        </r>
      </text>
    </comment>
    <comment ref="C47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Debt / Equity = Total Debt / Total Shareholders' Equity. Measures leverage.</t>
        </r>
      </text>
    </comment>
    <comment ref="D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FY2022.</t>
        </r>
      </text>
    </comment>
    <comment ref="E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FY2023.</t>
        </r>
      </text>
    </comment>
    <comment ref="F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FY2024.</t>
        </r>
      </text>
    </comment>
    <comment ref="G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FY2025.</t>
        </r>
      </text>
    </comment>
    <comment ref="H5" authorId="0">
      <text>
        <r>
          <rPr>
            <sz val="10"/>
            <rFont val="Arial"/>
            <family val="2"/>
          </rPr>
          <t xml:space="preserve">Cash &amp; equivalents — receives from CFS ending cash.</t>
        </r>
      </text>
    </comment>
    <comment ref="H6" authorId="0">
      <text>
        <r>
          <rPr>
            <sz val="10"/>
            <rFont val="Arial"/>
            <family val="2"/>
          </rPr>
          <t xml:space="preserve">Scenario-flexed: pulls Bear/Base/Bull value from Assumptions row 88.</t>
        </r>
      </text>
    </comment>
    <comment ref="H10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Forecast input. Bundles prepaid expenses, derivative assets — historically negative due to netting.</t>
        </r>
      </text>
    </comment>
    <comment ref="H15" authorId="0">
      <text>
        <r>
          <rPr>
            <sz val="10"/>
            <rFont val="Arial"/>
            <family val="2"/>
          </rPr>
          <t xml:space="preserve">Long-term marketable securities — BS plug. Calculated as Total L+E − Current Assets − PPE − Other NCA. This absorbs the residual to keep the balance sheet balancing. Aggregate cash + securities ties to CFS ending cash.</t>
        </r>
      </text>
    </comment>
    <comment ref="H16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Forecast input. Long-lived intangibles, equity investments, ROU assets.</t>
        </r>
      </text>
    </comment>
    <comment ref="H2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Forecast input. Commercial paper — short-term debt program.</t>
        </r>
      </text>
    </comment>
    <comment ref="H2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Forecast input. Current portion of long-term debt — debt maturity schedule.</t>
        </r>
      </text>
    </comment>
    <comment ref="H29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Forecast input. Long-term debt — bond repayment schedule. Apple has been deleveraging.</t>
        </r>
      </text>
    </comment>
    <comment ref="H30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Forecast input. Deferred tax, lease obligations — declining as Apple unwinds.</t>
        </r>
      </text>
    </comment>
    <comment ref="H3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APIC roll-forward: prior APIC + SBC issued during year. Buybacks (when APIC=0) flow through retained earnings per Apple's accounting.</t>
        </r>
      </text>
    </comment>
    <comment ref="H37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Forecast input. AOCI — FX/hedging adjustments, held flat to declining.</t>
        </r>
      </text>
    </comment>
    <comment ref="K1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Plug: absorbs the difference to make BS balance. Aggregate cash + securities ties to CFS ending cash.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ADMIN</author>
  </authors>
  <commentList>
    <comment ref="B7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FY2022, beginning cash balance Sep 26, 2020.</t>
        </r>
      </text>
    </comment>
    <comment ref="B12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FY2022, Consolidated Statements of Cash Flows, p.33. Share-based compensation expense as reported.</t>
        </r>
      </text>
    </comment>
    <comment ref="B1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FY2022, Consolidated Statements of Cash Flows, p.33. Aggregated 'Other' + changes in operating assets/liabilities as reported. Differs from pure BS-delta calc due to acquisitions, FX, deferred taxes, and other non-cash items.</t>
        </r>
      </text>
    </comment>
    <comment ref="B19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FY2022, CFS, Payments for acquisition of property, plant and equipment.</t>
        </r>
      </text>
    </comment>
    <comment ref="B20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 CFS p.33. Net of marketable securities purchases/maturities/sales + other investing (business acquisitions, intangibles).</t>
        </r>
      </text>
    </comment>
    <comment ref="B2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FY2022, CFS, Payments for dividends and dividend equivalents.</t>
        </r>
      </text>
    </comment>
    <comment ref="B2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FY2022, CFS, Repurchases of common stock.</t>
        </r>
      </text>
    </comment>
    <comment ref="B26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FY2022, CFS. Net of debt issuance/repayments + commercial paper + other financing (tax withholdings on share settlements).</t>
        </r>
      </text>
    </comment>
    <comment ref="B3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Free Cash Flow = Cash from Operations + CapEx (CapEx is already negative). Standard definition: CFO − CapEx.</t>
        </r>
      </text>
    </comment>
    <comment ref="B3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Free Cash Flow as a percentage of total revenue. Standard profitability metric.</t>
        </r>
      </text>
    </comment>
    <comment ref="B36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CapEx as a percentage of revenue. Apple historically runs 2-3% — capital-light hardware-and-services model.</t>
        </r>
      </text>
    </comment>
    <comment ref="C7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Rolls forward from prior period ending cash.</t>
        </r>
      </text>
    </comment>
    <comment ref="C12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FY2022, Consolidated Statements of Cash Flows, p.33.</t>
        </r>
      </text>
    </comment>
    <comment ref="C1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FY2022, Consolidated Statements of Cash Flows, p.33.</t>
        </r>
      </text>
    </comment>
    <comment ref="C19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FY2022, CFS, p.33.</t>
        </r>
      </text>
    </comment>
    <comment ref="C20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FY2022, CFS.</t>
        </r>
      </text>
    </comment>
    <comment ref="C2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FY2022, CFS.</t>
        </r>
      </text>
    </comment>
    <comment ref="C2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FY2022, CFS.</t>
        </r>
      </text>
    </comment>
    <comment ref="C26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FY2022, CFS.</t>
        </r>
      </text>
    </comment>
    <comment ref="D12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FY2023, Consolidated Statements of Cash Flows, p.33.</t>
        </r>
      </text>
    </comment>
    <comment ref="D1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FY2023, Consolidated Statements of Cash Flows, p.33.</t>
        </r>
      </text>
    </comment>
    <comment ref="D19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FY2023, CFS, p.33.</t>
        </r>
      </text>
    </comment>
    <comment ref="D20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FY2023, CFS.</t>
        </r>
      </text>
    </comment>
    <comment ref="D2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FY2023, CFS.</t>
        </r>
      </text>
    </comment>
    <comment ref="D2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FY2023, CFS.</t>
        </r>
      </text>
    </comment>
    <comment ref="D26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FY2023, CFS.</t>
        </r>
      </text>
    </comment>
    <comment ref="E12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FY2024 (filed Nov 2024), Consolidated Statements of Cash Flows.</t>
        </r>
      </text>
    </comment>
    <comment ref="E1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FY2024, Consolidated Statements of Cash Flows.</t>
        </r>
      </text>
    </comment>
    <comment ref="E19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FY2024, CFS.</t>
        </r>
      </text>
    </comment>
    <comment ref="E20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FY2024, CFS.</t>
        </r>
      </text>
    </comment>
    <comment ref="E2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FY2024, CFS.</t>
        </r>
      </text>
    </comment>
    <comment ref="E2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FY2024, CFS.</t>
        </r>
      </text>
    </comment>
    <comment ref="E26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FY2024, CFS.</t>
        </r>
      </text>
    </comment>
    <comment ref="F12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FY2025, Consolidated Statements of Cash Flows, p.33.</t>
        </r>
      </text>
    </comment>
    <comment ref="F1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FY2025, Consolidated Statements of Cash Flows, p.33.</t>
        </r>
      </text>
    </comment>
    <comment ref="F19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FY2025, CFS, p.33.</t>
        </r>
      </text>
    </comment>
    <comment ref="F20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FY2025, CFS p.33.</t>
        </r>
      </text>
    </comment>
    <comment ref="F24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FY2025, CFS p.33.</t>
        </r>
      </text>
    </comment>
    <comment ref="F25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FY2025, CFS p.33.</t>
        </r>
      </text>
    </comment>
    <comment ref="F26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Source: Apple 10-K FY2025, CFS p.33.</t>
        </r>
      </text>
    </comment>
    <comment ref="G1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Total change in working capital and other. Sources of cash: ↑liabilities, ↓assets. Includes AR, Inventory, Vendor receivables, Other CA, AP, Other CL, Def Rev, Other NCA, Other NCL.</t>
        </r>
      </text>
    </comment>
    <comment ref="G20" authorId="0">
      <text>
        <r>
          <rPr>
            <sz val="10"/>
            <rFont val="Arial"/>
            <family val="2"/>
          </rPr>
          <t xml:space="preserve">Held at 0 in forecast — BS LT securities (row 15) is the plug. Aggregate cash + securities ties to CFS ending cash.</t>
        </r>
      </text>
    </comment>
    <comment ref="G26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Net debt repayment &amp; other financing = Δ Commercial paper + Δ Current LT debt + Δ LT debt. Negative = paydown.</t>
        </r>
      </text>
    </comment>
    <comment ref="J20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Held at 0 in forecast by design. BS LT securities (row 15) is the plug. Aggregate cash+securities ties to CFS ending cash.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ADMIN</author>
  </authors>
  <commentList>
    <comment ref="B23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2"/>
            <charset val="1"/>
          </rPr>
          <t xml:space="preserve">Cash + ST securities + LT securities − Total debt. Positive value because Apple's liquid securities exceed debt.</t>
        </r>
      </text>
    </comment>
    <comment ref="B69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FY29E Net Income × 22x P/E / diluted shares. Low end of P/E range.</t>
        </r>
      </text>
    </comment>
    <comment ref="B70" authorId="0">
      <text>
        <r>
          <rPr>
            <sz val="10"/>
            <rFont val="Arial"/>
            <family val="2"/>
          </rPr>
          <t xml:space="preserve">FY29E EBITDA × 16x + net cash per share.</t>
        </r>
      </text>
    </comment>
    <comment ref="D69" authorId="0">
      <text>
        <r>
          <rPr>
            <sz val="10"/>
            <rFont val="Arial"/>
            <family val="2"/>
          </rPr>
          <t xml:space="preserve">ADMIN:
</t>
        </r>
        <r>
          <rPr>
            <sz val="9"/>
            <color rgb="FF000000"/>
            <rFont val="Tahoma"/>
            <family val="0"/>
            <charset val="1"/>
          </rPr>
          <t xml:space="preserve">FY29E Net Income × 30x P/E.</t>
        </r>
      </text>
    </comment>
  </commentList>
</comments>
</file>

<file path=xl/sharedStrings.xml><?xml version="1.0" encoding="utf-8"?>
<sst xmlns="http://schemas.openxmlformats.org/spreadsheetml/2006/main" count="996" uniqueCount="634">
  <si>
    <t xml:space="preserve">APPLE INC. (NASDAQ: AAPL)</t>
  </si>
  <si>
    <t xml:space="preserve">Investment Analyst Model  |  3-Statement Forecast + DCF Valuation</t>
  </si>
  <si>
    <t xml:space="preserve">MODEL OVERVIEW</t>
  </si>
  <si>
    <t xml:space="preserve">Issuer</t>
  </si>
  <si>
    <t xml:space="preserve">Apple Inc. (NASDAQ: AAPL)</t>
  </si>
  <si>
    <t xml:space="preserve">Sector</t>
  </si>
  <si>
    <t xml:space="preserve">Technology: Consumer Electronics &amp; Services</t>
  </si>
  <si>
    <t xml:space="preserve">Reporting period</t>
  </si>
  <si>
    <t xml:space="preserve">Fiscal years ending last Saturday of September</t>
  </si>
  <si>
    <t xml:space="preserve">Historicals</t>
  </si>
  <si>
    <t xml:space="preserve">FY2021 – FY2025 (5 years actuals from 10-K filings)</t>
  </si>
  <si>
    <t xml:space="preserve">Projections</t>
  </si>
  <si>
    <t xml:space="preserve">FY2026E – FY2029E (4 years forecast)</t>
  </si>
  <si>
    <t xml:space="preserve">Methodology</t>
  </si>
  <si>
    <t xml:space="preserve">Top-down driver-based: segment revenue → gross margin → OpEx → BS roll-forwards</t>
  </si>
  <si>
    <t xml:space="preserve">Valuation</t>
  </si>
  <si>
    <t xml:space="preserve">Tax assumption</t>
  </si>
  <si>
    <t xml:space="preserve">Scenario tax rate (Base 15%: the FY21 to FY25 average excluding FY24's EU State Aid charge)</t>
  </si>
  <si>
    <t xml:space="preserve">Capital return</t>
  </si>
  <si>
    <t xml:space="preserve">~95% of FCF returned to shareholders via buybacks + dividends (Apple stated policy)</t>
  </si>
  <si>
    <t xml:space="preserve">WORKBOOK STRUCTURE</t>
  </si>
  <si>
    <t xml:space="preserve">Cover</t>
  </si>
  <si>
    <t xml:space="preserve">This page</t>
  </si>
  <si>
    <t xml:space="preserve">Assumptions</t>
  </si>
  <si>
    <t xml:space="preserve">All forecast drivers: segment growth rates, margins, tax, WACC inputs (BLUE = editable)</t>
  </si>
  <si>
    <t xml:space="preserve">IS</t>
  </si>
  <si>
    <t xml:space="preserve">Income Statement FY21A–FY29E: top-down build from segment revenue</t>
  </si>
  <si>
    <t xml:space="preserve">BS</t>
  </si>
  <si>
    <t xml:space="preserve">Balance Sheet FY21A–FY29E: working capital days-based, full roll-forwards</t>
  </si>
  <si>
    <t xml:space="preserve">CFS</t>
  </si>
  <si>
    <t xml:space="preserve">Cash Flow Statement FY21A–FY29E: indirect method, ties to BS change in cash</t>
  </si>
  <si>
    <t xml:space="preserve">Ratios</t>
  </si>
  <si>
    <t xml:space="preserve">Profitability, returns, leverage, working capital ratios</t>
  </si>
  <si>
    <t xml:space="preserve">DCF</t>
  </si>
  <si>
    <t xml:space="preserve">Enterprise value, equity value, implied share price + WACC × g sensitivity</t>
  </si>
  <si>
    <t xml:space="preserve">Dashboard</t>
  </si>
  <si>
    <t xml:space="preserve">Executive view: KPIs, valuation summary, key charts</t>
  </si>
  <si>
    <t xml:space="preserve">Validation</t>
  </si>
  <si>
    <t xml:space="preserve">10-K line-by-line audit, structural checks and forecast sanity bands</t>
  </si>
  <si>
    <t xml:space="preserve">Pivots</t>
  </si>
  <si>
    <t xml:space="preserve">Pivot summaries of the statements</t>
  </si>
  <si>
    <t xml:space="preserve">COLOR CONVENTIONS (IB STANDARD)</t>
  </si>
  <si>
    <t xml:space="preserve">BLUE</t>
  </si>
  <si>
    <t xml:space="preserve">Hardcoded inputs (historicals from 10-K + assumption drivers)</t>
  </si>
  <si>
    <t xml:space="preserve">BLACK</t>
  </si>
  <si>
    <t xml:space="preserve">Formulas (calculated from inputs and other formulas)</t>
  </si>
  <si>
    <t xml:space="preserve">GREEN</t>
  </si>
  <si>
    <t xml:space="preserve">Cross-sheet links (pulled from another sheet)</t>
  </si>
  <si>
    <t xml:space="preserve">TICKS</t>
  </si>
  <si>
    <t xml:space="preserve">Audit checks: a green tick when a check passes, a red cross when it fails</t>
  </si>
  <si>
    <t xml:space="preserve">DATA SOURCES</t>
  </si>
  <si>
    <t xml:space="preserve">10-K FY2025</t>
  </si>
  <si>
    <t xml:space="preserve">Filed Oct 31, 2025: covers FY2023A, FY2024A, FY2025A</t>
  </si>
  <si>
    <t xml:space="preserve">10-K FY2022</t>
  </si>
  <si>
    <t xml:space="preserve">Filed Oct 28, 2022: covers FY2021A and FY2022A</t>
  </si>
  <si>
    <t xml:space="preserve">SEC EDGAR</t>
  </si>
  <si>
    <t xml:space="preserve">https://www.sec.gov/cgi-bin/browse-edgar?action=getcompany&amp;CIK=0000320193</t>
  </si>
  <si>
    <t xml:space="preserve">PREPARED BY</t>
  </si>
  <si>
    <t xml:space="preserve">Alven Yuka  |  CPA Finalist  |  Nairobi, Kenya</t>
  </si>
  <si>
    <t xml:space="preserve">linkedin.com/in/alven-yuka-610b78174  |  github.com/alvenyuka</t>
  </si>
  <si>
    <t xml:space="preserve">APPLE INC. (AAPL) FINANCIAL DASHBOARD</t>
  </si>
  <si>
    <t xml:space="preserve">OVERVIEW OF REVENUE, COSTS, PROFITABILITY &amp; KEY INVESTOR METRICS</t>
  </si>
  <si>
    <t xml:space="preserve">💲  TOTAL REVENUE FY26E</t>
  </si>
  <si>
    <t xml:space="preserve">📊  NET INCOME FY26E</t>
  </si>
  <si>
    <t xml:space="preserve">💰  FREE CASH FLOW FY26E</t>
  </si>
  <si>
    <t xml:space="preserve">🏆  TOP SEGMENT FY25A</t>
  </si>
  <si>
    <t xml:space="preserve">📈  DILUTED EPS FY26E</t>
  </si>
  <si>
    <t xml:space="preserve">FILTERS &amp; CONTROLS</t>
  </si>
  <si>
    <t xml:space="preserve">REVENUE TREND &amp; GROWTH %</t>
  </si>
  <si>
    <t xml:space="preserve">$M, FY21A–FY29E</t>
  </si>
  <si>
    <t xml:space="preserve">REVENUE BY GEOGRAPHY FY25A</t>
  </si>
  <si>
    <t xml:space="preserve">SCENARIO</t>
  </si>
  <si>
    <t xml:space="preserve">REVENUE BY SEGMENT FY25A</t>
  </si>
  <si>
    <t xml:space="preserve">$B / % mix</t>
  </si>
  <si>
    <t xml:space="preserve">TOP 5 PRODUCT LINES BY REVENUE FY25A</t>
  </si>
  <si>
    <t xml:space="preserve">REGION</t>
  </si>
  <si>
    <t xml:space="preserve">REVENUE</t>
  </si>
  <si>
    <t xml:space="preserve">MIX</t>
  </si>
  <si>
    <t xml:space="preserve">Americas</t>
  </si>
  <si>
    <t xml:space="preserve">Europe</t>
  </si>
  <si>
    <t xml:space="preserve">Greater China</t>
  </si>
  <si>
    <t xml:space="preserve">Rest of APAC</t>
  </si>
  <si>
    <t xml:space="preserve">Japan</t>
  </si>
  <si>
    <t xml:space="preserve">Total</t>
  </si>
  <si>
    <t xml:space="preserve">P&amp;L CASCADE BY FISCAL YEAR</t>
  </si>
  <si>
    <t xml:space="preserve">$M</t>
  </si>
  <si>
    <t xml:space="preserve">PROFITABILITY MARGINS TREND</t>
  </si>
  <si>
    <t xml:space="preserve">% by FY</t>
  </si>
  <si>
    <t xml:space="preserve">LINE ITEM</t>
  </si>
  <si>
    <t xml:space="preserve">FY23A</t>
  </si>
  <si>
    <t xml:space="preserve">FY24A</t>
  </si>
  <si>
    <t xml:space="preserve">FY25A</t>
  </si>
  <si>
    <t xml:space="preserve">FY26E</t>
  </si>
  <si>
    <t xml:space="preserve">FY27E</t>
  </si>
  <si>
    <t xml:space="preserve">FY28E</t>
  </si>
  <si>
    <t xml:space="preserve">FY29E</t>
  </si>
  <si>
    <t xml:space="preserve">Total Revenue</t>
  </si>
  <si>
    <t xml:space="preserve">(-) Cost of Sales</t>
  </si>
  <si>
    <t xml:space="preserve">Gross Profit</t>
  </si>
  <si>
    <t xml:space="preserve">(-) R&amp;D Expense</t>
  </si>
  <si>
    <t xml:space="preserve">(-) SG&amp;A Expense</t>
  </si>
  <si>
    <t xml:space="preserve">Operating Income</t>
  </si>
  <si>
    <t xml:space="preserve">(-) Income Tax</t>
  </si>
  <si>
    <t xml:space="preserve">Net Income</t>
  </si>
  <si>
    <t xml:space="preserve">Diluted EPS ($)</t>
  </si>
  <si>
    <t xml:space="preserve">Free Cash Flow</t>
  </si>
  <si>
    <t xml:space="preserve">REVENUE BY PRODUCT LINE FY25A</t>
  </si>
  <si>
    <t xml:space="preserve">FREE CASH FLOW BY FY</t>
  </si>
  <si>
    <t xml:space="preserve">$B</t>
  </si>
  <si>
    <t xml:space="preserve">KEY INVESTOR INSIGHTS</t>
  </si>
  <si>
    <t xml:space="preserve">Chart data, linked to the income statement</t>
  </si>
  <si>
    <t xml:space="preserve">🟢</t>
  </si>
  <si>
    <t xml:space="preserve">Region</t>
  </si>
  <si>
    <t xml:space="preserve">FY21A</t>
  </si>
  <si>
    <t xml:space="preserve">FY22A</t>
  </si>
  <si>
    <t xml:space="preserve">Services mix shift and own-silicon advantage compounding.</t>
  </si>
  <si>
    <t xml:space="preserve">💡</t>
  </si>
  <si>
    <t xml:space="preserve">⚠️</t>
  </si>
  <si>
    <t xml:space="preserve">Product Line</t>
  </si>
  <si>
    <t xml:space="preserve">iPhone</t>
  </si>
  <si>
    <t xml:space="preserve">Mac</t>
  </si>
  <si>
    <t xml:space="preserve">iPad</t>
  </si>
  <si>
    <t xml:space="preserve">Wearables</t>
  </si>
  <si>
    <t xml:space="preserve">Services</t>
  </si>
  <si>
    <t xml:space="preserve">Products ($B)</t>
  </si>
  <si>
    <t xml:space="preserve">Services ($B)</t>
  </si>
  <si>
    <t xml:space="preserve">Growth %</t>
  </si>
  <si>
    <t xml:space="preserve">FY25A ($B)</t>
  </si>
  <si>
    <t xml:space="preserve">Segment</t>
  </si>
  <si>
    <t xml:space="preserve">Products</t>
  </si>
  <si>
    <t xml:space="preserve">Product</t>
  </si>
  <si>
    <t xml:space="preserve">Gross %</t>
  </si>
  <si>
    <t xml:space="preserve">Operating %</t>
  </si>
  <si>
    <t xml:space="preserve">Net %</t>
  </si>
  <si>
    <t xml:space="preserve">FCF %</t>
  </si>
  <si>
    <t xml:space="preserve">FCF ($B)</t>
  </si>
  <si>
    <t xml:space="preserve">ASSUMPTIONS  |  Forecast Drivers</t>
  </si>
  <si>
    <t xml:space="preserve">  </t>
  </si>
  <si>
    <t xml:space="preserve">USD Millions</t>
  </si>
  <si>
    <t xml:space="preserve">FY2021A</t>
  </si>
  <si>
    <t xml:space="preserve">FY2022A</t>
  </si>
  <si>
    <t xml:space="preserve">FY2023A</t>
  </si>
  <si>
    <t xml:space="preserve">FY2024A</t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</si>
  <si>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</si>
  <si>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</si>
  <si>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</si>
  <si>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</si>
  <si>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</si>
  <si>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Sep 25, 2021</t>
  </si>
  <si>
    <t xml:space="preserve">Sep 24, 2022</t>
  </si>
  <si>
    <t xml:space="preserve">Sep 30, 2023</t>
  </si>
  <si>
    <t xml:space="preserve">Sep 28, 2024</t>
  </si>
  <si>
    <t xml:space="preserve">Sep 27, 2025</t>
  </si>
  <si>
    <t xml:space="preserve">Sep 26, 2026</t>
  </si>
  <si>
    <t xml:space="preserve">Sep 25, 2027</t>
  </si>
  <si>
    <t xml:space="preserve">Sep 30, 2028</t>
  </si>
  <si>
    <t xml:space="preserve">Sep 30, 2029</t>
  </si>
  <si>
    <t xml:space="preserve">REVENUE GROWTH DRIVERS  |  Segment-Level</t>
  </si>
  <si>
    <t xml:space="preserve">Products revenue YoY growth</t>
  </si>
  <si>
    <t xml:space="preserve">Wearables, Home &amp; Accessories</t>
  </si>
  <si>
    <t xml:space="preserve">Services revenue YoY growth</t>
  </si>
  <si>
    <t xml:space="preserve">MARGIN DRIVERS  |  Segment-Level Gross Margins</t>
  </si>
  <si>
    <t xml:space="preserve">Products gross margin %</t>
  </si>
  <si>
    <t xml:space="preserve">Services gross margin %</t>
  </si>
  <si>
    <t xml:space="preserve">OPERATING EXPENSE DRIVERS  |  R&amp;D + SG&amp;A YoY Growth</t>
  </si>
  <si>
    <t xml:space="preserve">R&amp;D expense YoY growth</t>
  </si>
  <si>
    <t xml:space="preserve">SG&amp;A expense YoY growth</t>
  </si>
  <si>
    <t xml:space="preserve">OTHER INCOME STATEMENT DRIVERS</t>
  </si>
  <si>
    <t xml:space="preserve">Other income / (expense), $M</t>
  </si>
  <si>
    <t xml:space="preserve">Effective tax rate</t>
  </si>
  <si>
    <t xml:space="preserve">BALANCE SHEET DRIVERS  |  Working Capital Days</t>
  </si>
  <si>
    <t xml:space="preserve">Days sales outstanding (DSO)</t>
  </si>
  <si>
    <t xml:space="preserve">Days inventory outstanding (DIO)</t>
  </si>
  <si>
    <t xml:space="preserve">Days payable outstanding (DPO)</t>
  </si>
  <si>
    <t xml:space="preserve">Share-based compensation as % of revenue</t>
  </si>
  <si>
    <t xml:space="preserve">Other current liabilities as % of revenue</t>
  </si>
  <si>
    <t xml:space="preserve">Deferred revenue as % of services revenue</t>
  </si>
  <si>
    <t xml:space="preserve">Vendor non-trade receivables as % of COGS</t>
  </si>
  <si>
    <t xml:space="preserve">CAPEX &amp; DEPRECIATION DRIVERS</t>
  </si>
  <si>
    <t xml:space="preserve">CapEx as % of revenue</t>
  </si>
  <si>
    <t xml:space="preserve">Depreciation &amp; amortization, $M</t>
  </si>
  <si>
    <t xml:space="preserve">CAPITAL RETURN POLICY  |  Per Apple's Stated Plan</t>
  </si>
  <si>
    <t xml:space="preserve">Capital return as % of FCF</t>
  </si>
  <si>
    <t xml:space="preserve">Buybacks retire shares at the Assumptions!B59 price in every forecast year (a simplification)</t>
  </si>
  <si>
    <t xml:space="preserve">Dividends as % of capital return</t>
  </si>
  <si>
    <t xml:space="preserve">WACC &amp; DCF VALUATION INPUTS</t>
  </si>
  <si>
    <t xml:space="preserve">Risk-free rate</t>
  </si>
  <si>
    <t xml:space="preserve">Equity risk premium</t>
  </si>
  <si>
    <t xml:space="preserve">Beta (Apple)</t>
  </si>
  <si>
    <t xml:space="preserve">Cost of equity</t>
  </si>
  <si>
    <t xml:space="preserve">Pre-tax cost of debt</t>
  </si>
  <si>
    <t xml:space="preserve">Tax rate (for WACC)</t>
  </si>
  <si>
    <t xml:space="preserve">After-tax cost of debt</t>
  </si>
  <si>
    <t xml:space="preserve">Target debt / capital</t>
  </si>
  <si>
    <t xml:space="preserve">Target equity / capital</t>
  </si>
  <si>
    <t xml:space="preserve">WACC</t>
  </si>
  <si>
    <t xml:space="preserve">Terminal growth rate (g)</t>
  </si>
  <si>
    <t xml:space="preserve">VALUATION INPUTS</t>
  </si>
  <si>
    <t xml:space="preserve">Diluted shares outstanding (M)</t>
  </si>
  <si>
    <t xml:space="preserve">Current share price (USD)</t>
  </si>
  <si>
    <t xml:space="preserve">Close on 28 Sep 2026 (Excel STOCKHISTORY)</t>
  </si>
  <si>
    <t xml:space="preserve">Valuation date</t>
  </si>
  <si>
    <t xml:space="preserve">Date of the B59 close. FY2026 ended 26 Sep 2026, before this date, so FY26E cash sits in net cash.</t>
  </si>
  <si>
    <t xml:space="preserve">SCENARIO ENGINE  |  Forecast Case Toggle</t>
  </si>
  <si>
    <t xml:space="preserve">Active scenario  →</t>
  </si>
  <si>
    <t xml:space="preserve">Base</t>
  </si>
  <si>
    <t xml:space="preserve">← Change this dropdown. All FY26–FY29 drivers update; IS/BS/CFS/DCF/Dashboard re-flow.</t>
  </si>
  <si>
    <t xml:space="preserve">Driver</t>
  </si>
  <si>
    <t xml:space="preserve">Bear</t>
  </si>
  <si>
    <t xml:space="preserve">Bull</t>
  </si>
  <si>
    <t xml:space="preserve">Unit</t>
  </si>
  <si>
    <t xml:space="preserve">Notes</t>
  </si>
  <si>
    <t xml:space="preserve">Products revenue growth (avg)</t>
  </si>
  <si>
    <t xml:space="preserve">%</t>
  </si>
  <si>
    <t xml:space="preserve">Applied to G8:J8</t>
  </si>
  <si>
    <t xml:space="preserve">  iPhone YoY growth</t>
  </si>
  <si>
    <t xml:space="preserve">  Mac YoY growth</t>
  </si>
  <si>
    <t xml:space="preserve">  iPad YoY growth</t>
  </si>
  <si>
    <t xml:space="preserve">  Wearables YoY growth</t>
  </si>
  <si>
    <t xml:space="preserve">Services revenue growth (avg)</t>
  </si>
  <si>
    <t xml:space="preserve">Applied to G13:J13</t>
  </si>
  <si>
    <t xml:space="preserve">Products gross margin (avg)</t>
  </si>
  <si>
    <t xml:space="preserve">Applied to G16:J16. Base 37.0% = FY24-FY25 average (37.2%, 36.8%)</t>
  </si>
  <si>
    <t xml:space="preserve">Services gross margin (avg)</t>
  </si>
  <si>
    <t xml:space="preserve">Applied to G17:J17. Base 76% sits just above FY25's 75.4% on a trend rising about 1.4 pts a year since FY21</t>
  </si>
  <si>
    <t xml:space="preserve">R&amp;D expense growth</t>
  </si>
  <si>
    <t xml:space="preserve">Applied to G20:J20 (Bear = higher spend)</t>
  </si>
  <si>
    <t xml:space="preserve">SG&amp;A expense growth</t>
  </si>
  <si>
    <t xml:space="preserve">Applied to G21:J21</t>
  </si>
  <si>
    <t xml:space="preserve">Applied to G25:J25. Base 15% = FY21-FY25 average excluding FY24's one-off EU State Aid charge (14.9%), and matches the 15% in B50</t>
  </si>
  <si>
    <t xml:space="preserve">CapEx % of revenue</t>
  </si>
  <si>
    <t xml:space="preserve">Applied to G37:J37</t>
  </si>
  <si>
    <t xml:space="preserve">Beta</t>
  </si>
  <si>
    <t xml:space="preserve">x</t>
  </si>
  <si>
    <t xml:space="preserve">Drives beta at B47</t>
  </si>
  <si>
    <t xml:space="preserve">Drives terminal growth at B55</t>
  </si>
  <si>
    <t xml:space="preserve">Drives risk-free rate at B45</t>
  </si>
  <si>
    <t xml:space="preserve">Drives equity risk premium at B46</t>
  </si>
  <si>
    <t xml:space="preserve">Other income $M</t>
  </si>
  <si>
    <t xml:space="preserve">D&amp;A as % of revenue</t>
  </si>
  <si>
    <t xml:space="preserve">BS STRUCTURAL &amp; DEBT SCHEDULE  |  Scenario-Flexed Inputs</t>
  </si>
  <si>
    <t xml:space="preserve">FY26E Bear</t>
  </si>
  <si>
    <t xml:space="preserve">FY26E Base</t>
  </si>
  <si>
    <t xml:space="preserve">FY26E Bull</t>
  </si>
  <si>
    <t xml:space="preserve">FY27E Bear</t>
  </si>
  <si>
    <t xml:space="preserve">FY27E Base</t>
  </si>
  <si>
    <t xml:space="preserve">FY27E Bull</t>
  </si>
  <si>
    <t xml:space="preserve">FY28E Bear</t>
  </si>
  <si>
    <t xml:space="preserve">FY28E Base</t>
  </si>
  <si>
    <t xml:space="preserve">FY28E Bull</t>
  </si>
  <si>
    <t xml:space="preserve">FY29E Bear</t>
  </si>
  <si>
    <t xml:space="preserve">FY29E Base</t>
  </si>
  <si>
    <t xml:space="preserve">FY29E Bull</t>
  </si>
  <si>
    <t xml:space="preserve">Basis</t>
  </si>
  <si>
    <t xml:space="preserve">Short-term marketable securities, annual change</t>
  </si>
  <si>
    <t xml:space="preserve">0% holds short-term securities at the FY25 balance; long-term securities fund the minimum-cash rule (row 96)</t>
  </si>
  <si>
    <t xml:space="preserve">Other current assets, % of revenue</t>
  </si>
  <si>
    <t xml:space="preserve">FY24 to FY25 average of the 10-K balance over revenue</t>
  </si>
  <si>
    <t xml:space="preserve">Other non-current assets, % of revenue</t>
  </si>
  <si>
    <t xml:space="preserve">Commercial paper, annual change</t>
  </si>
  <si>
    <t xml:space="preserve">0% holds commercial paper at the FY25 balance</t>
  </si>
  <si>
    <t xml:space="preserve">Current portion of LT debt</t>
  </si>
  <si>
    <t xml:space="preserve">Scenario inputs: scheduled repayment of the current portion of term debt</t>
  </si>
  <si>
    <t xml:space="preserve">Long-term debt</t>
  </si>
  <si>
    <t xml:space="preserve">Scenario inputs: long-term debt balance after scheduled maturities</t>
  </si>
  <si>
    <t xml:space="preserve">Other non-current liabilities, % of revenue</t>
  </si>
  <si>
    <t xml:space="preserve">Accumulated other comprehensive income, annual change ($M)</t>
  </si>
  <si>
    <t xml:space="preserve">Held at FY25: market-value movements are not forecast</t>
  </si>
  <si>
    <t xml:space="preserve">Minimum operating cash ($M)</t>
  </si>
  <si>
    <t xml:space="preserve">Lowest FY21 to FY25 year-end cash. Long-term securities are sold to keep forecast cash at or above it.</t>
  </si>
  <si>
    <t xml:space="preserve">P/E multiples, low / mid / high (football field)</t>
  </si>
  <si>
    <t xml:space="preserve">Bracket Apple's trading range on forward earnings; applied to FY29E and discounted</t>
  </si>
  <si>
    <t xml:space="preserve">EV/EBITDA multiples, low / mid / high (football field)</t>
  </si>
  <si>
    <t xml:space="preserve">INCOME STATEMENT  |  FY2021A – FY2029E</t>
  </si>
  <si>
    <t xml:space="preserve">Top-down build: segment revenue × segment GM → gross profit → OpEx → operating income → net income</t>
  </si>
  <si>
    <t xml:space="preserve">Q1 FY26A</t>
  </si>
  <si>
    <t xml:space="preserve">Dec 27, 2025</t>
  </si>
  <si>
    <t xml:space="preserve">Products revenue</t>
  </si>
  <si>
    <t xml:space="preserve">Services net sales</t>
  </si>
  <si>
    <t xml:space="preserve">Total revenue</t>
  </si>
  <si>
    <t xml:space="preserve">YoY Revenue Growth</t>
  </si>
  <si>
    <t xml:space="preserve">-</t>
  </si>
  <si>
    <t xml:space="preserve">  Services % of revenue</t>
  </si>
  <si>
    <t xml:space="preserve">COST OF SALES</t>
  </si>
  <si>
    <t xml:space="preserve">Cost of products</t>
  </si>
  <si>
    <t xml:space="preserve">Cost of services</t>
  </si>
  <si>
    <t xml:space="preserve">Total cost of sales</t>
  </si>
  <si>
    <t xml:space="preserve">Gross profit</t>
  </si>
  <si>
    <t xml:space="preserve">  Gross margin %</t>
  </si>
  <si>
    <t xml:space="preserve">OPERATING EXPENSES</t>
  </si>
  <si>
    <t xml:space="preserve">Research &amp; development</t>
  </si>
  <si>
    <t xml:space="preserve">Selling, general &amp; administrative</t>
  </si>
  <si>
    <t xml:space="preserve">Total operating expenses</t>
  </si>
  <si>
    <t xml:space="preserve">Operating income</t>
  </si>
  <si>
    <t xml:space="preserve">  Operating margin %</t>
  </si>
  <si>
    <t xml:space="preserve">(+) Depreciation &amp; Amortization</t>
  </si>
  <si>
    <t xml:space="preserve">EBITDA</t>
  </si>
  <si>
    <t xml:space="preserve">EBITDA Margin %</t>
  </si>
  <si>
    <t xml:space="preserve">NON-OPERATING &amp; TAXES</t>
  </si>
  <si>
    <t xml:space="preserve">Other income / (expense), net</t>
  </si>
  <si>
    <t xml:space="preserve">Pre-tax income</t>
  </si>
  <si>
    <t xml:space="preserve">Income tax expense</t>
  </si>
  <si>
    <t xml:space="preserve">  Effective tax rate</t>
  </si>
  <si>
    <t xml:space="preserve">NET INCOME</t>
  </si>
  <si>
    <t xml:space="preserve">  Net margin %</t>
  </si>
  <si>
    <t xml:space="preserve">PER SHARE DATA</t>
  </si>
  <si>
    <t xml:space="preserve">Basic EPS ($)</t>
  </si>
  <si>
    <t xml:space="preserve">Dividend per share ($)</t>
  </si>
  <si>
    <t xml:space="preserve">GROSS MARGIN DETAIL  |  By Segment</t>
  </si>
  <si>
    <t xml:space="preserve">Products gross profit</t>
  </si>
  <si>
    <t xml:space="preserve">  Products gross margin %</t>
  </si>
  <si>
    <t xml:space="preserve">Services gross profit</t>
  </si>
  <si>
    <t xml:space="preserve">  Services gross margin %</t>
  </si>
  <si>
    <t xml:space="preserve">Total gross profit</t>
  </si>
  <si>
    <t xml:space="preserve">  Blended gross margin %</t>
  </si>
  <si>
    <t xml:space="preserve">Source: Apple 10-K (FY22 + FY25). Geographic + product splits per SEC EDGAR filings. Forecast growth rates (column L) are editable inputs (blue): change to flex the model.</t>
  </si>
  <si>
    <t xml:space="preserve">REVENUE BY GEOGRAPHIC SEGMENT</t>
  </si>
  <si>
    <t xml:space="preserve">Fcst growth</t>
  </si>
  <si>
    <t xml:space="preserve">Rest of Asia Pacific</t>
  </si>
  <si>
    <t xml:space="preserve">  Check vs Total revenue (row 14)</t>
  </si>
  <si>
    <t xml:space="preserve">  % of total revenue</t>
  </si>
  <si>
    <t xml:space="preserve">  Americas</t>
  </si>
  <si>
    <t xml:space="preserve">  Europe</t>
  </si>
  <si>
    <t xml:space="preserve">  Greater China</t>
  </si>
  <si>
    <t xml:space="preserve">  Japan</t>
  </si>
  <si>
    <t xml:space="preserve">  Rest of Asia Pacific</t>
  </si>
  <si>
    <t xml:space="preserve"> Revenue YoY growth</t>
  </si>
  <si>
    <t xml:space="preserve">  APPLE INC.: BALANCE SHEET (FY2021A-FY2029E)</t>
  </si>
  <si>
    <t xml:space="preserve">Line Item</t>
  </si>
  <si>
    <t xml:space="preserve">CURRENT ASSETS</t>
  </si>
  <si>
    <t xml:space="preserve">Cash &amp; cash equivalents</t>
  </si>
  <si>
    <t xml:space="preserve">Short-term marketable securities</t>
  </si>
  <si>
    <t xml:space="preserve">Accounts receivable, net</t>
  </si>
  <si>
    <t xml:space="preserve">Inventory</t>
  </si>
  <si>
    <t xml:space="preserve">Vendor non-trade receivables</t>
  </si>
  <si>
    <t xml:space="preserve">Other current assets</t>
  </si>
  <si>
    <t xml:space="preserve">Total Current Assets</t>
  </si>
  <si>
    <t xml:space="preserve">NON-CURRENT ASSETS</t>
  </si>
  <si>
    <t xml:space="preserve">Property, plant &amp; equipment, net</t>
  </si>
  <si>
    <t xml:space="preserve">Long-term marketable securities</t>
  </si>
  <si>
    <t xml:space="preserve">Other non-current assets</t>
  </si>
  <si>
    <t xml:space="preserve">Total Non-Current Assets</t>
  </si>
  <si>
    <t xml:space="preserve">TOTAL ASSETS</t>
  </si>
  <si>
    <t xml:space="preserve">CURRENT LIABILITIES</t>
  </si>
  <si>
    <t xml:space="preserve">Accounts payable</t>
  </si>
  <si>
    <t xml:space="preserve">Other current liabilities</t>
  </si>
  <si>
    <t xml:space="preserve">Deferred revenue</t>
  </si>
  <si>
    <t xml:space="preserve">Commercial paper</t>
  </si>
  <si>
    <t xml:space="preserve">Total Current Liabilities</t>
  </si>
  <si>
    <t xml:space="preserve">NON-CURRENT LIABILITIES</t>
  </si>
  <si>
    <t xml:space="preserve">Other non-current liabilities</t>
  </si>
  <si>
    <t xml:space="preserve">Total Non-Current Liabilities</t>
  </si>
  <si>
    <t xml:space="preserve">Total Liabilities</t>
  </si>
  <si>
    <t xml:space="preserve">SHAREHOLDERS' EQUITY</t>
  </si>
  <si>
    <t xml:space="preserve">Common stock &amp; paid-in capital</t>
  </si>
  <si>
    <t xml:space="preserve">Retained earnings</t>
  </si>
  <si>
    <t xml:space="preserve">Accumulated other comp. inc/(loss)</t>
  </si>
  <si>
    <t xml:space="preserve">Total Shareholders' Equity</t>
  </si>
  <si>
    <t xml:space="preserve">TOTAL LIABILITIES &amp; EQUITY</t>
  </si>
  <si>
    <t xml:space="preserve">KEY METRICS</t>
  </si>
  <si>
    <t xml:space="preserve">Total Debt</t>
  </si>
  <si>
    <t xml:space="preserve">Net Debt</t>
  </si>
  <si>
    <t xml:space="preserve">Working Capital</t>
  </si>
  <si>
    <t xml:space="preserve">Current Ratio</t>
  </si>
  <si>
    <t xml:space="preserve">Quick Ratio</t>
  </si>
  <si>
    <t xml:space="preserve">Debt / Equity</t>
  </si>
  <si>
    <t xml:space="preserve">CASH FLOW STATEMENT  |  FY2021A – FY2029E</t>
  </si>
  <si>
    <t xml:space="preserve">Indirect method | Reconciles net income to change in cash | Audit check: net change ties to BS</t>
  </si>
  <si>
    <t xml:space="preserve">Cash &amp; equivalents, beginning</t>
  </si>
  <si>
    <t xml:space="preserve">OPERATING ACTIVITIES</t>
  </si>
  <si>
    <t xml:space="preserve">Depreciation &amp; amortization</t>
  </si>
  <si>
    <t xml:space="preserve">Net income (from IS)</t>
  </si>
  <si>
    <t xml:space="preserve">Share-based compensation</t>
  </si>
  <si>
    <t xml:space="preserve">Changes in working capital &amp; other</t>
  </si>
  <si>
    <t xml:space="preserve">Cash from operating activities</t>
  </si>
  <si>
    <t xml:space="preserve">INVESTING ACTIVITIES</t>
  </si>
  <si>
    <t xml:space="preserve">Cash from investing activities</t>
  </si>
  <si>
    <t xml:space="preserve">Capital expenditures</t>
  </si>
  <si>
    <t xml:space="preserve">Other investing (forecast: marketable securities, sold to hold cash at the Assumptions!B96 minimum)</t>
  </si>
  <si>
    <t xml:space="preserve">Free cash flow (CFO − CapEx)</t>
  </si>
  <si>
    <t xml:space="preserve">FINANCING ACTIVITIES</t>
  </si>
  <si>
    <t xml:space="preserve">Dividends paid</t>
  </si>
  <si>
    <t xml:space="preserve">Share repurchases</t>
  </si>
  <si>
    <t xml:space="preserve">Net debt repayment &amp; other financing</t>
  </si>
  <si>
    <t xml:space="preserve">Cash from financing activities</t>
  </si>
  <si>
    <t xml:space="preserve">Net change in cash</t>
  </si>
  <si>
    <t xml:space="preserve">Cash &amp; equivalents, ending</t>
  </si>
  <si>
    <t xml:space="preserve">FREE CASH FLOW</t>
  </si>
  <si>
    <t xml:space="preserve">  FCF Margin %</t>
  </si>
  <si>
    <t xml:space="preserve">  CapEx / Revenue %</t>
  </si>
  <si>
    <t xml:space="preserve">Note: cash on the balance sheet (row 5) is this statement's ending cash. Marketable securities, other assets and liabilities are driven on the Assumptions sheet (rows 88 to 95); their movements appear in working capital or investing activities, so the balance sheet balances without a plug.</t>
  </si>
  <si>
    <t xml:space="preserve">RATIOS  |  Profitability, Returns, Liquidity, Leverage</t>
  </si>
  <si>
    <t xml:space="preserve">All metrics calculated from IS, BS, and CFS sheets: fully formula-driven</t>
  </si>
  <si>
    <t xml:space="preserve">PROFITABILITY MARGINS</t>
  </si>
  <si>
    <t xml:space="preserve">Gross margin %</t>
  </si>
  <si>
    <t xml:space="preserve">Operating margin %</t>
  </si>
  <si>
    <t xml:space="preserve">Net margin %</t>
  </si>
  <si>
    <t xml:space="preserve">EBITDA margin %</t>
  </si>
  <si>
    <t xml:space="preserve">GROWTH (YoY)</t>
  </si>
  <si>
    <t xml:space="preserve">Revenue growth %</t>
  </si>
  <si>
    <t xml:space="preserve">, </t>
  </si>
  <si>
    <t xml:space="preserve">Operating income growth %</t>
  </si>
  <si>
    <t xml:space="preserve">Net income growth %</t>
  </si>
  <si>
    <t xml:space="preserve">RETURNS</t>
  </si>
  <si>
    <t xml:space="preserve">Return on assets (ROA)</t>
  </si>
  <si>
    <t xml:space="preserve">Return on equity (ROE)</t>
  </si>
  <si>
    <t xml:space="preserve">Return on invested capital</t>
  </si>
  <si>
    <t xml:space="preserve">LEVERAGE &amp; LIQUIDITY</t>
  </si>
  <si>
    <t xml:space="preserve">Debt / Total capital</t>
  </si>
  <si>
    <t xml:space="preserve">Current ratio</t>
  </si>
  <si>
    <t xml:space="preserve">Net debt ($M)</t>
  </si>
  <si>
    <t xml:space="preserve">CASH FLOW METRICS</t>
  </si>
  <si>
    <t xml:space="preserve">Operating cash flow ($M)</t>
  </si>
  <si>
    <t xml:space="preserve">Free cash flow ($M)</t>
  </si>
  <si>
    <t xml:space="preserve">FCF margin %</t>
  </si>
  <si>
    <t xml:space="preserve">FCF / Net income</t>
  </si>
  <si>
    <t xml:space="preserve">CapEx / Revenue</t>
  </si>
  <si>
    <t xml:space="preserve">DCF VALUATION  |  Discounted Cash Flow</t>
  </si>
  <si>
    <t xml:space="preserve">Enterprise value via FCF discounting + Gordon Growth terminal | WACC × g sensitivity table</t>
  </si>
  <si>
    <t xml:space="preserve">Terminal</t>
  </si>
  <si>
    <t xml:space="preserve">UNLEVERED FREE CASH FLOW BUILD</t>
  </si>
  <si>
    <t xml:space="preserve">EBIT (operating income)</t>
  </si>
  <si>
    <t xml:space="preserve">× (1 − scenario tax rate)</t>
  </si>
  <si>
    <t xml:space="preserve">NOPAT</t>
  </si>
  <si>
    <t xml:space="preserve">+ Depreciation &amp; amortization</t>
  </si>
  <si>
    <t xml:space="preserve">− CapEx</t>
  </si>
  <si>
    <t xml:space="preserve">− Change in working capital</t>
  </si>
  <si>
    <t xml:space="preserve">Unlevered free cash flow</t>
  </si>
  <si>
    <t xml:space="preserve">Fiscal year end</t>
  </si>
  <si>
    <t xml:space="preserve">Years from valuation date</t>
  </si>
  <si>
    <t xml:space="preserve">Discount factor (at WACC)</t>
  </si>
  <si>
    <t xml:space="preserve">Present value</t>
  </si>
  <si>
    <t xml:space="preserve">FY2026 ended before the valuation date, so its cash is counted in FY26E net cash, not discounted.</t>
  </si>
  <si>
    <t xml:space="preserve">VALUATION SUMMARY</t>
  </si>
  <si>
    <t xml:space="preserve">Sum PV of forecast FCFs</t>
  </si>
  <si>
    <t xml:space="preserve">PV of terminal value</t>
  </si>
  <si>
    <t xml:space="preserve">Enterprise value</t>
  </si>
  <si>
    <t xml:space="preserve">+ Net cash (FY26E)</t>
  </si>
  <si>
    <t xml:space="preserve">Equity value</t>
  </si>
  <si>
    <t xml:space="preserve">÷ Diluted shares (M)</t>
  </si>
  <si>
    <t xml:space="preserve">Implied share price</t>
  </si>
  <si>
    <t xml:space="preserve">Current share price</t>
  </si>
  <si>
    <t xml:space="preserve">Upside / (downside)</t>
  </si>
  <si>
    <t xml:space="preserve">SENSITIVITY  |  Implied Share Price by WACC × Terminal Growth</t>
  </si>
  <si>
    <t xml:space="preserve">WACC ↓ / g →</t>
  </si>
  <si>
    <t xml:space="preserve">Rows are WACC and columns terminal growth, centred on the active scenario; the centre cell equals the headline price.</t>
  </si>
  <si>
    <t xml:space="preserve">SENSITIVITY  |  Implied Share Price by Revenue Growth × Operating Margin</t>
  </si>
  <si>
    <t xml:space="preserve">Simplified one-stage build (WACC Assumptions!B54, tax B50, CapEx G37, D&amp;A row 84). Axis values in blue are inputs. Separate from the main DCF, so its centre is not the headline price.</t>
  </si>
  <si>
    <t xml:space="preserve">Rev Growth ↓ / Op Margin →</t>
  </si>
  <si>
    <t xml:space="preserve">TORNADO  |  Sensitivity of Implied Share Price to Key Drivers (±1 standard move)</t>
  </si>
  <si>
    <t xml:space="preserve">Low Case</t>
  </si>
  <si>
    <t xml:space="preserve">High Case</t>
  </si>
  <si>
    <t xml:space="preserve">Low Price</t>
  </si>
  <si>
    <t xml:space="preserve">High Price</t>
  </si>
  <si>
    <t xml:space="preserve">Swing ($)</t>
  </si>
  <si>
    <t xml:space="preserve">Revenue growth (avg)</t>
  </si>
  <si>
    <t xml:space="preserve">-1.0%</t>
  </si>
  <si>
    <t xml:space="preserve">+1.0%</t>
  </si>
  <si>
    <t xml:space="preserve">Operating margin</t>
  </si>
  <si>
    <t xml:space="preserve">-200 bps</t>
  </si>
  <si>
    <t xml:space="preserve">+200 bps</t>
  </si>
  <si>
    <t xml:space="preserve">+100 bps</t>
  </si>
  <si>
    <t xml:space="preserve">-100 bps</t>
  </si>
  <si>
    <t xml:space="preserve">Lower WACC = higher PV</t>
  </si>
  <si>
    <t xml:space="preserve">Terminal growth</t>
  </si>
  <si>
    <t xml:space="preserve">-50 bps</t>
  </si>
  <si>
    <t xml:space="preserve">+50 bps</t>
  </si>
  <si>
    <t xml:space="preserve">Gordon growth tail</t>
  </si>
  <si>
    <t xml:space="preserve">Higher tax cuts NOPAT</t>
  </si>
  <si>
    <t xml:space="preserve">CapEx % revenue</t>
  </si>
  <si>
    <t xml:space="preserve">Higher capex = lower FCF</t>
  </si>
  <si>
    <t xml:space="preserve">FOOTBALL FIELD  |  Valuation Range by Methodology (Implied $/share)</t>
  </si>
  <si>
    <t xml:space="preserve">Low</t>
  </si>
  <si>
    <t xml:space="preserve">Mid</t>
  </si>
  <si>
    <t xml:space="preserve">High</t>
  </si>
  <si>
    <t xml:space="preserve">Range Width</t>
  </si>
  <si>
    <t xml:space="preserve">DCF, WACC ±50 bps × g ±50 bps</t>
  </si>
  <si>
    <t xml:space="preserve">Main DCF, active scenario</t>
  </si>
  <si>
    <t xml:space="preserve">Simplified DCF, growth × margin grid</t>
  </si>
  <si>
    <t xml:space="preserve">One-stage build, separate from the main DCF</t>
  </si>
  <si>
    <t xml:space="preserve">DCF, Bear / Base / Bull scenarios</t>
  </si>
  <si>
    <t xml:space="preserve">Bear and Bull recorded with each scenario active on 2 Oct 2026; Base links to B26</t>
  </si>
  <si>
    <t xml:space="preserve">P/E multiple (22-30x)</t>
  </si>
  <si>
    <t xml:space="preserve">FY29E diluted EPS × multiples on Assumptions row 97, discounted</t>
  </si>
  <si>
    <t xml:space="preserve">EV/EBITDA (16-22x)</t>
  </si>
  <si>
    <t xml:space="preserve">FY29E EBITDA × multiples on Assumptions row 98, discounted, plus FY26E net cash</t>
  </si>
  <si>
    <t xml:space="preserve">52-week range</t>
  </si>
  <si>
    <t xml:space="preserve">52-week closing range to 28 Sep 2026 (STOCKHISTORY)</t>
  </si>
  <si>
    <t xml:space="preserve">Analyst target (consensus)</t>
  </si>
  <si>
    <t xml:space="preserve">44 analysts, low / median / high, stockanalysis.com, 29 Sep 2026</t>
  </si>
  <si>
    <t xml:space="preserve">Close on 28 Sep 2026, Assumptions!B59</t>
  </si>
  <si>
    <t xml:space="preserve">DATA VALIDATION  |  10-K Source Audit Trail</t>
  </si>
  <si>
    <t xml:space="preserve">Live error-detection dashboard: historical values vs. 10-K + structural integrity + forecast sanity checks</t>
  </si>
  <si>
    <t xml:space="preserve">MODEL HEALTH</t>
  </si>
  <si>
    <t xml:space="preserve">SOURCE DOCUMENTS</t>
  </si>
  <si>
    <t xml:space="preserve">[1]</t>
  </si>
  <si>
    <t xml:space="preserve">Apple Inc. Form 10-K FY2025</t>
  </si>
  <si>
    <t xml:space="preserve">Filed Oct 31, 2025</t>
  </si>
  <si>
    <t xml:space="preserve">Primary source for FY23, FY24, FY25 line items</t>
  </si>
  <si>
    <t xml:space="preserve">Open 10-K on SEC.gov →</t>
  </si>
  <si>
    <t xml:space="preserve">[2]</t>
  </si>
  <si>
    <t xml:space="preserve">Apple Inc. Form 10-K FY2022</t>
  </si>
  <si>
    <t xml:space="preserve">Filed Oct 28, 2022</t>
  </si>
  <si>
    <t xml:space="preserve">Primary source for FY21 and FY22 line items</t>
  </si>
  <si>
    <t xml:space="preserve">[3]</t>
  </si>
  <si>
    <t xml:space="preserve">Apple Inc. Form 10-K FY2023</t>
  </si>
  <si>
    <t xml:space="preserve">Filed Nov 3, 2023</t>
  </si>
  <si>
    <t xml:space="preserve">Cross-verification for FY21, FY22, FY23</t>
  </si>
  <si>
    <t xml:space="preserve">[4]</t>
  </si>
  <si>
    <t xml:space="preserve">Apple FY25 Q4 Press Release</t>
  </si>
  <si>
    <t xml:space="preserve">Released Oct 30, 2025</t>
  </si>
  <si>
    <t xml:space="preserve">Full FY25 + FY24 consolidated statements PDF</t>
  </si>
  <si>
    <t xml:space="preserve">Open Apple PDF →</t>
  </si>
  <si>
    <t xml:space="preserve">[5]</t>
  </si>
  <si>
    <t xml:space="preserve">Apple FY22 Q4 Press Release</t>
  </si>
  <si>
    <t xml:space="preserve">Released Oct 27, 2022</t>
  </si>
  <si>
    <t xml:space="preserve">Full FY22 + FY21 consolidated statements PDF</t>
  </si>
  <si>
    <t xml:space="preserve">[6]</t>
  </si>
  <si>
    <t xml:space="preserve">SEC EDGAR: All Apple 10-K filings</t>
  </si>
  <si>
    <t xml:space="preserve">Live SEC database</t>
  </si>
  <si>
    <t xml:space="preserve">Browse all Apple Inc. 10-K filings (CIK: 0000320193)</t>
  </si>
  <si>
    <t xml:space="preserve">Browse SEC EDGAR →</t>
  </si>
  <si>
    <t xml:space="preserve">[7]</t>
  </si>
  <si>
    <t xml:space="preserve">Apple Investor Relations</t>
  </si>
  <si>
    <t xml:space="preserve">Live company page</t>
  </si>
  <si>
    <t xml:space="preserve">All SEC filings, press releases, financial data</t>
  </si>
  <si>
    <t xml:space="preserve">Open Apple IR page →</t>
  </si>
  <si>
    <t xml:space="preserve">INCOME STATEMENT  |  Historical Validation (USD Millions)</t>
  </si>
  <si>
    <t xml:space="preserve">Line item</t>
  </si>
  <si>
    <t xml:space="preserve">Check</t>
  </si>
  <si>
    <t xml:space="preserve">Source</t>
  </si>
  <si>
    <t xml:space="preserve">10-K FY22/FY25 p.29</t>
  </si>
  <si>
    <t xml:space="preserve">Services revenue</t>
  </si>
  <si>
    <t xml:space="preserve">Total revenue (calc)</t>
  </si>
  <si>
    <t xml:space="preserve">Calculated</t>
  </si>
  <si>
    <t xml:space="preserve">Gross profit (calc)</t>
  </si>
  <si>
    <t xml:space="preserve">R&amp;D expense</t>
  </si>
  <si>
    <t xml:space="preserve">SG&amp;A expense</t>
  </si>
  <si>
    <t xml:space="preserve">Operating income (calc)</t>
  </si>
  <si>
    <t xml:space="preserve">Other income/(expense)</t>
  </si>
  <si>
    <t xml:space="preserve">Pre-tax income (calc)</t>
  </si>
  <si>
    <t xml:space="preserve">Net income (calc)</t>
  </si>
  <si>
    <t xml:space="preserve">BALANCE SHEET  |  Historical Validation (USD Millions)</t>
  </si>
  <si>
    <t xml:space="preserve">Cash &amp; equivalents</t>
  </si>
  <si>
    <t xml:space="preserve">10-K FY22/FY23/FY25 p.31</t>
  </si>
  <si>
    <t xml:space="preserve">Marketable securities (current)</t>
  </si>
  <si>
    <t xml:space="preserve">Marketable securities (non-curr)</t>
  </si>
  <si>
    <t xml:space="preserve">Total current assets</t>
  </si>
  <si>
    <t xml:space="preserve">Total assets</t>
  </si>
  <si>
    <t xml:space="preserve">Term debt (current)</t>
  </si>
  <si>
    <t xml:space="preserve">10-K FY22/FY23/FY25 p.31; Q4 statements</t>
  </si>
  <si>
    <t xml:space="preserve">Total current liabilities</t>
  </si>
  <si>
    <t xml:space="preserve">Long-term debt (non-current)</t>
  </si>
  <si>
    <t xml:space="preserve">Total liabilities</t>
  </si>
  <si>
    <t xml:space="preserve">Common stock and APIC</t>
  </si>
  <si>
    <t xml:space="preserve">Retained earnings (deficit)</t>
  </si>
  <si>
    <t xml:space="preserve">Accumulated OCI (loss)</t>
  </si>
  <si>
    <t xml:space="preserve">Shareholders' equity</t>
  </si>
  <si>
    <t xml:space="preserve">Total liabilities + equity</t>
  </si>
  <si>
    <t xml:space="preserve">Calculated (= Total assets)</t>
  </si>
  <si>
    <t xml:space="preserve">BALANCE CHECK (must = 0)</t>
  </si>
  <si>
    <t xml:space="preserve">Audit row</t>
  </si>
  <si>
    <t xml:space="preserve">CASH FLOW STATEMENT  |  Historical Validation (USD Millions)</t>
  </si>
  <si>
    <t xml:space="preserve">Beginning cash</t>
  </si>
  <si>
    <t xml:space="preserve">10-K FY22/FY25 p.33</t>
  </si>
  <si>
    <t xml:space="preserve">Changes in WC &amp; other (plug)</t>
  </si>
  <si>
    <t xml:space="preserve">10-K (CFO - NI - D&amp;A - SBC)</t>
  </si>
  <si>
    <t xml:space="preserve">Cash from operations</t>
  </si>
  <si>
    <t xml:space="preserve">Other investing</t>
  </si>
  <si>
    <t xml:space="preserve">10-K (Total CFI - CapEx)</t>
  </si>
  <si>
    <t xml:space="preserve">Cash from investing</t>
  </si>
  <si>
    <t xml:space="preserve">Free cash flow (CFO - CapEx)</t>
  </si>
  <si>
    <t xml:space="preserve">Other financing</t>
  </si>
  <si>
    <t xml:space="preserve">10-K (Total CFF - Div - Buybacks)</t>
  </si>
  <si>
    <t xml:space="preserve">Cash from financing</t>
  </si>
  <si>
    <t xml:space="preserve">Ending cash</t>
  </si>
  <si>
    <t xml:space="preserve">VALIDATION SUMMARY</t>
  </si>
  <si>
    <t xml:space="preserve">Total historical data points verified</t>
  </si>
  <si>
    <t xml:space="preserve">Data points matching 10-K filings</t>
  </si>
  <si>
    <t xml:space="preserve">Mismatches</t>
  </si>
  <si>
    <t xml:space="preserve">Balance sheet check (Assets - L - E)</t>
  </si>
  <si>
    <t xml:space="preserve">Cash flow ties to BS change in cash</t>
  </si>
  <si>
    <t xml:space="preserve">Projection methodology</t>
  </si>
  <si>
    <t xml:space="preserve">Driver-based: segment growth, GM%, OpEx growth, WC days, capital return %</t>
  </si>
  <si>
    <t xml:space="preserve">Balancing item</t>
  </si>
  <si>
    <t xml:space="preserve">None: cash flows from the cash flow statement and every other line has its own driver, so the balance check in the structural tests can fail.</t>
  </si>
  <si>
    <t xml:space="preserve">VALIDATION METHODOLOGY</t>
  </si>
  <si>
    <t xml:space="preserve">1. Every hardcoded historical value (BLUE cells in IS, BS, CFS) was cross-referenced against Apple Inc.'s SEC 10-K filings.</t>
  </si>
  <si>
    <t xml:space="preserve">2. Bundled lines (e.g., "Other current liabilities") are footnoted with the components that sum to the model figure.</t>
  </si>
  <si>
    <t xml:space="preserve">3. All calculated totals (subtotals, sums) tie to the 10-K reported totals via formula.</t>
  </si>
  <si>
    <t xml:space="preserve">4. The balance sheet balances in all 9 years (5 historical, 4 forecast) without a plug; see the structural checks.</t>
  </si>
  <si>
    <t xml:space="preserve">5. Cash flow statement ending cash ties to balance sheet cash &amp; equivalents in the next period.</t>
  </si>
  <si>
    <t xml:space="preserve">6. Validation performed: May 2026 against 10-K filings dated Oct 2022, Nov 2023, Oct 2025.</t>
  </si>
  <si>
    <t xml:space="preserve">7. Web verification cross-checked SEC EDGAR (sec.gov) and Apple Investor Relations (apple.com/newsroom) PDFs.</t>
  </si>
  <si>
    <t xml:space="preserve">FORECAST SANITY CHECKS  |  FY2026E – FY2029E</t>
  </si>
  <si>
    <t xml:space="preserve">Plausibility band tests: flags forecasts that drift outside reasonable financial ranges.</t>
  </si>
  <si>
    <t xml:space="preserve">Expected range</t>
  </si>
  <si>
    <t xml:space="preserve">Revenue growth in [-5%, +15%] band</t>
  </si>
  <si>
    <t xml:space="preserve">-5% to +15%</t>
  </si>
  <si>
    <t xml:space="preserve">Gross margin in [40%, 55%] band</t>
  </si>
  <si>
    <t xml:space="preserve">40% to 55%</t>
  </si>
  <si>
    <t xml:space="preserve">Operating margin in [25%, 40%] band</t>
  </si>
  <si>
    <t xml:space="preserve">25% to 40%</t>
  </si>
  <si>
    <t xml:space="preserve">Effective tax rate in [10%, 25%]</t>
  </si>
  <si>
    <t xml:space="preserve">10% to 25%</t>
  </si>
  <si>
    <t xml:space="preserve">Net margin in [20%, 35%] band</t>
  </si>
  <si>
    <t xml:space="preserve">20% to 35%</t>
  </si>
  <si>
    <t xml:space="preserve">CapEx % revenue in [1.5%, 5%]</t>
  </si>
  <si>
    <t xml:space="preserve">1.5% to 5%</t>
  </si>
  <si>
    <t xml:space="preserve">FCF margin in [20%, 40%]</t>
  </si>
  <si>
    <t xml:space="preserve">20% to 40%</t>
  </si>
  <si>
    <t xml:space="preserve">Net income &gt; 0</t>
  </si>
  <si>
    <t xml:space="preserve">Must be positive</t>
  </si>
  <si>
    <t xml:space="preserve">Cash + securities &gt; 0</t>
  </si>
  <si>
    <t xml:space="preserve">Liquidity must be &gt; 0</t>
  </si>
  <si>
    <t xml:space="preserve">Cash at or above the FY21 to FY25 minimum</t>
  </si>
  <si>
    <t xml:space="preserve">STRUCTURAL CHECKS  |  Cross-Statement Tie-Outs</t>
  </si>
  <si>
    <t xml:space="preserve">Critical integrity checks across IS, BS, CFS: if any fail, the model has a structural problem.</t>
  </si>
  <si>
    <t xml:space="preserve">BS balance: Assets = Liab + Equity</t>
  </si>
  <si>
    <t xml:space="preserve">CFS ending cash = BS cash (FY21-FY23 CFS includes restricted cash)</t>
  </si>
  <si>
    <t xml:space="preserve">CFS Net Income = IS Net Income</t>
  </si>
  <si>
    <t xml:space="preserve">CFS D&amp;A = IS D&amp;A</t>
  </si>
  <si>
    <t xml:space="preserve">PIVOT ANALYSIS  |  APPLE INC. (NASDAQ: AAPL)</t>
  </si>
  <si>
    <t xml:space="preserve">Slice-and-dice analytical layer  |  Source: IS, CFS, Ratios sheets (direct cell refs)  |  Filter via cell B7</t>
  </si>
  <si>
    <t xml:space="preserve">PERIOD TYPE FILTER</t>
  </si>
  <si>
    <t xml:space="preserve">ACTIVE PERIODS</t>
  </si>
  <si>
    <t xml:space="preserve">All</t>
  </si>
  <si>
    <t xml:space="preserve">Click B7 to toggle (All / Actual / Estimate). All four pivot tables and charts update instantly.</t>
  </si>
  <si>
    <t xml:space="preserve">1. REVENUE MIX  |  Products vs Services Revenue ($M)</t>
  </si>
  <si>
    <t xml:space="preserve">2. MARGINS  |  Profitability Trajectory (% of Revenue)</t>
  </si>
  <si>
    <t xml:space="preserve">3. FREE CASH FLOW  |  Operating Cash + CapEx → FCF ($M)</t>
  </si>
  <si>
    <t xml:space="preserve">Free cash flow</t>
  </si>
  <si>
    <t xml:space="preserve">4. CAPITAL RETURN  |  Dividends + Share Repurchases ($M)</t>
  </si>
  <si>
    <t xml:space="preserve">Pivots auto-update via direct cell references to IS, CFS, and Ratios sheets  |  Filter via cell B7  |  All values traceable to source statements</t>
  </si>
</sst>
</file>

<file path=xl/styles.xml><?xml version="1.0" encoding="utf-8"?>
<styleSheet xmlns="http://schemas.openxmlformats.org/spreadsheetml/2006/main">
  <numFmts count="24">
    <numFmt numFmtId="164" formatCode="General"/>
    <numFmt numFmtId="165" formatCode="#,##0"/>
    <numFmt numFmtId="166" formatCode="[$$-409]#,##0.0\B"/>
    <numFmt numFmtId="167" formatCode="0.0%"/>
    <numFmt numFmtId="168" formatCode="#,##0;\(#,##0\);\-"/>
    <numFmt numFmtId="169" formatCode="0.00"/>
    <numFmt numFmtId="170" formatCode="&quot;Ksh&quot;0.00"/>
    <numFmt numFmtId="171" formatCode="0.0"/>
    <numFmt numFmtId="172" formatCode="[$$-409]#,##0\B"/>
    <numFmt numFmtId="173" formatCode="0%"/>
    <numFmt numFmtId="174" formatCode="0.0%;\(0.0%\);\—"/>
    <numFmt numFmtId="175" formatCode="0.00%"/>
    <numFmt numFmtId="176" formatCode="0.00%;\(0.00%\);\—"/>
    <numFmt numFmtId="177" formatCode="#,##0.0"/>
    <numFmt numFmtId="178" formatCode="\$#,##0.00"/>
    <numFmt numFmtId="179" formatCode="d\ mmm\ yyyy"/>
    <numFmt numFmtId="180" formatCode="0\x"/>
    <numFmt numFmtId="181" formatCode="@"/>
    <numFmt numFmtId="182" formatCode="[$$-409]#,##0.00"/>
    <numFmt numFmtId="183" formatCode="0.0%;\(0.0%\);\-"/>
    <numFmt numFmtId="184" formatCode="#,##0;\(#,##0\)"/>
    <numFmt numFmtId="185" formatCode="0.00\x"/>
    <numFmt numFmtId="186" formatCode="0.0000"/>
    <numFmt numFmtId="187" formatCode="\+0.0%;\-0.0%;\—"/>
  </numFmts>
  <fonts count="1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Calibri"/>
      <family val="0"/>
      <charset val="1"/>
    </font>
    <font>
      <i val="true"/>
      <sz val="12"/>
      <color rgb="FFA1A1A6"/>
      <name val="Calibri"/>
      <family val="0"/>
      <charset val="1"/>
    </font>
    <font>
      <b val="true"/>
      <sz val="14"/>
      <color rgb="FF1D1D1F"/>
      <name val="Calibri"/>
      <family val="0"/>
      <charset val="1"/>
    </font>
    <font>
      <b val="true"/>
      <sz val="10"/>
      <color rgb="FF1D1D1F"/>
      <name val="Calibri"/>
      <family val="0"/>
      <charset val="1"/>
    </font>
    <font>
      <sz val="10"/>
      <color rgb="FF1D1D1F"/>
      <name val="Calibri"/>
      <family val="0"/>
      <charset val="1"/>
    </font>
    <font>
      <b val="true"/>
      <sz val="10"/>
      <color rgb="FF0071E3"/>
      <name val="Calibri"/>
      <family val="0"/>
      <charset val="1"/>
    </font>
    <font>
      <b val="true"/>
      <sz val="10"/>
      <color rgb="FF34C759"/>
      <name val="Calibri"/>
      <family val="0"/>
      <charset val="1"/>
    </font>
    <font>
      <b val="true"/>
      <sz val="10"/>
      <color rgb="FFFF3B30"/>
      <name val="Calibri"/>
      <family val="0"/>
      <charset val="1"/>
    </font>
    <font>
      <b val="true"/>
      <sz val="11"/>
      <color rgb="FF0A2342"/>
      <name val="Calibri"/>
      <family val="0"/>
      <charset val="1"/>
    </font>
    <font>
      <sz val="10"/>
      <color rgb="FF0B1426"/>
      <name val="Calibri"/>
      <family val="0"/>
      <charset val="1"/>
    </font>
    <font>
      <i val="true"/>
      <sz val="10"/>
      <color rgb="FF5A6478"/>
      <name val="Calibri"/>
      <family val="0"/>
      <charset val="1"/>
    </font>
    <font>
      <b val="true"/>
      <sz val="18"/>
      <color rgb="FFFFFFFF"/>
      <name val="Helvetica Neue"/>
      <family val="0"/>
      <charset val="1"/>
    </font>
    <font>
      <sz val="10"/>
      <color rgb="FF86868B"/>
      <name val="Helvetica Neue"/>
      <family val="0"/>
      <charset val="1"/>
    </font>
    <font>
      <sz val="14"/>
      <color rgb="FF86868B"/>
      <name val="Calibri"/>
      <family val="2"/>
      <charset val="1"/>
    </font>
    <font>
      <b val="true"/>
      <sz val="9"/>
      <color rgb="FF86868B"/>
      <name val="Helvetica Neue"/>
      <family val="0"/>
      <charset val="1"/>
    </font>
    <font>
      <sz val="14"/>
      <color theme="1"/>
      <name val="Calibri"/>
      <family val="2"/>
      <charset val="1"/>
    </font>
    <font>
      <b val="true"/>
      <sz val="22"/>
      <color rgb="FF1D1D1F"/>
      <name val="Helvetica Neue"/>
      <family val="0"/>
      <charset val="1"/>
    </font>
    <font>
      <sz val="10"/>
      <color rgb="FF34C759"/>
      <name val="Helvetica Neue"/>
      <family val="0"/>
      <charset val="1"/>
    </font>
    <font>
      <b val="true"/>
      <sz val="26"/>
      <color rgb="FF1D1D1F"/>
      <name val="Helvetica Neue"/>
      <family val="0"/>
      <charset val="1"/>
    </font>
    <font>
      <b val="true"/>
      <sz val="9"/>
      <color rgb="FF86868B"/>
      <name val="Calibri"/>
      <family val="2"/>
      <charset val="1"/>
    </font>
    <font>
      <b val="true"/>
      <sz val="11"/>
      <color rgb="FF1D1D1F"/>
      <name val="Helvetica Neue"/>
      <family val="0"/>
      <charset val="1"/>
    </font>
    <font>
      <sz val="9"/>
      <color rgb="FF86868B"/>
      <name val="Helvetica Neue"/>
      <family val="0"/>
      <charset val="1"/>
    </font>
    <font>
      <b val="true"/>
      <sz val="8"/>
      <color rgb="FF86868B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color rgb="FF86868B"/>
      <name val="Calibri"/>
      <family val="2"/>
      <charset val="1"/>
    </font>
    <font>
      <b val="true"/>
      <sz val="11"/>
      <color rgb="FF1D1D1F"/>
      <name val="Calibri"/>
      <family val="2"/>
      <charset val="1"/>
    </font>
    <font>
      <sz val="8"/>
      <color rgb="FF86868B"/>
      <name val="Calibri"/>
      <family val="2"/>
      <charset val="1"/>
    </font>
    <font>
      <b val="true"/>
      <i val="true"/>
      <sz val="8"/>
      <color rgb="FF86868B"/>
      <name val="Calibri"/>
      <family val="2"/>
      <charset val="1"/>
    </font>
    <font>
      <i val="true"/>
      <sz val="8"/>
      <color rgb="FF86868B"/>
      <name val="Calibri"/>
      <family val="2"/>
      <charset val="1"/>
    </font>
    <font>
      <i val="true"/>
      <sz val="9"/>
      <color rgb="FF86868B"/>
      <name val="Calibri"/>
      <family val="2"/>
      <charset val="1"/>
    </font>
    <font>
      <sz val="10"/>
      <color rgb="FF1D1D1F"/>
      <name val="Helvetica Neue"/>
      <family val="0"/>
      <charset val="1"/>
    </font>
    <font>
      <sz val="9"/>
      <color rgb="FF1D1D1F"/>
      <name val="Helvetica Neue"/>
      <family val="0"/>
      <charset val="1"/>
    </font>
    <font>
      <b val="true"/>
      <sz val="10"/>
      <color rgb="FF1D1D1F"/>
      <name val="Helvetica Neue"/>
      <family val="0"/>
      <charset val="1"/>
    </font>
    <font>
      <b val="true"/>
      <sz val="9"/>
      <color rgb="FF0071E3"/>
      <name val="Helvetica Neue"/>
      <family val="0"/>
      <charset val="1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F5F5F7"/>
      <name val="Calibri"/>
      <family val="2"/>
      <charset val="1"/>
    </font>
    <font>
      <sz val="11"/>
      <color rgb="FF40404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rgb="FF000000"/>
      <name val="Helvetica Neue"/>
      <family val="0"/>
      <charset val="1"/>
    </font>
    <font>
      <b val="true"/>
      <sz val="11"/>
      <color rgb="FF404040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0"/>
      <charset val="1"/>
    </font>
    <font>
      <sz val="9"/>
      <color rgb="FF595959"/>
      <name val="Calibri"/>
      <family val="2"/>
    </font>
    <font>
      <sz val="10"/>
      <color rgb="FF000000"/>
      <name val="Calibri"/>
      <family val="2"/>
    </font>
    <font>
      <b val="true"/>
      <sz val="14"/>
      <color rgb="FFFFFFFF"/>
      <name val="Calibri"/>
      <family val="0"/>
      <charset val="1"/>
    </font>
    <font>
      <i val="true"/>
      <sz val="10"/>
      <color rgb="FFA1A1A6"/>
      <name val="Calibri"/>
      <family val="0"/>
      <charset val="1"/>
    </font>
    <font>
      <b val="true"/>
      <i val="true"/>
      <sz val="10"/>
      <color rgb="FF1D1D1F"/>
      <name val="Calibri"/>
      <family val="0"/>
      <charset val="1"/>
    </font>
    <font>
      <i val="true"/>
      <sz val="8"/>
      <color rgb="FF86868B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1"/>
      <color rgb="FF34C759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sz val="10"/>
      <color rgb="FF1D1D1F"/>
      <name val="Calibri"/>
      <family val="2"/>
      <charset val="1"/>
    </font>
    <font>
      <sz val="10"/>
      <color rgb="FF34C759"/>
      <name val="Calibri"/>
      <family val="0"/>
      <charset val="1"/>
    </font>
    <font>
      <sz val="11"/>
      <color rgb="FF0071E3"/>
      <name val="Calibri"/>
      <family val="2"/>
      <charset val="1"/>
    </font>
    <font>
      <sz val="11"/>
      <color rgb="FF0000FF"/>
      <name val="Calibri"/>
      <family val="2"/>
      <charset val="1"/>
    </font>
    <font>
      <sz val="10"/>
      <color rgb="FF0071E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2"/>
      <color rgb="FF1A2B4A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0"/>
      <color rgb="FF333333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sz val="9"/>
      <color rgb="FF666666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color rgb="FF0066CC"/>
      <name val="Calibri"/>
      <family val="0"/>
      <charset val="1"/>
    </font>
    <font>
      <b val="true"/>
      <sz val="11"/>
      <color rgb="FF0070C0"/>
      <name val="Calibri"/>
      <family val="0"/>
      <charset val="1"/>
    </font>
    <font>
      <sz val="9"/>
      <color rgb="FF000000"/>
      <name val="Tahoma"/>
      <family val="2"/>
      <charset val="1"/>
    </font>
    <font>
      <b val="true"/>
      <sz val="10"/>
      <color rgb="FF1D1D1F"/>
      <name val="Calibri"/>
      <family val="2"/>
      <charset val="1"/>
    </font>
    <font>
      <i val="true"/>
      <sz val="10"/>
      <color rgb="FF1D1D1F"/>
      <name val="Calibri"/>
      <family val="2"/>
      <charset val="1"/>
    </font>
    <font>
      <i val="true"/>
      <sz val="10"/>
      <color rgb="FF5A6478"/>
      <name val="Calibri"/>
      <family val="2"/>
      <charset val="1"/>
    </font>
    <font>
      <i val="true"/>
      <sz val="9"/>
      <color rgb="FF1D1D1F"/>
      <name val="Calibri"/>
      <family val="0"/>
      <charset val="1"/>
    </font>
    <font>
      <i val="true"/>
      <sz val="10"/>
      <color rgb="FF000000"/>
      <name val="Calibri"/>
      <family val="2"/>
      <charset val="1"/>
    </font>
    <font>
      <b val="true"/>
      <sz val="10"/>
      <color rgb="FF0000FF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i val="true"/>
      <sz val="9"/>
      <color rgb="FF5A6478"/>
      <name val="Calibri"/>
      <family val="0"/>
      <charset val="1"/>
    </font>
    <font>
      <b val="true"/>
      <sz val="10"/>
      <color rgb="FFFFFFFF"/>
      <name val="Calibri"/>
      <family val="2"/>
      <charset val="1"/>
    </font>
    <font>
      <sz val="11"/>
      <color rgb="FF1D1D1F"/>
      <name val="Calibri"/>
      <family val="2"/>
      <charset val="1"/>
    </font>
    <font>
      <sz val="9"/>
      <color rgb="FF86868B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b val="true"/>
      <i val="true"/>
      <sz val="9"/>
      <color rgb="FF86868B"/>
      <name val="Calibri"/>
      <family val="2"/>
      <charset val="1"/>
    </font>
    <font>
      <b val="true"/>
      <sz val="9"/>
      <color rgb="FF000000"/>
      <name val="Tahoma"/>
      <family val="0"/>
      <charset val="1"/>
    </font>
    <font>
      <b val="true"/>
      <sz val="9"/>
      <color rgb="FF000000"/>
      <name val="Tahoma"/>
      <family val="2"/>
      <charset val="1"/>
    </font>
    <font>
      <b val="true"/>
      <sz val="16"/>
      <color rgb="FFFFFFFF"/>
      <name val="Calibri"/>
      <family val="0"/>
      <charset val="1"/>
    </font>
    <font>
      <b val="true"/>
      <sz val="11"/>
      <color rgb="FFFFFFFF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sz val="10"/>
      <color rgb="FF000000"/>
      <name val="Calibri"/>
      <family val="2"/>
      <charset val="1"/>
    </font>
    <font>
      <b val="true"/>
      <sz val="11"/>
      <color rgb="FF0070C0"/>
      <name val="Calibri"/>
      <family val="2"/>
      <charset val="1"/>
    </font>
    <font>
      <i val="true"/>
      <sz val="11"/>
      <color theme="1"/>
      <name val="Calibri"/>
      <family val="2"/>
      <charset val="1"/>
    </font>
    <font>
      <i val="true"/>
      <sz val="9"/>
      <color rgb="FF595959"/>
      <name val="Calibri"/>
      <family val="2"/>
      <charset val="1"/>
    </font>
    <font>
      <sz val="10"/>
      <color rgb="FF86868B"/>
      <name val="Calibri"/>
      <family val="0"/>
      <charset val="1"/>
    </font>
    <font>
      <i val="true"/>
      <sz val="9"/>
      <color rgb="FF0000FF"/>
      <name val="Calibri"/>
      <family val="2"/>
      <charset val="1"/>
    </font>
    <font>
      <i val="true"/>
      <sz val="9"/>
      <color rgb="FF0071E3"/>
      <name val="Calibri"/>
      <family val="0"/>
      <charset val="1"/>
    </font>
    <font>
      <i val="true"/>
      <sz val="9"/>
      <color rgb="FF808080"/>
      <name val="Calibri"/>
      <family val="2"/>
      <charset val="1"/>
    </font>
    <font>
      <sz val="10"/>
      <color rgb="FF008000"/>
      <name val="Calibri"/>
      <family val="2"/>
      <charset val="1"/>
    </font>
    <font>
      <b val="true"/>
      <sz val="10"/>
      <color rgb="FF0000FF"/>
      <name val="Calibri"/>
      <family val="0"/>
      <charset val="1"/>
    </font>
    <font>
      <sz val="9"/>
      <color rgb="FFC00000"/>
      <name val="Calibri"/>
      <family val="0"/>
      <charset val="1"/>
    </font>
    <font>
      <sz val="9"/>
      <color rgb="FF107C41"/>
      <name val="Calibri"/>
      <family val="0"/>
      <charset val="1"/>
    </font>
    <font>
      <sz val="10"/>
      <color rgb="FFC00000"/>
      <name val="Calibri"/>
      <family val="0"/>
      <charset val="1"/>
    </font>
    <font>
      <sz val="10"/>
      <color rgb="FF107C41"/>
      <name val="Calibri"/>
      <family val="0"/>
      <charset val="1"/>
    </font>
    <font>
      <b val="true"/>
      <sz val="10"/>
      <color rgb="FF1A2B4A"/>
      <name val="Calibri"/>
      <family val="0"/>
      <charset val="1"/>
    </font>
    <font>
      <b val="true"/>
      <sz val="10"/>
      <color rgb="FF0066CC"/>
      <name val="Calibri"/>
      <family val="0"/>
      <charset val="1"/>
    </font>
    <font>
      <i val="true"/>
      <sz val="10"/>
      <color rgb="FF666666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u val="single"/>
      <sz val="10"/>
      <color rgb="FF0071E3"/>
      <name val="Calibri"/>
      <family val="0"/>
      <charset val="1"/>
    </font>
    <font>
      <b val="true"/>
      <sz val="11"/>
      <color rgb="FF0FA958"/>
      <name val="Calibri"/>
      <family val="0"/>
      <charset val="1"/>
    </font>
    <font>
      <b val="true"/>
      <sz val="10"/>
      <color rgb="FF0FA958"/>
      <name val="Calibri"/>
      <family val="2"/>
      <charset val="1"/>
    </font>
    <font>
      <b val="true"/>
      <sz val="10"/>
      <color rgb="FF008000"/>
      <name val="Calibri"/>
      <family val="2"/>
      <charset val="1"/>
    </font>
    <font>
      <b val="true"/>
      <sz val="10"/>
      <color rgb="FFFF0000"/>
      <name val="Calibri"/>
      <family val="2"/>
      <charset val="1"/>
    </font>
    <font>
      <sz val="10"/>
      <color rgb="FF0FA958"/>
      <name val="Calibri"/>
      <family val="2"/>
      <charset val="1"/>
    </font>
    <font>
      <b val="true"/>
      <sz val="10"/>
      <color rgb="FF0FA958"/>
      <name val="Calibri"/>
      <family val="0"/>
      <charset val="1"/>
    </font>
    <font>
      <sz val="9"/>
      <color rgb="FF1D1D1F"/>
      <name val="Calibri"/>
      <family val="0"/>
      <charset val="1"/>
    </font>
    <font>
      <b val="true"/>
      <sz val="12"/>
      <color rgb="FFFFFFFF"/>
      <name val="Calibri"/>
      <family val="2"/>
      <charset val="1"/>
    </font>
    <font>
      <i val="true"/>
      <sz val="11"/>
      <color rgb="FF666666"/>
      <name val="Calibri"/>
      <family val="2"/>
      <charset val="1"/>
    </font>
    <font>
      <sz val="11"/>
      <color rgb="FF999999"/>
      <name val="Calibri"/>
      <family val="2"/>
      <charset val="1"/>
    </font>
    <font>
      <b val="true"/>
      <sz val="18"/>
      <color rgb="FFFFFFFF"/>
      <name val="Calibri"/>
      <family val="0"/>
      <charset val="1"/>
    </font>
    <font>
      <b val="true"/>
      <sz val="10"/>
      <color rgb="FF5A6478"/>
      <name val="Calibri"/>
      <family val="0"/>
      <charset val="1"/>
    </font>
    <font>
      <b val="true"/>
      <sz val="16"/>
      <color rgb="FF1D1D1F"/>
      <name val="Calibri"/>
      <family val="0"/>
      <charset val="1"/>
    </font>
    <font>
      <b val="true"/>
      <sz val="14"/>
      <color rgb="FF0071E3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i val="true"/>
      <sz val="9"/>
      <color rgb="FFA1A1A6"/>
      <name val="Calibri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D1D1F"/>
        <bgColor rgb="FF0B1426"/>
      </patternFill>
    </fill>
    <fill>
      <patternFill patternType="solid">
        <fgColor rgb="FF061A33"/>
        <bgColor rgb="FF0B1426"/>
      </patternFill>
    </fill>
    <fill>
      <patternFill patternType="solid">
        <fgColor rgb="FFFFFFFF"/>
        <bgColor rgb="FFFAFBFC"/>
      </patternFill>
    </fill>
    <fill>
      <patternFill patternType="solid">
        <fgColor rgb="FF2E5BFF"/>
        <bgColor rgb="FF0066CC"/>
      </patternFill>
    </fill>
    <fill>
      <patternFill patternType="solid">
        <fgColor rgb="FFF5F5F7"/>
        <bgColor rgb="FFF5F7FB"/>
      </patternFill>
    </fill>
    <fill>
      <patternFill patternType="solid">
        <fgColor rgb="FFFAFAFA"/>
        <bgColor rgb="FFFAFBFC"/>
      </patternFill>
    </fill>
    <fill>
      <patternFill patternType="solid">
        <fgColor rgb="FFF2F8FF"/>
        <bgColor rgb="FFF5F7FB"/>
      </patternFill>
    </fill>
    <fill>
      <patternFill patternType="solid">
        <fgColor rgb="FF1A2B4A"/>
        <bgColor rgb="FF0A2342"/>
      </patternFill>
    </fill>
    <fill>
      <patternFill patternType="solid">
        <fgColor rgb="FFE5EBF5"/>
        <bgColor rgb="FFE8E8E8"/>
      </patternFill>
    </fill>
    <fill>
      <patternFill patternType="solid">
        <fgColor rgb="FFC00000"/>
        <bgColor rgb="FFC8102E"/>
      </patternFill>
    </fill>
    <fill>
      <patternFill patternType="solid">
        <fgColor rgb="FF107C41"/>
        <bgColor rgb="FF008000"/>
      </patternFill>
    </fill>
    <fill>
      <patternFill patternType="solid">
        <fgColor rgb="FFFCE9E9"/>
        <bgColor rgb="FFF2F2F2"/>
      </patternFill>
    </fill>
    <fill>
      <patternFill patternType="solid">
        <fgColor rgb="FFE2F3E5"/>
        <bgColor rgb="FFE5EBF5"/>
      </patternFill>
    </fill>
    <fill>
      <patternFill patternType="solid">
        <fgColor rgb="FFF2F2F2"/>
        <bgColor rgb="FFF5F5F7"/>
      </patternFill>
    </fill>
    <fill>
      <patternFill patternType="solid">
        <fgColor rgb="FFEAF2FB"/>
        <bgColor rgb="FFF2F2F2"/>
      </patternFill>
    </fill>
    <fill>
      <patternFill patternType="solid">
        <fgColor rgb="FFE8E8E8"/>
        <bgColor rgb="FFE5E5EA"/>
      </patternFill>
    </fill>
    <fill>
      <patternFill patternType="solid">
        <fgColor rgb="FFFFF3CD"/>
        <bgColor rgb="FFFCE9E9"/>
      </patternFill>
    </fill>
    <fill>
      <patternFill patternType="solid">
        <fgColor rgb="FF0071E3"/>
        <bgColor rgb="FF0066CC"/>
      </patternFill>
    </fill>
    <fill>
      <patternFill patternType="solid">
        <fgColor rgb="FFF5F7FB"/>
        <bgColor rgb="FFF5F5F7"/>
      </patternFill>
    </fill>
    <fill>
      <patternFill patternType="solid">
        <fgColor rgb="FFFAFBFC"/>
        <bgColor rgb="FFFAFAFA"/>
      </patternFill>
    </fill>
    <fill>
      <patternFill patternType="solid">
        <fgColor rgb="FF0FA958"/>
        <bgColor rgb="FF0FA89F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thin">
        <color rgb="FFD2D2D7"/>
      </left>
      <right/>
      <top style="thin">
        <color rgb="FFD2D2D7"/>
      </top>
      <bottom/>
      <diagonal/>
    </border>
    <border diagonalUp="false" diagonalDown="false">
      <left/>
      <right/>
      <top style="thin">
        <color rgb="FFD2D2D7"/>
      </top>
      <bottom/>
      <diagonal/>
    </border>
    <border diagonalUp="false" diagonalDown="false">
      <left/>
      <right style="thin">
        <color rgb="FFD2D2D7"/>
      </right>
      <top style="thin">
        <color rgb="FFD2D2D7"/>
      </top>
      <bottom/>
      <diagonal/>
    </border>
    <border diagonalUp="false" diagonalDown="false">
      <left style="thin">
        <color rgb="FFD2D2D7"/>
      </left>
      <right/>
      <top/>
      <bottom/>
      <diagonal/>
    </border>
    <border diagonalUp="false" diagonalDown="false">
      <left/>
      <right style="thin">
        <color rgb="FFD2D2D7"/>
      </right>
      <top/>
      <bottom/>
      <diagonal/>
    </border>
    <border diagonalUp="false" diagonalDown="false">
      <left style="thin">
        <color rgb="FFD2D2D7"/>
      </left>
      <right/>
      <top/>
      <bottom style="thin">
        <color rgb="FFD2D2D7"/>
      </bottom>
      <diagonal/>
    </border>
    <border diagonalUp="false" diagonalDown="false">
      <left/>
      <right/>
      <top/>
      <bottom style="thin">
        <color rgb="FFD2D2D7"/>
      </bottom>
      <diagonal/>
    </border>
    <border diagonalUp="false" diagonalDown="false">
      <left/>
      <right style="thin">
        <color rgb="FFD2D2D7"/>
      </right>
      <top/>
      <bottom style="thin">
        <color rgb="FFD2D2D7"/>
      </bottom>
      <diagonal/>
    </border>
    <border diagonalUp="false" diagonalDown="false">
      <left/>
      <right/>
      <top/>
      <bottom style="medium">
        <color rgb="FF0A2342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 style="thin">
        <color rgb="FFD0D0D5"/>
      </left>
      <right style="thin">
        <color rgb="FFD0D0D5"/>
      </right>
      <top style="thin">
        <color rgb="FFD0D0D5"/>
      </top>
      <bottom style="thin">
        <color rgb="FFD0D0D5"/>
      </bottom>
      <diagonal/>
    </border>
    <border diagonalUp="false" diagonalDown="false">
      <left style="thin">
        <color rgb="FFD0D0D5"/>
      </left>
      <right style="thin">
        <color rgb="FFD0D0D5"/>
      </right>
      <top/>
      <bottom/>
      <diagonal/>
    </border>
    <border diagonalUp="false" diagonalDown="false">
      <left/>
      <right/>
      <top style="thin">
        <color rgb="FF0B1426"/>
      </top>
      <bottom/>
      <diagonal/>
    </border>
    <border diagonalUp="false" diagonalDown="false">
      <left/>
      <right/>
      <top style="thin">
        <color rgb="FF0B1426"/>
      </top>
      <bottom style="thin"/>
      <diagonal/>
    </border>
    <border diagonalUp="false" diagonalDown="false">
      <left/>
      <right/>
      <top style="thin">
        <color rgb="FF0B1426"/>
      </top>
      <bottom style="thin">
        <color rgb="FF0B1426"/>
      </bottom>
      <diagonal/>
    </border>
    <border diagonalUp="false" diagonalDown="false">
      <left/>
      <right/>
      <top style="thin">
        <color rgb="FF0B1426"/>
      </top>
      <bottom style="double">
        <color rgb="FF0B1426"/>
      </bottom>
      <diagonal/>
    </border>
    <border diagonalUp="false" diagonalDown="false">
      <left/>
      <right/>
      <top/>
      <bottom style="medium">
        <color rgb="FF1D1D1F"/>
      </bottom>
      <diagonal/>
    </border>
    <border diagonalUp="false" diagonalDown="false">
      <left style="thin">
        <color rgb="FFE5E5EA"/>
      </left>
      <right/>
      <top/>
      <bottom style="thin">
        <color rgb="FFE5E5EA"/>
      </bottom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>
        <color rgb="FFE5E5EA"/>
      </bottom>
      <diagonal/>
    </border>
    <border diagonalUp="false" diagonalDown="false">
      <left/>
      <right style="thin">
        <color rgb="FFE5E5EA"/>
      </right>
      <top/>
      <bottom style="thin">
        <color rgb="FFE5E5EA"/>
      </bottom>
      <diagonal/>
    </border>
    <border diagonalUp="false" diagonalDown="false">
      <left style="medium">
        <color rgb="FF2E5BFF"/>
      </left>
      <right style="medium">
        <color rgb="FF2E5BFF"/>
      </right>
      <top style="medium">
        <color rgb="FF2E5BFF"/>
      </top>
      <bottom style="medium">
        <color rgb="FF2E5BFF"/>
      </bottom>
      <diagonal/>
    </border>
    <border diagonalUp="false" diagonalDown="false"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3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4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4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4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4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4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4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3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4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35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3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3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6" fillId="4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3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3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8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9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9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4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1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1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6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3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0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1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4" fontId="54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7" fontId="3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74" fontId="5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4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3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54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58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7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5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4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3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3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3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58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8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2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7" fontId="60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8" fontId="60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9" fontId="5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1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3" fillId="1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5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11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1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67" fillId="1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7" fillId="1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7" fillId="1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70" fillId="1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0" fillId="1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0" fillId="1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1" fillId="1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1" fillId="1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1" fillId="1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1" fillId="1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1" fillId="1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1" fillId="1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0" fillId="1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0" fillId="1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0" fillId="1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5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39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9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8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7" fillId="7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8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4" fillId="7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5" fillId="7" borderId="13" xfId="19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4" fontId="76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0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8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7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74" fontId="7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8" fontId="7" fillId="7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8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8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7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8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2" fontId="5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79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2" fontId="80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7" fontId="5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2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3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3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4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4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9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9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6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6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3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23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23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3" fillId="2" borderId="1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0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9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1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2" fillId="7" borderId="1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9" fillId="7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9" fillId="8" borderId="1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2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8" fontId="29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2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9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1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4" fontId="29" fillId="7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93" fillId="4" borderId="18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8" fontId="27" fillId="4" borderId="2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7" fillId="4" borderId="2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27" fillId="4" borderId="2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27" fillId="4" borderId="2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8" fontId="70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9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7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4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2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0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1" fillId="7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1" fillId="8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5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7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8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5" fontId="5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5" fontId="57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5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57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2" fillId="8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9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9" fontId="100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00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6" fontId="6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62" fillId="8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2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7" fontId="6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8" fontId="53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8" fontId="6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7" fontId="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3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3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53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8" fontId="69" fillId="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3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0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0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62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0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0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0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69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69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62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9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8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9" fillId="16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09" fillId="1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0" fillId="16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0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8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1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2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2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3" fillId="19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3" fillId="1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1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8" fontId="8" fillId="2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3" fillId="2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1" fillId="21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1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4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8" fontId="9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7" fillId="21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8" fontId="7" fillId="2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4" fillId="21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8" fontId="94" fillId="2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2" fillId="2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1" fillId="2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14" fillId="0" borderId="0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115" fillId="0" borderId="0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116" fillId="0" borderId="0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117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18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5" fillId="1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3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4" fillId="2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5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6" fillId="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1" fillId="2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12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3" fillId="1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3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8" fillId="2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8" fontId="39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8" fillId="4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7" fillId="20" borderId="1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7" fillId="20" borderId="15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83" fontId="8" fillId="2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7" fontId="39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8" fillId="4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12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CE9E9"/>
        </patternFill>
      </fill>
    </dxf>
    <dxf>
      <fill>
        <patternFill>
          <bgColor rgb="FFE5EBF5"/>
        </patternFill>
      </fill>
    </dxf>
    <dxf>
      <fill>
        <patternFill>
          <bgColor rgb="FFE2F3E5"/>
        </patternFill>
      </fill>
    </dxf>
    <dxf>
      <font>
        <name val="Calibri"/>
        <charset val="1"/>
        <family val="2"/>
        <color rgb="FF000000"/>
        <sz val="11"/>
      </font>
      <alignment horizontal="general" vertical="bottom" textRotation="0" wrapText="false" indent="0" shrinkToFit="false"/>
    </dxf>
  </dxfs>
  <colors>
    <indexedColors>
      <rgbColor rgb="FF000000"/>
      <rgbColor rgb="FFFFFFFF"/>
      <rgbColor rgb="FFFF0000"/>
      <rgbColor rgb="FF34C759"/>
      <rgbColor rgb="FF0000FF"/>
      <rgbColor rgb="FFE8E8E8"/>
      <rgbColor rgb="FFFAFAFA"/>
      <rgbColor rgb="FFF2F8FF"/>
      <rgbColor rgb="FFC00000"/>
      <rgbColor rgb="FF008000"/>
      <rgbColor rgb="FF0B1426"/>
      <rgbColor rgb="FF666666"/>
      <rgbColor rgb="FF4F81BD"/>
      <rgbColor rgb="FF107C41"/>
      <rgbColor rgb="FFB3B3B3"/>
      <rgbColor rgb="FF808080"/>
      <rgbColor rgb="FFA1A1A6"/>
      <rgbColor rgb="FF595959"/>
      <rgbColor rgb="FFFFF3CD"/>
      <rgbColor rgb="FFEAF2FB"/>
      <rgbColor rgb="FF404040"/>
      <rgbColor rgb="FFF4A261"/>
      <rgbColor rgb="FF0066CC"/>
      <rgbColor rgb="FFD2D2D7"/>
      <rgbColor rgb="FF000080"/>
      <rgbColor rgb="FFFAFBFC"/>
      <rgbColor rgb="FFF2F2F2"/>
      <rgbColor rgb="FFF5F7FB"/>
      <rgbColor rgb="FF800080"/>
      <rgbColor rgb="FF800000"/>
      <rgbColor rgb="FF0070C0"/>
      <rgbColor rgb="FF0000FF"/>
      <rgbColor rgb="FF0071E3"/>
      <rgbColor rgb="FFE5EBF5"/>
      <rgbColor rgb="FFE2F3E5"/>
      <rgbColor rgb="FFFCE9E9"/>
      <rgbColor rgb="FFD0D0D5"/>
      <rgbColor rgb="FFE5E5EA"/>
      <rgbColor rgb="FFD8DEE9"/>
      <rgbColor rgb="FFD9D9D9"/>
      <rgbColor rgb="FF2E5BFF"/>
      <rgbColor rgb="FF0FA89F"/>
      <rgbColor rgb="FF86868B"/>
      <rgbColor rgb="FFF5F5F7"/>
      <rgbColor rgb="FFFF9F0A"/>
      <rgbColor rgb="FFFF3B30"/>
      <rgbColor rgb="FF5A6478"/>
      <rgbColor rgb="FF999999"/>
      <rgbColor rgb="FF0A2342"/>
      <rgbColor rgb="FF0FA958"/>
      <rgbColor rgb="FF061A33"/>
      <rgbColor rgb="FF1D1D1F"/>
      <rgbColor rgb="FFC8102E"/>
      <rgbColor rgb="FFAF52DE"/>
      <rgbColor rgb="FF1A2B4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_rels/chart9.xml.rels><?xml version="1.0" encoding="UTF-8"?>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
</Relationships>
</file>

<file path=xl/charts/_rels/chart10.xml.rels><?xml version="1.0" encoding="UTF-8"?>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
</Relationships>
</file>

<file path=xl/charts/_rels/chart11.xml.rels><?xml version="1.0" encoding="UTF-8"?>
<Relationships xmlns="http://schemas.openxmlformats.org/package/2006/relationships"><Relationship Id="rId1" Type="http://schemas.microsoft.com/office/2011/relationships/chartStyle" Target="style11.xml"/><Relationship Id="rId2" Type="http://schemas.microsoft.com/office/2011/relationships/chartColorStyle" Target="colors1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strRef>
              <c:f>Dashboard!$B$93</c:f>
              <c:strCache>
                <c:ptCount val="1"/>
                <c:pt idx="0">
                  <c:v>Products ($B)</c:v>
                </c:pt>
              </c:strCache>
            </c:strRef>
          </c:tx>
          <c:spPr>
            <a:solidFill>
              <a:srgbClr val="1D1D1F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Dashboard!$C$92:$K$92</c:f>
              <c:strCache>
                <c:ptCount val="9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</c:strCache>
            </c:strRef>
          </c:cat>
          <c:val>
            <c:numRef>
              <c:f>Dashboard!$C$93:$K$93</c:f>
              <c:numCache>
                <c:formatCode>General</c:formatCode>
                <c:ptCount val="9"/>
                <c:pt idx="0">
                  <c:v>297.392</c:v>
                </c:pt>
                <c:pt idx="1">
                  <c:v>316.199</c:v>
                </c:pt>
                <c:pt idx="2">
                  <c:v>298.085</c:v>
                </c:pt>
                <c:pt idx="3">
                  <c:v>294.866</c:v>
                </c:pt>
                <c:pt idx="4">
                  <c:v>307.003</c:v>
                </c:pt>
                <c:pt idx="5">
                  <c:v>316.25016</c:v>
                </c:pt>
                <c:pt idx="6">
                  <c:v>325.795701</c:v>
                </c:pt>
                <c:pt idx="7">
                  <c:v>335.650004994</c:v>
                </c:pt>
                <c:pt idx="8">
                  <c:v>345.8238446091</c:v>
                </c:pt>
              </c:numCache>
            </c:numRef>
          </c:val>
        </c:ser>
        <c:ser>
          <c:idx val="1"/>
          <c:order val="1"/>
          <c:tx>
            <c:strRef>
              <c:f>Dashboard!$B$94</c:f>
              <c:strCache>
                <c:ptCount val="1"/>
                <c:pt idx="0">
                  <c:v>Services ($B)</c:v>
                </c:pt>
              </c:strCache>
            </c:strRef>
          </c:tx>
          <c:spPr>
            <a:solidFill>
              <a:srgbClr val="0071E3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Dashboard!$C$92:$K$92</c:f>
              <c:strCache>
                <c:ptCount val="9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</c:strCache>
            </c:strRef>
          </c:cat>
          <c:val>
            <c:numRef>
              <c:f>Dashboard!$C$94:$K$94</c:f>
              <c:numCache>
                <c:formatCode>General</c:formatCode>
                <c:ptCount val="9"/>
                <c:pt idx="0">
                  <c:v>68.425</c:v>
                </c:pt>
                <c:pt idx="1">
                  <c:v>78.129</c:v>
                </c:pt>
                <c:pt idx="2">
                  <c:v>85.2</c:v>
                </c:pt>
                <c:pt idx="3">
                  <c:v>96.169</c:v>
                </c:pt>
                <c:pt idx="4">
                  <c:v>109.158</c:v>
                </c:pt>
                <c:pt idx="5">
                  <c:v>120.61959</c:v>
                </c:pt>
                <c:pt idx="6">
                  <c:v>133.28464695</c:v>
                </c:pt>
                <c:pt idx="7">
                  <c:v>147.27953487975</c:v>
                </c:pt>
                <c:pt idx="8">
                  <c:v>162.743886042124</c:v>
                </c:pt>
              </c:numCache>
            </c:numRef>
          </c:val>
        </c:ser>
        <c:gapWidth val="150"/>
        <c:overlap val="100"/>
        <c:axId val="61049661"/>
        <c:axId val="6935030"/>
      </c:barChart>
      <c:lineChart>
        <c:grouping val="stacked"/>
        <c:varyColors val="0"/>
        <c:ser>
          <c:idx val="2"/>
          <c:order val="2"/>
          <c:tx>
            <c:strRef>
              <c:f>Dashboard!$B$95</c:f>
              <c:strCache>
                <c:ptCount val="1"/>
                <c:pt idx="0">
                  <c:v>Growth %</c:v>
                </c:pt>
              </c:strCache>
            </c:strRef>
          </c:tx>
          <c:spPr>
            <a:ln cap="rnd" w="31680">
              <a:solidFill>
                <a:srgbClr val="FF9F0A"/>
              </a:solidFill>
              <a:round/>
            </a:ln>
          </c:spPr>
          <c:marker>
            <c:symbol val="circle"/>
            <c:size val="5"/>
            <c:spPr>
              <a:solidFill>
                <a:srgbClr val="FF9F0A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Dashboard!$C$92:$K$92</c:f>
              <c:strCache>
                <c:ptCount val="9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</c:strCache>
            </c:strRef>
          </c:cat>
          <c:val>
            <c:numRef>
              <c:f>Dashboard!$C$95:$K$95</c:f>
              <c:numCache>
                <c:formatCode>General</c:formatCode>
                <c:ptCount val="9"/>
                <c:pt idx="1">
                  <c:v>0.0779378760418461</c:v>
                </c:pt>
                <c:pt idx="2">
                  <c:v>-0.0280046053031994</c:v>
                </c:pt>
                <c:pt idx="3">
                  <c:v>0.0202199407751411</c:v>
                </c:pt>
                <c:pt idx="4">
                  <c:v>0.0642551178283275</c:v>
                </c:pt>
                <c:pt idx="5">
                  <c:v>0.0497613904234178</c:v>
                </c:pt>
                <c:pt idx="6">
                  <c:v>0.0508403201411862</c:v>
                </c:pt>
                <c:pt idx="7">
                  <c:v>0.0519499299637793</c:v>
                </c:pt>
                <c:pt idx="8">
                  <c:v>0.0530888849420481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5633428"/>
        <c:axId val="49710866"/>
      </c:lineChart>
      <c:catAx>
        <c:axId val="6104966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6935030"/>
        <c:crosses val="autoZero"/>
        <c:auto val="1"/>
        <c:lblAlgn val="ctr"/>
        <c:lblOffset val="100"/>
        <c:noMultiLvlLbl val="0"/>
      </c:catAx>
      <c:valAx>
        <c:axId val="6935030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[$$-409]#,##0\B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61049661"/>
        <c:crosses val="autoZero"/>
        <c:crossBetween val="between"/>
      </c:valAx>
      <c:catAx>
        <c:axId val="7563342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9710866"/>
        <c:auto val="1"/>
        <c:lblAlgn val="ctr"/>
        <c:lblOffset val="100"/>
        <c:noMultiLvlLbl val="0"/>
      </c:catAx>
      <c:valAx>
        <c:axId val="49710866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75633428"/>
        <c:crosses val="max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0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doughnutChart>
        <c:varyColors val="1"/>
        <c:ser>
          <c:idx val="0"/>
          <c:order val="0"/>
          <c:tx>
            <c:strRef>
              <c:f>Dashboard!$C$97</c:f>
              <c:strCache>
                <c:ptCount val="1"/>
                <c:pt idx="0">
                  <c:v>FY25A ($B)</c:v>
                </c:pt>
              </c:strCache>
            </c:strRef>
          </c:tx>
          <c:spPr>
            <a:ln w="0">
              <a:noFill/>
            </a:ln>
          </c:spPr>
          <c:explosion val="0"/>
          <c:dPt>
            <c:idx val="0"/>
            <c:spPr>
              <a:solidFill>
                <a:srgbClr val="1D1D1F"/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1"/>
            <c:spPr>
              <a:solidFill>
                <a:srgbClr val="0071E3"/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2"/>
            <c:spPr>
              <a:solidFill>
                <a:srgbClr val="FF9F0A"/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3"/>
            <c:spPr>
              <a:solidFill>
                <a:srgbClr val="34C759"/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4"/>
            <c:spPr>
              <a:solidFill>
                <a:srgbClr val="AF52DE"/>
              </a:solidFill>
              <a:ln w="19080">
                <a:solidFill>
                  <a:schemeClr val="lt1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Dashboard!$B$98:$B$102</c:f>
              <c:strCache>
                <c:ptCount val="5"/>
                <c:pt idx="0">
                  <c:v>Americas</c:v>
                </c:pt>
                <c:pt idx="1">
                  <c:v>Europe</c:v>
                </c:pt>
                <c:pt idx="2">
                  <c:v>Greater China</c:v>
                </c:pt>
                <c:pt idx="3">
                  <c:v>Japan</c:v>
                </c:pt>
                <c:pt idx="4">
                  <c:v>Rest of APAC</c:v>
                </c:pt>
              </c:strCache>
            </c:strRef>
          </c:cat>
          <c:val>
            <c:numRef>
              <c:f>Dashboard!$C$98:$C$102</c:f>
              <c:numCache>
                <c:formatCode>General</c:formatCode>
                <c:ptCount val="5"/>
                <c:pt idx="0">
                  <c:v>178.353</c:v>
                </c:pt>
                <c:pt idx="1">
                  <c:v>111.032</c:v>
                </c:pt>
                <c:pt idx="2">
                  <c:v>64.377</c:v>
                </c:pt>
                <c:pt idx="3">
                  <c:v>28.703</c:v>
                </c:pt>
                <c:pt idx="4">
                  <c:v>33.696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0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doughnutChart>
        <c:varyColors val="1"/>
        <c:ser>
          <c:idx val="0"/>
          <c:order val="0"/>
          <c:tx>
            <c:strRef>
              <c:f>Dashboard!$C$104</c:f>
              <c:strCache>
                <c:ptCount val="1"/>
                <c:pt idx="0">
                  <c:v>FY25A ($B)</c:v>
                </c:pt>
              </c:strCache>
            </c:strRef>
          </c:tx>
          <c:spPr>
            <a:ln w="0">
              <a:noFill/>
            </a:ln>
          </c:spPr>
          <c:explosion val="0"/>
          <c:dPt>
            <c:idx val="0"/>
            <c:spPr>
              <a:solidFill>
                <a:srgbClr val="1D1D1F"/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1"/>
            <c:spPr>
              <a:solidFill>
                <a:srgbClr val="0071E3"/>
              </a:solidFill>
              <a:ln w="19080">
                <a:solidFill>
                  <a:schemeClr val="lt1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Dashboard!$B$105:$B$106</c:f>
              <c:strCache>
                <c:ptCount val="2"/>
                <c:pt idx="0">
                  <c:v>Products</c:v>
                </c:pt>
                <c:pt idx="1">
                  <c:v>Services</c:v>
                </c:pt>
              </c:strCache>
            </c:strRef>
          </c:cat>
          <c:val>
            <c:numRef>
              <c:f>Dashboard!$C$105:$C$106</c:f>
              <c:numCache>
                <c:formatCode>General</c:formatCode>
                <c:ptCount val="2"/>
                <c:pt idx="0">
                  <c:v>307.003</c:v>
                </c:pt>
                <c:pt idx="1">
                  <c:v>109.158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0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Dashboard!$C$108</c:f>
              <c:strCache>
                <c:ptCount val="1"/>
                <c:pt idx="0">
                  <c:v>FY25A ($B)</c:v>
                </c:pt>
              </c:strCache>
            </c:strRef>
          </c:tx>
          <c:spPr>
            <a:ln w="1260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AF52DE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FF9F0A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34C759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0071E3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1D1D1F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Dashboard!$B$109:$B$113</c:f>
              <c:strCache>
                <c:ptCount val="5"/>
                <c:pt idx="0">
                  <c:v>iPad</c:v>
                </c:pt>
                <c:pt idx="1">
                  <c:v>Mac</c:v>
                </c:pt>
                <c:pt idx="2">
                  <c:v>Wearables</c:v>
                </c:pt>
                <c:pt idx="3">
                  <c:v>Services</c:v>
                </c:pt>
                <c:pt idx="4">
                  <c:v>iPhone</c:v>
                </c:pt>
              </c:strCache>
            </c:strRef>
          </c:cat>
          <c:val>
            <c:numRef>
              <c:f>Dashboard!$C$109:$C$113</c:f>
              <c:numCache>
                <c:formatCode>General</c:formatCode>
                <c:ptCount val="5"/>
                <c:pt idx="0">
                  <c:v>28.023</c:v>
                </c:pt>
                <c:pt idx="1">
                  <c:v>33.708</c:v>
                </c:pt>
                <c:pt idx="2">
                  <c:v>35.686</c:v>
                </c:pt>
                <c:pt idx="3">
                  <c:v>109.158</c:v>
                </c:pt>
                <c:pt idx="4">
                  <c:v>209.586</c:v>
                </c:pt>
              </c:numCache>
            </c:numRef>
          </c:val>
        </c:ser>
        <c:gapWidth val="182"/>
        <c:overlap val="0"/>
        <c:axId val="43939063"/>
        <c:axId val="96287177"/>
      </c:barChart>
      <c:catAx>
        <c:axId val="4393906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96287177"/>
        <c:crosses val="autoZero"/>
        <c:auto val="1"/>
        <c:lblAlgn val="ctr"/>
        <c:lblOffset val="100"/>
        <c:noMultiLvlLbl val="0"/>
      </c:catAx>
      <c:valAx>
        <c:axId val="96287177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[$$-409]#,##0\B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43939063"/>
        <c:crosses val="autoZero"/>
        <c:crossBetween val="between"/>
      </c:valAx>
      <c:spPr>
        <a:noFill/>
        <a:ln w="0">
          <a:noFill/>
        </a:ln>
      </c:spPr>
    </c:plotArea>
    <c:plotVisOnly val="0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Dashboard!$B$116</c:f>
              <c:strCache>
                <c:ptCount val="1"/>
                <c:pt idx="0">
                  <c:v>Gross %</c:v>
                </c:pt>
              </c:strCache>
            </c:strRef>
          </c:tx>
          <c:spPr>
            <a:ln cap="rnd" w="28440">
              <a:solidFill>
                <a:srgbClr val="1D1D1F"/>
              </a:solidFill>
              <a:round/>
            </a:ln>
          </c:spPr>
          <c:marker>
            <c:symbol val="circle"/>
            <c:size val="5"/>
            <c:spPr>
              <a:solidFill>
                <a:srgbClr val="1D1D1F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Dashboard!$C$115:$K$115</c:f>
              <c:strCache>
                <c:ptCount val="9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</c:strCache>
            </c:strRef>
          </c:cat>
          <c:val>
            <c:numRef>
              <c:f>Dashboard!$C$116:$K$116</c:f>
              <c:numCache>
                <c:formatCode>0.0%</c:formatCode>
                <c:ptCount val="9"/>
                <c:pt idx="0">
                  <c:v>0.417793596251678</c:v>
                </c:pt>
                <c:pt idx="1">
                  <c:v>0.433096305613601</c:v>
                </c:pt>
                <c:pt idx="2">
                  <c:v>0.441311295772076</c:v>
                </c:pt>
                <c:pt idx="3">
                  <c:v>0.462063498152339</c:v>
                </c:pt>
                <c:pt idx="4">
                  <c:v>0.469051641071605</c:v>
                </c:pt>
                <c:pt idx="5">
                  <c:v>0.477678867900558</c:v>
                </c:pt>
                <c:pt idx="6">
                  <c:v>0.483228572171775</c:v>
                </c:pt>
                <c:pt idx="7">
                  <c:v>0.488938714368391</c:v>
                </c:pt>
                <c:pt idx="8">
                  <c:v>0.494801696472473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Dashboard!$B$117</c:f>
              <c:strCache>
                <c:ptCount val="1"/>
                <c:pt idx="0">
                  <c:v>Operating %</c:v>
                </c:pt>
              </c:strCache>
            </c:strRef>
          </c:tx>
          <c:spPr>
            <a:ln cap="rnd" w="28440">
              <a:solidFill>
                <a:srgbClr val="0071E3"/>
              </a:solidFill>
              <a:round/>
            </a:ln>
          </c:spPr>
          <c:marker>
            <c:symbol val="circle"/>
            <c:size val="5"/>
            <c:spPr>
              <a:solidFill>
                <a:srgbClr val="0071E3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Dashboard!$C$115:$K$115</c:f>
              <c:strCache>
                <c:ptCount val="9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</c:strCache>
            </c:strRef>
          </c:cat>
          <c:val>
            <c:numRef>
              <c:f>Dashboard!$C$117:$K$117</c:f>
              <c:numCache>
                <c:formatCode>0.0%</c:formatCode>
                <c:ptCount val="9"/>
                <c:pt idx="0">
                  <c:v>0.297823775275616</c:v>
                </c:pt>
                <c:pt idx="1">
                  <c:v>0.302887443955286</c:v>
                </c:pt>
                <c:pt idx="2">
                  <c:v>0.298214122650247</c:v>
                </c:pt>
                <c:pt idx="3">
                  <c:v>0.315102228700756</c:v>
                </c:pt>
                <c:pt idx="4">
                  <c:v>0.319707997625919</c:v>
                </c:pt>
                <c:pt idx="5">
                  <c:v>0.326640039966145</c:v>
                </c:pt>
                <c:pt idx="6">
                  <c:v>0.330602074244158</c:v>
                </c:pt>
                <c:pt idx="7">
                  <c:v>0.334840285709772</c:v>
                </c:pt>
                <c:pt idx="8">
                  <c:v>0.339355017613761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Dashboard!$B$118</c:f>
              <c:strCache>
                <c:ptCount val="1"/>
                <c:pt idx="0">
                  <c:v>Net %</c:v>
                </c:pt>
              </c:strCache>
            </c:strRef>
          </c:tx>
          <c:spPr>
            <a:ln cap="rnd" w="28440">
              <a:solidFill>
                <a:srgbClr val="34C759"/>
              </a:solidFill>
              <a:round/>
            </a:ln>
          </c:spPr>
          <c:marker>
            <c:symbol val="circle"/>
            <c:size val="5"/>
            <c:spPr>
              <a:solidFill>
                <a:srgbClr val="34C759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Dashboard!$C$115:$K$115</c:f>
              <c:strCache>
                <c:ptCount val="9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</c:strCache>
            </c:strRef>
          </c:cat>
          <c:val>
            <c:numRef>
              <c:f>Dashboard!$C$118:$K$118</c:f>
              <c:numCache>
                <c:formatCode>0.0%</c:formatCode>
                <c:ptCount val="9"/>
                <c:pt idx="0">
                  <c:v>0.258817933556942</c:v>
                </c:pt>
                <c:pt idx="1">
                  <c:v>0.253096407051997</c:v>
                </c:pt>
                <c:pt idx="2">
                  <c:v>0.253062342643203</c:v>
                </c:pt>
                <c:pt idx="3">
                  <c:v>0.239712557699439</c:v>
                </c:pt>
                <c:pt idx="4">
                  <c:v>0.269150641218182</c:v>
                </c:pt>
                <c:pt idx="5">
                  <c:v>0.277644033971224</c:v>
                </c:pt>
                <c:pt idx="6">
                  <c:v>0.281011763107535</c:v>
                </c:pt>
                <c:pt idx="7">
                  <c:v>0.284614242853306</c:v>
                </c:pt>
                <c:pt idx="8">
                  <c:v>0.288451764971697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Dashboard!$B$119</c:f>
              <c:strCache>
                <c:ptCount val="1"/>
                <c:pt idx="0">
                  <c:v>FCF %</c:v>
                </c:pt>
              </c:strCache>
            </c:strRef>
          </c:tx>
          <c:spPr>
            <a:ln cap="rnd" w="28440">
              <a:solidFill>
                <a:srgbClr val="FF9F0A"/>
              </a:solidFill>
              <a:round/>
            </a:ln>
          </c:spPr>
          <c:marker>
            <c:symbol val="circle"/>
            <c:size val="5"/>
            <c:spPr>
              <a:solidFill>
                <a:srgbClr val="FF9F0A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Dashboard!$C$115:$K$115</c:f>
              <c:strCache>
                <c:ptCount val="9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</c:strCache>
            </c:strRef>
          </c:cat>
          <c:val>
            <c:numRef>
              <c:f>Dashboard!$C$119:$K$119</c:f>
              <c:numCache>
                <c:formatCode>0.0%</c:formatCode>
                <c:ptCount val="9"/>
                <c:pt idx="0">
                  <c:v>0.254096993852117</c:v>
                </c:pt>
                <c:pt idx="1">
                  <c:v>0.28261498042239</c:v>
                </c:pt>
                <c:pt idx="2">
                  <c:v>0.259817107374408</c:v>
                </c:pt>
                <c:pt idx="3">
                  <c:v>0.278253864743565</c:v>
                </c:pt>
                <c:pt idx="4">
                  <c:v>0.237328822258693</c:v>
                </c:pt>
                <c:pt idx="5">
                  <c:v>0.351674042398978</c:v>
                </c:pt>
                <c:pt idx="6">
                  <c:v>0.315448620053301</c:v>
                </c:pt>
                <c:pt idx="7">
                  <c:v>0.319137521286277</c:v>
                </c:pt>
                <c:pt idx="8">
                  <c:v>0.323063625519746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7350797"/>
        <c:axId val="80965754"/>
      </c:lineChart>
      <c:catAx>
        <c:axId val="773507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80965754"/>
        <c:crosses val="autoZero"/>
        <c:auto val="1"/>
        <c:lblAlgn val="ctr"/>
        <c:lblOffset val="100"/>
        <c:noMultiLvlLbl val="0"/>
      </c:catAx>
      <c:valAx>
        <c:axId val="80965754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77350797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0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Dashboard!$C$121</c:f>
              <c:strCache>
                <c:ptCount val="1"/>
                <c:pt idx="0">
                  <c:v>FY23A</c:v>
                </c:pt>
              </c:strCache>
            </c:strRef>
          </c:tx>
          <c:spPr>
            <a:solidFill>
              <a:srgbClr val="86868B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Dashboard!$B$122:$B$126</c:f>
              <c:strCache>
                <c:ptCount val="5"/>
                <c:pt idx="0">
                  <c:v>iPhone</c:v>
                </c:pt>
                <c:pt idx="1">
                  <c:v>Services</c:v>
                </c:pt>
                <c:pt idx="2">
                  <c:v>Wearables</c:v>
                </c:pt>
                <c:pt idx="3">
                  <c:v>Mac</c:v>
                </c:pt>
                <c:pt idx="4">
                  <c:v>iPad</c:v>
                </c:pt>
              </c:strCache>
            </c:strRef>
          </c:cat>
          <c:val>
            <c:numRef>
              <c:f>Dashboard!$C$122:$C$126</c:f>
              <c:numCache>
                <c:formatCode>General</c:formatCode>
                <c:ptCount val="5"/>
                <c:pt idx="0">
                  <c:v>200.583</c:v>
                </c:pt>
                <c:pt idx="1">
                  <c:v>85.2</c:v>
                </c:pt>
                <c:pt idx="2">
                  <c:v>39.845</c:v>
                </c:pt>
                <c:pt idx="3">
                  <c:v>29.357</c:v>
                </c:pt>
                <c:pt idx="4">
                  <c:v>28.3</c:v>
                </c:pt>
              </c:numCache>
            </c:numRef>
          </c:val>
        </c:ser>
        <c:ser>
          <c:idx val="1"/>
          <c:order val="1"/>
          <c:tx>
            <c:strRef>
              <c:f>Dashboard!$D$121</c:f>
              <c:strCache>
                <c:ptCount val="1"/>
                <c:pt idx="0">
                  <c:v>FY24A</c:v>
                </c:pt>
              </c:strCache>
            </c:strRef>
          </c:tx>
          <c:spPr>
            <a:solidFill>
              <a:srgbClr val="1D1D1F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Dashboard!$B$122:$B$126</c:f>
              <c:strCache>
                <c:ptCount val="5"/>
                <c:pt idx="0">
                  <c:v>iPhone</c:v>
                </c:pt>
                <c:pt idx="1">
                  <c:v>Services</c:v>
                </c:pt>
                <c:pt idx="2">
                  <c:v>Wearables</c:v>
                </c:pt>
                <c:pt idx="3">
                  <c:v>Mac</c:v>
                </c:pt>
                <c:pt idx="4">
                  <c:v>iPad</c:v>
                </c:pt>
              </c:strCache>
            </c:strRef>
          </c:cat>
          <c:val>
            <c:numRef>
              <c:f>Dashboard!$D$122:$D$126</c:f>
              <c:numCache>
                <c:formatCode>General</c:formatCode>
                <c:ptCount val="5"/>
                <c:pt idx="0">
                  <c:v>201.183</c:v>
                </c:pt>
                <c:pt idx="1">
                  <c:v>96.169</c:v>
                </c:pt>
                <c:pt idx="2">
                  <c:v>37.005</c:v>
                </c:pt>
                <c:pt idx="3">
                  <c:v>29.984</c:v>
                </c:pt>
                <c:pt idx="4">
                  <c:v>26.694</c:v>
                </c:pt>
              </c:numCache>
            </c:numRef>
          </c:val>
        </c:ser>
        <c:ser>
          <c:idx val="2"/>
          <c:order val="2"/>
          <c:tx>
            <c:strRef>
              <c:f>Dashboard!$E$121</c:f>
              <c:strCache>
                <c:ptCount val="1"/>
                <c:pt idx="0">
                  <c:v>FY25A</c:v>
                </c:pt>
              </c:strCache>
            </c:strRef>
          </c:tx>
          <c:spPr>
            <a:solidFill>
              <a:srgbClr val="0071E3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Dashboard!$B$122:$B$126</c:f>
              <c:strCache>
                <c:ptCount val="5"/>
                <c:pt idx="0">
                  <c:v>iPhone</c:v>
                </c:pt>
                <c:pt idx="1">
                  <c:v>Services</c:v>
                </c:pt>
                <c:pt idx="2">
                  <c:v>Wearables</c:v>
                </c:pt>
                <c:pt idx="3">
                  <c:v>Mac</c:v>
                </c:pt>
                <c:pt idx="4">
                  <c:v>iPad</c:v>
                </c:pt>
              </c:strCache>
            </c:strRef>
          </c:cat>
          <c:val>
            <c:numRef>
              <c:f>Dashboard!$E$122:$E$126</c:f>
              <c:numCache>
                <c:formatCode>General</c:formatCode>
                <c:ptCount val="5"/>
                <c:pt idx="0">
                  <c:v>209.586</c:v>
                </c:pt>
                <c:pt idx="1">
                  <c:v>109.158</c:v>
                </c:pt>
                <c:pt idx="2">
                  <c:v>35.686</c:v>
                </c:pt>
                <c:pt idx="3">
                  <c:v>33.708</c:v>
                </c:pt>
                <c:pt idx="4">
                  <c:v>28.023</c:v>
                </c:pt>
              </c:numCache>
            </c:numRef>
          </c:val>
        </c:ser>
        <c:gapWidth val="219"/>
        <c:overlap val="-27"/>
        <c:axId val="49193610"/>
        <c:axId val="31749275"/>
      </c:barChart>
      <c:catAx>
        <c:axId val="491936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31749275"/>
        <c:crosses val="autoZero"/>
        <c:auto val="1"/>
        <c:lblAlgn val="ctr"/>
        <c:lblOffset val="100"/>
        <c:noMultiLvlLbl val="0"/>
      </c:catAx>
      <c:valAx>
        <c:axId val="31749275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[$$-409]#,##0\B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49193610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0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Dashboard!$B$129</c:f>
              <c:strCache>
                <c:ptCount val="1"/>
                <c:pt idx="0">
                  <c:v>FCF ($B)</c:v>
                </c:pt>
              </c:strCache>
            </c:strRef>
          </c:tx>
          <c:spPr>
            <a:ln w="1260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86868B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86868B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86868B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86868B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86868B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0071E3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0071E3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0071E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Dashboard!$C$128:$K$128</c:f>
              <c:strCache>
                <c:ptCount val="9"/>
                <c:pt idx="0">
                  <c:v>FY21A</c:v>
                </c:pt>
                <c:pt idx="1">
                  <c:v>FY22A</c:v>
                </c:pt>
                <c:pt idx="2">
                  <c:v>FY23A</c:v>
                </c:pt>
                <c:pt idx="3">
                  <c:v>FY24A</c:v>
                </c:pt>
                <c:pt idx="4">
                  <c:v>FY25A</c:v>
                </c:pt>
                <c:pt idx="5">
                  <c:v>FY26E</c:v>
                </c:pt>
                <c:pt idx="6">
                  <c:v>FY27E</c:v>
                </c:pt>
                <c:pt idx="7">
                  <c:v>FY28E</c:v>
                </c:pt>
                <c:pt idx="8">
                  <c:v>FY29E</c:v>
                </c:pt>
              </c:strCache>
            </c:strRef>
          </c:cat>
          <c:val>
            <c:numRef>
              <c:f>Dashboard!$C$129:$K$129</c:f>
              <c:numCache>
                <c:formatCode>General</c:formatCode>
                <c:ptCount val="9"/>
                <c:pt idx="0">
                  <c:v>92.953</c:v>
                </c:pt>
                <c:pt idx="1">
                  <c:v>111.443</c:v>
                </c:pt>
                <c:pt idx="2">
                  <c:v>99.584</c:v>
                </c:pt>
                <c:pt idx="3">
                  <c:v>108.807</c:v>
                </c:pt>
                <c:pt idx="4">
                  <c:v>98.767</c:v>
                </c:pt>
                <c:pt idx="5">
                  <c:v>153.635750984331</c:v>
                </c:pt>
                <c:pt idx="6">
                  <c:v>144.816262254417</c:v>
                </c:pt>
                <c:pt idx="7">
                  <c:v>154.120936311231</c:v>
                </c:pt>
                <c:pt idx="8">
                  <c:v>164.299734886534</c:v>
                </c:pt>
              </c:numCache>
            </c:numRef>
          </c:val>
        </c:ser>
        <c:gapWidth val="219"/>
        <c:overlap val="-27"/>
        <c:axId val="49815876"/>
        <c:axId val="96958988"/>
      </c:barChart>
      <c:catAx>
        <c:axId val="498158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96958988"/>
        <c:crosses val="autoZero"/>
        <c:auto val="1"/>
        <c:lblAlgn val="ctr"/>
        <c:lblOffset val="100"/>
        <c:noMultiLvlLbl val="0"/>
      </c:catAx>
      <c:valAx>
        <c:axId val="96958988"/>
        <c:scaling>
          <c:orientation val="minMax"/>
        </c:scaling>
        <c:delete val="0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[$$-409]#,##0\B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49815876"/>
        <c:crosses val="autoZero"/>
        <c:crossBetween val="between"/>
      </c:valAx>
      <c:spPr>
        <a:noFill/>
        <a:ln w="0">
          <a:noFill/>
        </a:ln>
      </c:spPr>
    </c:plotArea>
    <c:plotVisOnly val="0"/>
    <c:dispBlanksAs val="gap"/>
  </c:chart>
  <c:spPr>
    <a:ln w="9360">
      <a:solidFill>
        <a:schemeClr val="dk1">
          <a:lumMod val="15000"/>
          <a:lumOff val="85000"/>
        </a:schemeClr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barChart>
        <c:barDir val="col"/>
        <c:grouping val="stacked"/>
        <c:varyColors val="0"/>
        <c:ser>
          <c:idx val="0"/>
          <c:order val="0"/>
          <c:tx>
            <c:strRef>
              <c:f>Pivots!$B$13</c:f>
              <c:strCache>
                <c:ptCount val="1"/>
                <c:pt idx="0">
                  <c:v>Products revenue</c:v>
                </c:pt>
              </c:strCache>
            </c:strRef>
          </c:tx>
          <c:spPr>
            <a:solidFill>
              <a:srgbClr val="0A234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Pivots!$F$12:$N$12</c:f>
              <c:strCache>
                <c:ptCount val="9"/>
                <c:pt idx="0">
                  <c:v>FY2021A</c:v>
                </c:pt>
                <c:pt idx="1">
                  <c:v>FY2022A</c:v>
                </c:pt>
                <c:pt idx="2">
                  <c:v>FY2023A</c:v>
                </c:pt>
                <c:pt idx="3">
                  <c:v>FY2024A</c:v>
                </c:pt>
                <c:pt idx="4">
                  <c:v>FY2025A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</c:strCache>
            </c:strRef>
          </c:cat>
          <c:val>
            <c:numRef>
              <c:f>Pivots!$F$13:$N$13</c:f>
              <c:numCache>
                <c:formatCode>#,##0;\(#,##0\);\-</c:formatCode>
                <c:ptCount val="9"/>
                <c:pt idx="0">
                  <c:v>297392</c:v>
                </c:pt>
                <c:pt idx="1">
                  <c:v>316199</c:v>
                </c:pt>
                <c:pt idx="2">
                  <c:v>298085</c:v>
                </c:pt>
                <c:pt idx="3">
                  <c:v>294866</c:v>
                </c:pt>
                <c:pt idx="4">
                  <c:v>307003</c:v>
                </c:pt>
                <c:pt idx="5">
                  <c:v>316250.16</c:v>
                </c:pt>
                <c:pt idx="6">
                  <c:v>325795.701</c:v>
                </c:pt>
                <c:pt idx="7">
                  <c:v>335650.004994</c:v>
                </c:pt>
                <c:pt idx="8">
                  <c:v>345823.8446091</c:v>
                </c:pt>
              </c:numCache>
            </c:numRef>
          </c:val>
        </c:ser>
        <c:ser>
          <c:idx val="1"/>
          <c:order val="1"/>
          <c:tx>
            <c:strRef>
              <c:f>Pivots!$B$14</c:f>
              <c:strCache>
                <c:ptCount val="1"/>
                <c:pt idx="0">
                  <c:v>Services revenue</c:v>
                </c:pt>
              </c:strCache>
            </c:strRef>
          </c:tx>
          <c:spPr>
            <a:solidFill>
              <a:srgbClr val="2E5BF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Pivots!$F$12:$N$12</c:f>
              <c:strCache>
                <c:ptCount val="9"/>
                <c:pt idx="0">
                  <c:v>FY2021A</c:v>
                </c:pt>
                <c:pt idx="1">
                  <c:v>FY2022A</c:v>
                </c:pt>
                <c:pt idx="2">
                  <c:v>FY2023A</c:v>
                </c:pt>
                <c:pt idx="3">
                  <c:v>FY2024A</c:v>
                </c:pt>
                <c:pt idx="4">
                  <c:v>FY2025A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</c:strCache>
            </c:strRef>
          </c:cat>
          <c:val>
            <c:numRef>
              <c:f>Pivots!$F$14:$N$14</c:f>
              <c:numCache>
                <c:formatCode>#,##0;\(#,##0\);\-</c:formatCode>
                <c:ptCount val="9"/>
                <c:pt idx="0">
                  <c:v>68425</c:v>
                </c:pt>
                <c:pt idx="1">
                  <c:v>78129</c:v>
                </c:pt>
                <c:pt idx="2">
                  <c:v>85200</c:v>
                </c:pt>
                <c:pt idx="3">
                  <c:v>96169</c:v>
                </c:pt>
                <c:pt idx="4">
                  <c:v>109158</c:v>
                </c:pt>
                <c:pt idx="5">
                  <c:v>120619.59</c:v>
                </c:pt>
                <c:pt idx="6">
                  <c:v>133284.64695</c:v>
                </c:pt>
                <c:pt idx="7">
                  <c:v>147279.53487975</c:v>
                </c:pt>
                <c:pt idx="8">
                  <c:v>162743.886042124</c:v>
                </c:pt>
              </c:numCache>
            </c:numRef>
          </c:val>
        </c:ser>
        <c:gapWidth val="150"/>
        <c:overlap val="100"/>
        <c:axId val="89303866"/>
        <c:axId val="98103077"/>
      </c:barChart>
      <c:catAx>
        <c:axId val="8930386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103077"/>
        <c:crosses val="autoZero"/>
        <c:auto val="1"/>
        <c:lblAlgn val="ctr"/>
        <c:lblOffset val="100"/>
        <c:noMultiLvlLbl val="0"/>
      </c:catAx>
      <c:valAx>
        <c:axId val="98103077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30386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Pivots!$B$19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28080">
              <a:solidFill>
                <a:srgbClr val="0A2342"/>
              </a:solidFill>
              <a:round/>
            </a:ln>
          </c:spPr>
          <c:marker>
            <c:symbol val="circle"/>
            <c:size val="7"/>
            <c:spPr>
              <a:solidFill>
                <a:srgbClr val="0A2342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Pivots!$F$18:$N$18</c:f>
              <c:strCache>
                <c:ptCount val="9"/>
                <c:pt idx="0">
                  <c:v>FY2021A</c:v>
                </c:pt>
                <c:pt idx="1">
                  <c:v>FY2022A</c:v>
                </c:pt>
                <c:pt idx="2">
                  <c:v>FY2023A</c:v>
                </c:pt>
                <c:pt idx="3">
                  <c:v>FY2024A</c:v>
                </c:pt>
                <c:pt idx="4">
                  <c:v>FY2025A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</c:strCache>
            </c:strRef>
          </c:cat>
          <c:val>
            <c:numRef>
              <c:f>Pivots!$F$19:$N$19</c:f>
              <c:numCache>
                <c:formatCode>0.0%;\(0.0%\);\-</c:formatCode>
                <c:ptCount val="9"/>
                <c:pt idx="0">
                  <c:v>0.417793596251678</c:v>
                </c:pt>
                <c:pt idx="1">
                  <c:v>0.433096305613601</c:v>
                </c:pt>
                <c:pt idx="2">
                  <c:v>0.441311295772076</c:v>
                </c:pt>
                <c:pt idx="3">
                  <c:v>0.462063498152339</c:v>
                </c:pt>
                <c:pt idx="4">
                  <c:v>0.469051641071605</c:v>
                </c:pt>
                <c:pt idx="5">
                  <c:v>0.477678867900558</c:v>
                </c:pt>
                <c:pt idx="6">
                  <c:v>0.483228572171775</c:v>
                </c:pt>
                <c:pt idx="7">
                  <c:v>0.488938714368391</c:v>
                </c:pt>
                <c:pt idx="8">
                  <c:v>0.494801696472473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Pivots!$B$20</c:f>
              <c:strCache>
                <c:ptCount val="1"/>
                <c:pt idx="0">
                  <c:v>Operating margin %</c:v>
                </c:pt>
              </c:strCache>
            </c:strRef>
          </c:tx>
          <c:spPr>
            <a:ln w="28080">
              <a:solidFill>
                <a:srgbClr val="2E5BFF"/>
              </a:solidFill>
              <a:round/>
            </a:ln>
          </c:spPr>
          <c:marker>
            <c:symbol val="circle"/>
            <c:size val="7"/>
            <c:spPr>
              <a:solidFill>
                <a:srgbClr val="2E5BFF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Pivots!$F$18:$N$18</c:f>
              <c:strCache>
                <c:ptCount val="9"/>
                <c:pt idx="0">
                  <c:v>FY2021A</c:v>
                </c:pt>
                <c:pt idx="1">
                  <c:v>FY2022A</c:v>
                </c:pt>
                <c:pt idx="2">
                  <c:v>FY2023A</c:v>
                </c:pt>
                <c:pt idx="3">
                  <c:v>FY2024A</c:v>
                </c:pt>
                <c:pt idx="4">
                  <c:v>FY2025A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</c:strCache>
            </c:strRef>
          </c:cat>
          <c:val>
            <c:numRef>
              <c:f>Pivots!$F$20:$N$20</c:f>
              <c:numCache>
                <c:formatCode>0.0%;\(0.0%\);\-</c:formatCode>
                <c:ptCount val="9"/>
                <c:pt idx="0">
                  <c:v>0.297823775275616</c:v>
                </c:pt>
                <c:pt idx="1">
                  <c:v>0.302887443955286</c:v>
                </c:pt>
                <c:pt idx="2">
                  <c:v>0.298214122650247</c:v>
                </c:pt>
                <c:pt idx="3">
                  <c:v>0.315102228700756</c:v>
                </c:pt>
                <c:pt idx="4">
                  <c:v>0.319707997625919</c:v>
                </c:pt>
                <c:pt idx="5">
                  <c:v>0.326640039966145</c:v>
                </c:pt>
                <c:pt idx="6">
                  <c:v>0.330602074244158</c:v>
                </c:pt>
                <c:pt idx="7">
                  <c:v>0.334840285709772</c:v>
                </c:pt>
                <c:pt idx="8">
                  <c:v>0.339355017613761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Pivots!$B$21</c:f>
              <c:strCache>
                <c:ptCount val="1"/>
                <c:pt idx="0">
                  <c:v>Net margin %</c:v>
                </c:pt>
              </c:strCache>
            </c:strRef>
          </c:tx>
          <c:spPr>
            <a:ln w="28080">
              <a:solidFill>
                <a:srgbClr val="0FA89F"/>
              </a:solidFill>
              <a:round/>
            </a:ln>
          </c:spPr>
          <c:marker>
            <c:symbol val="circle"/>
            <c:size val="7"/>
            <c:spPr>
              <a:solidFill>
                <a:srgbClr val="0FA89F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Pivots!$F$18:$N$18</c:f>
              <c:strCache>
                <c:ptCount val="9"/>
                <c:pt idx="0">
                  <c:v>FY2021A</c:v>
                </c:pt>
                <c:pt idx="1">
                  <c:v>FY2022A</c:v>
                </c:pt>
                <c:pt idx="2">
                  <c:v>FY2023A</c:v>
                </c:pt>
                <c:pt idx="3">
                  <c:v>FY2024A</c:v>
                </c:pt>
                <c:pt idx="4">
                  <c:v>FY2025A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</c:strCache>
            </c:strRef>
          </c:cat>
          <c:val>
            <c:numRef>
              <c:f>Pivots!$F$21:$N$21</c:f>
              <c:numCache>
                <c:formatCode>0.0%;\(0.0%\);\-</c:formatCode>
                <c:ptCount val="9"/>
                <c:pt idx="0">
                  <c:v>0.258817933556942</c:v>
                </c:pt>
                <c:pt idx="1">
                  <c:v>0.253096407051997</c:v>
                </c:pt>
                <c:pt idx="2">
                  <c:v>0.253062342643203</c:v>
                </c:pt>
                <c:pt idx="3">
                  <c:v>0.239712557699439</c:v>
                </c:pt>
                <c:pt idx="4">
                  <c:v>0.269150641218182</c:v>
                </c:pt>
                <c:pt idx="5">
                  <c:v>0.277644033971224</c:v>
                </c:pt>
                <c:pt idx="6">
                  <c:v>0.281011763107535</c:v>
                </c:pt>
                <c:pt idx="7">
                  <c:v>0.284614242853306</c:v>
                </c:pt>
                <c:pt idx="8">
                  <c:v>0.288451764971697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9102857"/>
        <c:axId val="66145960"/>
      </c:lineChart>
      <c:catAx>
        <c:axId val="1910285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145960"/>
        <c:crosses val="autoZero"/>
        <c:auto val="1"/>
        <c:lblAlgn val="ctr"/>
        <c:lblOffset val="100"/>
        <c:noMultiLvlLbl val="0"/>
      </c:catAx>
      <c:valAx>
        <c:axId val="66145960"/>
        <c:scaling>
          <c:orientation val="minMax"/>
        </c:scaling>
        <c:delete val="0"/>
        <c:axPos val="l"/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10285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Pivots!$B$25</c:f>
              <c:strCache>
                <c:ptCount val="1"/>
                <c:pt idx="0">
                  <c:v>Cash from operations</c:v>
                </c:pt>
              </c:strCache>
            </c:strRef>
          </c:tx>
          <c:spPr>
            <a:solidFill>
              <a:srgbClr val="0A234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Pivots!$F$24:$N$24</c:f>
              <c:strCache>
                <c:ptCount val="9"/>
                <c:pt idx="0">
                  <c:v>FY2021A</c:v>
                </c:pt>
                <c:pt idx="1">
                  <c:v>FY2022A</c:v>
                </c:pt>
                <c:pt idx="2">
                  <c:v>FY2023A</c:v>
                </c:pt>
                <c:pt idx="3">
                  <c:v>FY2024A</c:v>
                </c:pt>
                <c:pt idx="4">
                  <c:v>FY2025A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</c:strCache>
            </c:strRef>
          </c:cat>
          <c:val>
            <c:numRef>
              <c:f>Pivots!$F$25:$N$25</c:f>
              <c:numCache>
                <c:formatCode>#,##0;\(#,##0\);\-</c:formatCode>
                <c:ptCount val="9"/>
                <c:pt idx="0">
                  <c:v>104038</c:v>
                </c:pt>
                <c:pt idx="1">
                  <c:v>122151</c:v>
                </c:pt>
                <c:pt idx="2">
                  <c:v>110543</c:v>
                </c:pt>
                <c:pt idx="3">
                  <c:v>118254</c:v>
                </c:pt>
                <c:pt idx="4">
                  <c:v>111482</c:v>
                </c:pt>
                <c:pt idx="5">
                  <c:v>165868.103984331</c:v>
                </c:pt>
                <c:pt idx="6">
                  <c:v>157670.511997017</c:v>
                </c:pt>
                <c:pt idx="7">
                  <c:v>167642.963427696</c:v>
                </c:pt>
                <c:pt idx="8">
                  <c:v>178539.631344768</c:v>
                </c:pt>
              </c:numCache>
            </c:numRef>
          </c:val>
        </c:ser>
        <c:ser>
          <c:idx val="1"/>
          <c:order val="1"/>
          <c:tx>
            <c:strRef>
              <c:f>Pivots!$B$26</c:f>
              <c:strCache>
                <c:ptCount val="1"/>
                <c:pt idx="0">
                  <c:v>Capital expenditures</c:v>
                </c:pt>
              </c:strCache>
            </c:strRef>
          </c:tx>
          <c:spPr>
            <a:solidFill>
              <a:srgbClr val="C8102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Pivots!$F$24:$N$24</c:f>
              <c:strCache>
                <c:ptCount val="9"/>
                <c:pt idx="0">
                  <c:v>FY2021A</c:v>
                </c:pt>
                <c:pt idx="1">
                  <c:v>FY2022A</c:v>
                </c:pt>
                <c:pt idx="2">
                  <c:v>FY2023A</c:v>
                </c:pt>
                <c:pt idx="3">
                  <c:v>FY2024A</c:v>
                </c:pt>
                <c:pt idx="4">
                  <c:v>FY2025A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</c:strCache>
            </c:strRef>
          </c:cat>
          <c:val>
            <c:numRef>
              <c:f>Pivots!$F$26:$N$26</c:f>
              <c:numCache>
                <c:formatCode>#,##0;\(#,##0\);\-</c:formatCode>
                <c:ptCount val="9"/>
                <c:pt idx="0">
                  <c:v>-11085</c:v>
                </c:pt>
                <c:pt idx="1">
                  <c:v>-10708</c:v>
                </c:pt>
                <c:pt idx="2">
                  <c:v>-10959</c:v>
                </c:pt>
                <c:pt idx="3">
                  <c:v>-9447</c:v>
                </c:pt>
                <c:pt idx="4">
                  <c:v>-12715</c:v>
                </c:pt>
                <c:pt idx="5">
                  <c:v>-12232.353</c:v>
                </c:pt>
                <c:pt idx="6">
                  <c:v>-12854.2497426</c:v>
                </c:pt>
                <c:pt idx="7">
                  <c:v>-13522.027116465</c:v>
                </c:pt>
                <c:pt idx="8">
                  <c:v>-14239.8964582343</c:v>
                </c:pt>
              </c:numCache>
            </c:numRef>
          </c:val>
        </c:ser>
        <c:ser>
          <c:idx val="2"/>
          <c:order val="2"/>
          <c:tx>
            <c:strRef>
              <c:f>Pivots!$B$27</c:f>
              <c:strCache>
                <c:ptCount val="1"/>
                <c:pt idx="0">
                  <c:v>Free cash flow</c:v>
                </c:pt>
              </c:strCache>
            </c:strRef>
          </c:tx>
          <c:spPr>
            <a:solidFill>
              <a:srgbClr val="0FA958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Pivots!$F$24:$N$24</c:f>
              <c:strCache>
                <c:ptCount val="9"/>
                <c:pt idx="0">
                  <c:v>FY2021A</c:v>
                </c:pt>
                <c:pt idx="1">
                  <c:v>FY2022A</c:v>
                </c:pt>
                <c:pt idx="2">
                  <c:v>FY2023A</c:v>
                </c:pt>
                <c:pt idx="3">
                  <c:v>FY2024A</c:v>
                </c:pt>
                <c:pt idx="4">
                  <c:v>FY2025A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</c:strCache>
            </c:strRef>
          </c:cat>
          <c:val>
            <c:numRef>
              <c:f>Pivots!$F$27:$N$27</c:f>
              <c:numCache>
                <c:formatCode>#,##0;\(#,##0\);\-</c:formatCode>
                <c:ptCount val="9"/>
                <c:pt idx="0">
                  <c:v>92953</c:v>
                </c:pt>
                <c:pt idx="1">
                  <c:v>111443</c:v>
                </c:pt>
                <c:pt idx="2">
                  <c:v>99584</c:v>
                </c:pt>
                <c:pt idx="3">
                  <c:v>108807</c:v>
                </c:pt>
                <c:pt idx="4">
                  <c:v>98767</c:v>
                </c:pt>
                <c:pt idx="5">
                  <c:v>153635.750984331</c:v>
                </c:pt>
                <c:pt idx="6">
                  <c:v>144816.262254417</c:v>
                </c:pt>
                <c:pt idx="7">
                  <c:v>154120.936311231</c:v>
                </c:pt>
                <c:pt idx="8">
                  <c:v>164299.734886534</c:v>
                </c:pt>
              </c:numCache>
            </c:numRef>
          </c:val>
        </c:ser>
        <c:gapWidth val="150"/>
        <c:overlap val="0"/>
        <c:axId val="31397878"/>
        <c:axId val="61757937"/>
      </c:barChart>
      <c:catAx>
        <c:axId val="3139787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757937"/>
        <c:crosses val="autoZero"/>
        <c:auto val="1"/>
        <c:lblAlgn val="ctr"/>
        <c:lblOffset val="100"/>
        <c:noMultiLvlLbl val="0"/>
      </c:catAx>
      <c:valAx>
        <c:axId val="61757937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39787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19917618921074"/>
          <c:y val="0.107856556255133"/>
          <c:w val="0.851647621578528"/>
          <c:h val="0.5496851902545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Pivots!$B$31</c:f>
              <c:strCache>
                <c:ptCount val="1"/>
                <c:pt idx="0">
                  <c:v>Dividends paid</c:v>
                </c:pt>
              </c:strCache>
            </c:strRef>
          </c:tx>
          <c:spPr>
            <a:solidFill>
              <a:srgbClr val="F4A26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Pivots!$F$30:$N$30</c:f>
              <c:strCache>
                <c:ptCount val="9"/>
                <c:pt idx="0">
                  <c:v>FY2021A</c:v>
                </c:pt>
                <c:pt idx="1">
                  <c:v>FY2022A</c:v>
                </c:pt>
                <c:pt idx="2">
                  <c:v>FY2023A</c:v>
                </c:pt>
                <c:pt idx="3">
                  <c:v>FY2024A</c:v>
                </c:pt>
                <c:pt idx="4">
                  <c:v>FY2025A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</c:strCache>
            </c:strRef>
          </c:cat>
          <c:val>
            <c:numRef>
              <c:f>Pivots!$F$31:$N$31</c:f>
              <c:numCache>
                <c:formatCode>#,##0;\(#,##0\);\-</c:formatCode>
                <c:ptCount val="9"/>
                <c:pt idx="0">
                  <c:v>-14467</c:v>
                </c:pt>
                <c:pt idx="1">
                  <c:v>-14841</c:v>
                </c:pt>
                <c:pt idx="2">
                  <c:v>-15025</c:v>
                </c:pt>
                <c:pt idx="3">
                  <c:v>-15234</c:v>
                </c:pt>
                <c:pt idx="4">
                  <c:v>-15421</c:v>
                </c:pt>
                <c:pt idx="5">
                  <c:v>-21893.0945152672</c:v>
                </c:pt>
                <c:pt idx="6">
                  <c:v>-20636.3173712544</c:v>
                </c:pt>
                <c:pt idx="7">
                  <c:v>-21962.2334243504</c:v>
                </c:pt>
                <c:pt idx="8">
                  <c:v>-23412.7122213311</c:v>
                </c:pt>
              </c:numCache>
            </c:numRef>
          </c:val>
        </c:ser>
        <c:ser>
          <c:idx val="1"/>
          <c:order val="1"/>
          <c:tx>
            <c:strRef>
              <c:f>Pivots!$B$32</c:f>
              <c:strCache>
                <c:ptCount val="1"/>
                <c:pt idx="0">
                  <c:v>Share repurchases</c:v>
                </c:pt>
              </c:strCache>
            </c:strRef>
          </c:tx>
          <c:spPr>
            <a:solidFill>
              <a:srgbClr val="061A33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Pivots!$F$30:$N$30</c:f>
              <c:strCache>
                <c:ptCount val="9"/>
                <c:pt idx="0">
                  <c:v>FY2021A</c:v>
                </c:pt>
                <c:pt idx="1">
                  <c:v>FY2022A</c:v>
                </c:pt>
                <c:pt idx="2">
                  <c:v>FY2023A</c:v>
                </c:pt>
                <c:pt idx="3">
                  <c:v>FY2024A</c:v>
                </c:pt>
                <c:pt idx="4">
                  <c:v>FY2025A</c:v>
                </c:pt>
                <c:pt idx="5">
                  <c:v>FY2026E</c:v>
                </c:pt>
                <c:pt idx="6">
                  <c:v>FY2027E</c:v>
                </c:pt>
                <c:pt idx="7">
                  <c:v>FY2028E</c:v>
                </c:pt>
                <c:pt idx="8">
                  <c:v>FY2029E</c:v>
                </c:pt>
              </c:strCache>
            </c:strRef>
          </c:cat>
          <c:val>
            <c:numRef>
              <c:f>Pivots!$F$32:$N$32</c:f>
              <c:numCache>
                <c:formatCode>#,##0;\(#,##0\);\-</c:formatCode>
                <c:ptCount val="9"/>
                <c:pt idx="0">
                  <c:v>-85971</c:v>
                </c:pt>
                <c:pt idx="1">
                  <c:v>-89402</c:v>
                </c:pt>
                <c:pt idx="2">
                  <c:v>-77550</c:v>
                </c:pt>
                <c:pt idx="3">
                  <c:v>-94949</c:v>
                </c:pt>
                <c:pt idx="4">
                  <c:v>-90711</c:v>
                </c:pt>
                <c:pt idx="5">
                  <c:v>-124060.868919847</c:v>
                </c:pt>
                <c:pt idx="6">
                  <c:v>-116939.131770442</c:v>
                </c:pt>
                <c:pt idx="7">
                  <c:v>-124452.656071319</c:v>
                </c:pt>
                <c:pt idx="8">
                  <c:v>-132672.035920876</c:v>
                </c:pt>
              </c:numCache>
            </c:numRef>
          </c:val>
        </c:ser>
        <c:gapWidth val="150"/>
        <c:overlap val="100"/>
        <c:axId val="20021672"/>
        <c:axId val="2362289"/>
      </c:barChart>
      <c:catAx>
        <c:axId val="200216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62289"/>
        <c:crosses val="autoZero"/>
        <c:auto val="1"/>
        <c:lblAlgn val="ctr"/>
        <c:lblOffset val="100"/>
        <c:noMultiLvlLbl val="0"/>
      </c:catAx>
      <c:valAx>
        <c:axId val="2362289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02167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000" b="0" u="none" strike="noStrike">
      <a:uFillTx/>
    </a:defRPr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50760</xdr:colOff>
      <xdr:row>13</xdr:row>
      <xdr:rowOff>50760</xdr:rowOff>
    </xdr:from>
    <xdr:to>
      <xdr:col>11</xdr:col>
      <xdr:colOff>647280</xdr:colOff>
      <xdr:row>25</xdr:row>
      <xdr:rowOff>132840</xdr:rowOff>
    </xdr:to>
    <xdr:graphicFrame>
      <xdr:nvGraphicFramePr>
        <xdr:cNvPr id="1" name="RevenueTrend"/>
        <xdr:cNvGraphicFramePr/>
      </xdr:nvGraphicFramePr>
      <xdr:xfrm>
        <a:off x="1844640" y="2920320"/>
        <a:ext cx="6235200" cy="2253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50760</xdr:colOff>
      <xdr:row>13</xdr:row>
      <xdr:rowOff>50760</xdr:rowOff>
    </xdr:from>
    <xdr:to>
      <xdr:col>20</xdr:col>
      <xdr:colOff>647280</xdr:colOff>
      <xdr:row>25</xdr:row>
      <xdr:rowOff>132840</xdr:rowOff>
    </xdr:to>
    <xdr:graphicFrame>
      <xdr:nvGraphicFramePr>
        <xdr:cNvPr id="2" name="GeoDonut"/>
        <xdr:cNvGraphicFramePr/>
      </xdr:nvGraphicFramePr>
      <xdr:xfrm>
        <a:off x="8893080" y="2920320"/>
        <a:ext cx="5530680" cy="2253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25560</xdr:colOff>
      <xdr:row>29</xdr:row>
      <xdr:rowOff>25560</xdr:rowOff>
    </xdr:from>
    <xdr:to>
      <xdr:col>6</xdr:col>
      <xdr:colOff>672840</xdr:colOff>
      <xdr:row>42</xdr:row>
      <xdr:rowOff>158400</xdr:rowOff>
    </xdr:to>
    <xdr:graphicFrame>
      <xdr:nvGraphicFramePr>
        <xdr:cNvPr id="3" name="SegmentDonut"/>
        <xdr:cNvGraphicFramePr/>
      </xdr:nvGraphicFramePr>
      <xdr:xfrm>
        <a:off x="1819440" y="5790600"/>
        <a:ext cx="2761920" cy="2485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25560</xdr:colOff>
      <xdr:row>29</xdr:row>
      <xdr:rowOff>25560</xdr:rowOff>
    </xdr:from>
    <xdr:to>
      <xdr:col>20</xdr:col>
      <xdr:colOff>672840</xdr:colOff>
      <xdr:row>42</xdr:row>
      <xdr:rowOff>158400</xdr:rowOff>
    </xdr:to>
    <xdr:graphicFrame>
      <xdr:nvGraphicFramePr>
        <xdr:cNvPr id="4" name="Top5Products"/>
        <xdr:cNvGraphicFramePr/>
      </xdr:nvGraphicFramePr>
      <xdr:xfrm>
        <a:off x="8867880" y="5790600"/>
        <a:ext cx="5581440" cy="2485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25560</xdr:colOff>
      <xdr:row>46</xdr:row>
      <xdr:rowOff>25560</xdr:rowOff>
    </xdr:from>
    <xdr:to>
      <xdr:col>20</xdr:col>
      <xdr:colOff>672840</xdr:colOff>
      <xdr:row>59</xdr:row>
      <xdr:rowOff>158400</xdr:rowOff>
    </xdr:to>
    <xdr:graphicFrame>
      <xdr:nvGraphicFramePr>
        <xdr:cNvPr id="5" name="MarginsTrend"/>
        <xdr:cNvGraphicFramePr/>
      </xdr:nvGraphicFramePr>
      <xdr:xfrm>
        <a:off x="8867880" y="8867160"/>
        <a:ext cx="5581440" cy="2485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</xdr:col>
      <xdr:colOff>25560</xdr:colOff>
      <xdr:row>63</xdr:row>
      <xdr:rowOff>25560</xdr:rowOff>
    </xdr:from>
    <xdr:to>
      <xdr:col>8</xdr:col>
      <xdr:colOff>672840</xdr:colOff>
      <xdr:row>75</xdr:row>
      <xdr:rowOff>158400</xdr:rowOff>
    </xdr:to>
    <xdr:graphicFrame>
      <xdr:nvGraphicFramePr>
        <xdr:cNvPr id="6" name="ProductLineBars"/>
        <xdr:cNvGraphicFramePr/>
      </xdr:nvGraphicFramePr>
      <xdr:xfrm>
        <a:off x="1819440" y="11943720"/>
        <a:ext cx="4171680" cy="2304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9</xdr:col>
      <xdr:colOff>25560</xdr:colOff>
      <xdr:row>63</xdr:row>
      <xdr:rowOff>25560</xdr:rowOff>
    </xdr:from>
    <xdr:to>
      <xdr:col>14</xdr:col>
      <xdr:colOff>672840</xdr:colOff>
      <xdr:row>75</xdr:row>
      <xdr:rowOff>158400</xdr:rowOff>
    </xdr:to>
    <xdr:graphicFrame>
      <xdr:nvGraphicFramePr>
        <xdr:cNvPr id="7" name="FCFBars"/>
        <xdr:cNvGraphicFramePr/>
      </xdr:nvGraphicFramePr>
      <xdr:xfrm>
        <a:off x="6048360" y="11943720"/>
        <a:ext cx="4171680" cy="2304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10</xdr:row>
      <xdr:rowOff>0</xdr:rowOff>
    </xdr:from>
    <xdr:to>
      <xdr:col>24</xdr:col>
      <xdr:colOff>484560</xdr:colOff>
      <xdr:row>14</xdr:row>
      <xdr:rowOff>267480</xdr:rowOff>
    </xdr:to>
    <xdr:graphicFrame>
      <xdr:nvGraphicFramePr>
        <xdr:cNvPr id="8" name="Chart 1"/>
        <xdr:cNvGraphicFramePr/>
      </xdr:nvGraphicFramePr>
      <xdr:xfrm>
        <a:off x="9316800" y="2114640"/>
        <a:ext cx="5418360" cy="1400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16</xdr:row>
      <xdr:rowOff>0</xdr:rowOff>
    </xdr:from>
    <xdr:to>
      <xdr:col>24</xdr:col>
      <xdr:colOff>484560</xdr:colOff>
      <xdr:row>20</xdr:row>
      <xdr:rowOff>267480</xdr:rowOff>
    </xdr:to>
    <xdr:graphicFrame>
      <xdr:nvGraphicFramePr>
        <xdr:cNvPr id="9" name="Chart 2"/>
        <xdr:cNvGraphicFramePr/>
      </xdr:nvGraphicFramePr>
      <xdr:xfrm>
        <a:off x="9316800" y="3714840"/>
        <a:ext cx="5418360" cy="1400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22</xdr:row>
      <xdr:rowOff>0</xdr:rowOff>
    </xdr:from>
    <xdr:to>
      <xdr:col>24</xdr:col>
      <xdr:colOff>484560</xdr:colOff>
      <xdr:row>26</xdr:row>
      <xdr:rowOff>267480</xdr:rowOff>
    </xdr:to>
    <xdr:graphicFrame>
      <xdr:nvGraphicFramePr>
        <xdr:cNvPr id="10" name="Chart 3"/>
        <xdr:cNvGraphicFramePr/>
      </xdr:nvGraphicFramePr>
      <xdr:xfrm>
        <a:off x="9316800" y="5315040"/>
        <a:ext cx="5418360" cy="1400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28</xdr:row>
      <xdr:rowOff>0</xdr:rowOff>
    </xdr:from>
    <xdr:to>
      <xdr:col>24</xdr:col>
      <xdr:colOff>484560</xdr:colOff>
      <xdr:row>32</xdr:row>
      <xdr:rowOff>181440</xdr:rowOff>
    </xdr:to>
    <xdr:graphicFrame>
      <xdr:nvGraphicFramePr>
        <xdr:cNvPr id="11" name="Chart 4"/>
        <xdr:cNvGraphicFramePr/>
      </xdr:nvGraphicFramePr>
      <xdr:xfrm>
        <a:off x="9316800" y="6915240"/>
        <a:ext cx="5418360" cy="1314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ww.sec.gov/Archives/edgar/data/320193/000032019325000079/aapl-20250927.htm" TargetMode="External"/><Relationship Id="rId2" Type="http://schemas.openxmlformats.org/officeDocument/2006/relationships/hyperlink" Target="https://www.sec.gov/Archives/edgar/data/320193/000032019322000108/aapl-20220924.htm" TargetMode="External"/><Relationship Id="rId3" Type="http://schemas.openxmlformats.org/officeDocument/2006/relationships/hyperlink" Target="https://www.sec.gov/Archives/edgar/data/320193/000032019323000106/aapl-20230930.htm" TargetMode="External"/><Relationship Id="rId4" Type="http://schemas.openxmlformats.org/officeDocument/2006/relationships/hyperlink" Target="https://www.apple.com/newsroom/pdfs/fy2025-q4/FY25_Q4_Consolidated_Financial_Statements.pdf" TargetMode="External"/><Relationship Id="rId5" Type="http://schemas.openxmlformats.org/officeDocument/2006/relationships/hyperlink" Target="https://www.apple.com/newsroom/pdfs/FY22_Q4_Consolidated_Financial_Statements.pdf" TargetMode="External"/><Relationship Id="rId6" Type="http://schemas.openxmlformats.org/officeDocument/2006/relationships/hyperlink" Target="https://www.sec.gov/cgi-bin/browse-edgar?action=getcompany&amp;CIK=0000320193&amp;type=10-K" TargetMode="External"/><Relationship Id="rId7" Type="http://schemas.openxmlformats.org/officeDocument/2006/relationships/hyperlink" Target="https://investor.apple.com/sec-filings/default.aspx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1D1F"/>
    <pageSetUpPr fitToPage="false"/>
  </sheetPr>
  <dimension ref="A1:E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4" activeCellId="0" sqref="C44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2.36"/>
    <col collapsed="false" customWidth="true" hidden="false" outlineLevel="0" max="3" min="3" style="0" width="69.91"/>
    <col collapsed="false" customWidth="true" hidden="false" outlineLevel="0" max="4" min="4" style="0" width="4"/>
  </cols>
  <sheetData>
    <row r="1" customFormat="false" ht="49.5" hidden="false" customHeight="true" outlineLevel="0" collapsed="false">
      <c r="A1" s="1"/>
      <c r="B1" s="2" t="s">
        <v>0</v>
      </c>
      <c r="C1" s="2"/>
      <c r="D1" s="2"/>
      <c r="E1" s="3"/>
    </row>
    <row r="2" customFormat="false" ht="27.75" hidden="false" customHeight="true" outlineLevel="0" collapsed="false">
      <c r="A2" s="1"/>
      <c r="B2" s="4" t="s">
        <v>1</v>
      </c>
      <c r="C2" s="4"/>
      <c r="D2" s="4"/>
      <c r="E2" s="3"/>
    </row>
    <row r="3" customFormat="false" ht="7.5" hidden="false" customHeight="true" outlineLevel="0" collapsed="false">
      <c r="A3" s="5"/>
      <c r="B3" s="5"/>
      <c r="C3" s="5"/>
      <c r="D3" s="5"/>
      <c r="E3" s="6"/>
    </row>
    <row r="4" customFormat="false" ht="14.25" hidden="false" customHeight="false" outlineLevel="0" collapsed="false">
      <c r="A4" s="5"/>
      <c r="B4" s="5"/>
      <c r="C4" s="5"/>
      <c r="D4" s="5"/>
    </row>
    <row r="5" customFormat="false" ht="17.25" hidden="false" customHeight="true" outlineLevel="0" collapsed="false">
      <c r="A5" s="5"/>
      <c r="B5" s="7" t="s">
        <v>2</v>
      </c>
      <c r="C5" s="7"/>
      <c r="D5" s="5"/>
    </row>
    <row r="6" customFormat="false" ht="14.25" hidden="false" customHeight="false" outlineLevel="0" collapsed="false">
      <c r="A6" s="5"/>
      <c r="B6" s="5"/>
      <c r="C6" s="5"/>
      <c r="D6" s="5"/>
    </row>
    <row r="7" customFormat="false" ht="18" hidden="false" customHeight="true" outlineLevel="0" collapsed="false">
      <c r="A7" s="5"/>
      <c r="B7" s="8" t="s">
        <v>3</v>
      </c>
      <c r="C7" s="9" t="s">
        <v>4</v>
      </c>
      <c r="D7" s="5"/>
    </row>
    <row r="8" customFormat="false" ht="18" hidden="false" customHeight="true" outlineLevel="0" collapsed="false">
      <c r="A8" s="5"/>
      <c r="B8" s="8" t="s">
        <v>5</v>
      </c>
      <c r="C8" s="9" t="s">
        <v>6</v>
      </c>
      <c r="D8" s="5"/>
    </row>
    <row r="9" customFormat="false" ht="18" hidden="false" customHeight="true" outlineLevel="0" collapsed="false">
      <c r="A9" s="5"/>
      <c r="B9" s="8" t="s">
        <v>7</v>
      </c>
      <c r="C9" s="9" t="s">
        <v>8</v>
      </c>
      <c r="D9" s="5"/>
    </row>
    <row r="10" customFormat="false" ht="18" hidden="false" customHeight="true" outlineLevel="0" collapsed="false">
      <c r="A10" s="5"/>
      <c r="B10" s="8" t="s">
        <v>9</v>
      </c>
      <c r="C10" s="9" t="s">
        <v>10</v>
      </c>
      <c r="D10" s="5"/>
    </row>
    <row r="11" customFormat="false" ht="18" hidden="false" customHeight="true" outlineLevel="0" collapsed="false">
      <c r="A11" s="5"/>
      <c r="B11" s="8" t="s">
        <v>11</v>
      </c>
      <c r="C11" s="9" t="s">
        <v>12</v>
      </c>
      <c r="D11" s="5"/>
    </row>
    <row r="12" customFormat="false" ht="18" hidden="false" customHeight="true" outlineLevel="0" collapsed="false">
      <c r="A12" s="5"/>
      <c r="B12" s="8" t="s">
        <v>13</v>
      </c>
      <c r="C12" s="9" t="s">
        <v>14</v>
      </c>
      <c r="D12" s="5"/>
    </row>
    <row r="13" customFormat="false" ht="18" hidden="false" customHeight="true" outlineLevel="0" collapsed="false">
      <c r="A13" s="5"/>
      <c r="B13" s="8" t="s">
        <v>15</v>
      </c>
      <c r="C13" s="9" t="str">
        <f aca="false">"Unlevered DCF at WACC "&amp;TEXT(Assumptions!B54,"0.00%")&amp;", terminal growth "&amp;TEXT(Assumptions!B55,"0.0%")&amp;"; FY27E to FY29E discounted from the "&amp;TEXT(Assumptions!B60,"d mmm yyyy")&amp;" valuation date, Gordon terminal value at FY29E"</f>
        <v>Unlevered DCF at WACC 9.34%, terminal growth 2.5%; FY27E to FY29E discounted from the 28 Sep 2026 valuation date, Gordon terminal value at FY29E</v>
      </c>
      <c r="D13" s="5"/>
    </row>
    <row r="14" customFormat="false" ht="18" hidden="false" customHeight="true" outlineLevel="0" collapsed="false">
      <c r="A14" s="5"/>
      <c r="B14" s="8" t="s">
        <v>16</v>
      </c>
      <c r="C14" s="9" t="s">
        <v>17</v>
      </c>
      <c r="D14" s="5"/>
    </row>
    <row r="15" customFormat="false" ht="18" hidden="false" customHeight="true" outlineLevel="0" collapsed="false">
      <c r="A15" s="5"/>
      <c r="B15" s="8" t="s">
        <v>18</v>
      </c>
      <c r="C15" s="9" t="s">
        <v>19</v>
      </c>
      <c r="D15" s="5"/>
    </row>
    <row r="16" customFormat="false" ht="14.25" hidden="false" customHeight="false" outlineLevel="0" collapsed="false">
      <c r="A16" s="5"/>
      <c r="B16" s="5"/>
      <c r="C16" s="5"/>
      <c r="D16" s="5"/>
    </row>
    <row r="17" customFormat="false" ht="17.25" hidden="false" customHeight="true" outlineLevel="0" collapsed="false">
      <c r="A17" s="5"/>
      <c r="B17" s="7" t="s">
        <v>20</v>
      </c>
      <c r="C17" s="7"/>
      <c r="D17" s="5"/>
    </row>
    <row r="18" customFormat="false" ht="14.25" hidden="false" customHeight="false" outlineLevel="0" collapsed="false">
      <c r="A18" s="5"/>
      <c r="B18" s="5"/>
      <c r="C18" s="5"/>
      <c r="D18" s="5"/>
    </row>
    <row r="19" customFormat="false" ht="18" hidden="false" customHeight="true" outlineLevel="0" collapsed="false">
      <c r="A19" s="5"/>
      <c r="B19" s="8" t="s">
        <v>21</v>
      </c>
      <c r="C19" s="9" t="s">
        <v>22</v>
      </c>
      <c r="D19" s="5"/>
    </row>
    <row r="20" customFormat="false" ht="18" hidden="false" customHeight="true" outlineLevel="0" collapsed="false">
      <c r="A20" s="5"/>
      <c r="B20" s="8" t="s">
        <v>23</v>
      </c>
      <c r="C20" s="9" t="s">
        <v>24</v>
      </c>
      <c r="D20" s="5"/>
    </row>
    <row r="21" customFormat="false" ht="18" hidden="false" customHeight="true" outlineLevel="0" collapsed="false">
      <c r="A21" s="5"/>
      <c r="B21" s="8" t="s">
        <v>25</v>
      </c>
      <c r="C21" s="9" t="s">
        <v>26</v>
      </c>
      <c r="D21" s="5"/>
    </row>
    <row r="22" customFormat="false" ht="18" hidden="false" customHeight="true" outlineLevel="0" collapsed="false">
      <c r="A22" s="5"/>
      <c r="B22" s="8" t="s">
        <v>27</v>
      </c>
      <c r="C22" s="9" t="s">
        <v>28</v>
      </c>
      <c r="D22" s="5"/>
    </row>
    <row r="23" customFormat="false" ht="18" hidden="false" customHeight="true" outlineLevel="0" collapsed="false">
      <c r="A23" s="5"/>
      <c r="B23" s="8" t="s">
        <v>29</v>
      </c>
      <c r="C23" s="9" t="s">
        <v>30</v>
      </c>
      <c r="D23" s="5"/>
    </row>
    <row r="24" customFormat="false" ht="18" hidden="false" customHeight="true" outlineLevel="0" collapsed="false">
      <c r="A24" s="5"/>
      <c r="B24" s="8" t="s">
        <v>31</v>
      </c>
      <c r="C24" s="9" t="s">
        <v>32</v>
      </c>
      <c r="D24" s="5"/>
    </row>
    <row r="25" customFormat="false" ht="18" hidden="false" customHeight="true" outlineLevel="0" collapsed="false">
      <c r="A25" s="5"/>
      <c r="B25" s="8" t="s">
        <v>33</v>
      </c>
      <c r="C25" s="9" t="s">
        <v>34</v>
      </c>
      <c r="D25" s="5"/>
    </row>
    <row r="26" customFormat="false" ht="18" hidden="false" customHeight="true" outlineLevel="0" collapsed="false">
      <c r="A26" s="5"/>
      <c r="B26" s="8" t="s">
        <v>35</v>
      </c>
      <c r="C26" s="9" t="s">
        <v>36</v>
      </c>
      <c r="D26" s="5"/>
    </row>
    <row r="27" customFormat="false" ht="18" hidden="false" customHeight="true" outlineLevel="0" collapsed="false">
      <c r="A27" s="5"/>
      <c r="B27" s="8" t="s">
        <v>37</v>
      </c>
      <c r="C27" s="9" t="s">
        <v>38</v>
      </c>
      <c r="D27" s="5"/>
    </row>
    <row r="28" customFormat="false" ht="14.25" hidden="false" customHeight="false" outlineLevel="0" collapsed="false">
      <c r="A28" s="5"/>
      <c r="B28" s="5" t="s">
        <v>39</v>
      </c>
      <c r="C28" s="5" t="s">
        <v>40</v>
      </c>
      <c r="D28" s="5"/>
    </row>
    <row r="29" customFormat="false" ht="17.25" hidden="false" customHeight="true" outlineLevel="0" collapsed="false">
      <c r="A29" s="5"/>
      <c r="B29" s="7" t="s">
        <v>41</v>
      </c>
      <c r="C29" s="7"/>
      <c r="D29" s="5"/>
    </row>
    <row r="30" customFormat="false" ht="14.25" hidden="false" customHeight="false" outlineLevel="0" collapsed="false">
      <c r="A30" s="5"/>
      <c r="B30" s="5"/>
      <c r="C30" s="5"/>
      <c r="D30" s="5"/>
    </row>
    <row r="31" customFormat="false" ht="18" hidden="false" customHeight="true" outlineLevel="0" collapsed="false">
      <c r="A31" s="5"/>
      <c r="B31" s="10" t="s">
        <v>42</v>
      </c>
      <c r="C31" s="9" t="s">
        <v>43</v>
      </c>
      <c r="D31" s="5"/>
    </row>
    <row r="32" customFormat="false" ht="18" hidden="false" customHeight="true" outlineLevel="0" collapsed="false">
      <c r="A32" s="5"/>
      <c r="B32" s="11" t="s">
        <v>44</v>
      </c>
      <c r="C32" s="9" t="s">
        <v>45</v>
      </c>
      <c r="D32" s="5"/>
    </row>
    <row r="33" customFormat="false" ht="18" hidden="false" customHeight="true" outlineLevel="0" collapsed="false">
      <c r="A33" s="5"/>
      <c r="B33" s="12" t="s">
        <v>46</v>
      </c>
      <c r="C33" s="9" t="s">
        <v>47</v>
      </c>
      <c r="D33" s="5"/>
    </row>
    <row r="34" customFormat="false" ht="18" hidden="false" customHeight="true" outlineLevel="0" collapsed="false">
      <c r="A34" s="5"/>
      <c r="B34" s="13" t="s">
        <v>48</v>
      </c>
      <c r="C34" s="9" t="s">
        <v>49</v>
      </c>
      <c r="D34" s="5"/>
    </row>
    <row r="35" customFormat="false" ht="14.25" hidden="false" customHeight="false" outlineLevel="0" collapsed="false">
      <c r="A35" s="5"/>
      <c r="B35" s="5"/>
      <c r="C35" s="5"/>
      <c r="D35" s="5"/>
    </row>
    <row r="36" customFormat="false" ht="17.25" hidden="false" customHeight="true" outlineLevel="0" collapsed="false">
      <c r="A36" s="5"/>
      <c r="B36" s="7" t="s">
        <v>50</v>
      </c>
      <c r="C36" s="7"/>
      <c r="D36" s="5"/>
    </row>
    <row r="37" customFormat="false" ht="14.25" hidden="false" customHeight="false" outlineLevel="0" collapsed="false">
      <c r="A37" s="5"/>
      <c r="B37" s="5"/>
      <c r="C37" s="5"/>
      <c r="D37" s="5"/>
    </row>
    <row r="38" customFormat="false" ht="18" hidden="false" customHeight="true" outlineLevel="0" collapsed="false">
      <c r="A38" s="5"/>
      <c r="B38" s="11" t="s">
        <v>51</v>
      </c>
      <c r="C38" s="14" t="s">
        <v>52</v>
      </c>
      <c r="D38" s="5"/>
    </row>
    <row r="39" customFormat="false" ht="18" hidden="false" customHeight="true" outlineLevel="0" collapsed="false">
      <c r="A39" s="5"/>
      <c r="B39" s="11" t="s">
        <v>53</v>
      </c>
      <c r="C39" s="14" t="s">
        <v>54</v>
      </c>
      <c r="D39" s="5"/>
    </row>
    <row r="40" customFormat="false" ht="18" hidden="false" customHeight="true" outlineLevel="0" collapsed="false">
      <c r="A40" s="5"/>
      <c r="B40" s="11" t="s">
        <v>55</v>
      </c>
      <c r="C40" s="14" t="s">
        <v>56</v>
      </c>
      <c r="D40" s="5"/>
    </row>
    <row r="41" customFormat="false" ht="14.25" hidden="false" customHeight="false" outlineLevel="0" collapsed="false">
      <c r="A41" s="5"/>
      <c r="B41" s="5"/>
      <c r="C41" s="5"/>
      <c r="D41" s="5"/>
    </row>
    <row r="42" customFormat="false" ht="14.25" hidden="false" customHeight="false" outlineLevel="0" collapsed="false">
      <c r="A42" s="5"/>
      <c r="B42" s="5"/>
      <c r="C42" s="5"/>
      <c r="D42" s="5"/>
    </row>
    <row r="43" customFormat="false" ht="15" hidden="false" customHeight="true" outlineLevel="0" collapsed="false">
      <c r="A43" s="5"/>
      <c r="B43" s="15" t="s">
        <v>57</v>
      </c>
      <c r="C43" s="5"/>
      <c r="D43" s="5"/>
    </row>
    <row r="44" customFormat="false" ht="15" hidden="false" customHeight="true" outlineLevel="0" collapsed="false">
      <c r="A44" s="5"/>
      <c r="B44" s="16" t="s">
        <v>58</v>
      </c>
      <c r="C44" s="5"/>
      <c r="D44" s="5"/>
    </row>
    <row r="45" customFormat="false" ht="15" hidden="false" customHeight="true" outlineLevel="0" collapsed="false">
      <c r="A45" s="5"/>
      <c r="B45" s="17" t="s">
        <v>59</v>
      </c>
      <c r="C45" s="5"/>
      <c r="D45" s="5"/>
    </row>
  </sheetData>
  <mergeCells count="6">
    <mergeCell ref="B1:D1"/>
    <mergeCell ref="B2:D2"/>
    <mergeCell ref="B5:C5"/>
    <mergeCell ref="B17:C17"/>
    <mergeCell ref="B29:C29"/>
    <mergeCell ref="B36:C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1D1F"/>
    <pageSetUpPr fitToPage="false"/>
  </sheetPr>
  <dimension ref="A1:X200"/>
  <sheetViews>
    <sheetView showFormulas="false" showGridLines="fals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L30" activeCellId="0" sqref="L30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0" width="1.45"/>
    <col collapsed="false" customWidth="true" hidden="false" outlineLevel="0" max="2" min="2" style="0" width="20"/>
    <col collapsed="false" customWidth="true" hidden="false" outlineLevel="0" max="3" min="3" style="0" width="4"/>
    <col collapsed="false" customWidth="true" hidden="false" outlineLevel="0" max="20" min="4" style="0" width="10"/>
    <col collapsed="false" customWidth="true" hidden="false" outlineLevel="0" max="21" min="21" style="0" width="17.27"/>
    <col collapsed="false" customWidth="true" hidden="false" outlineLevel="0" max="22" min="22" style="0" width="1.45"/>
    <col collapsed="false" customWidth="true" hidden="false" outlineLevel="0" max="23" min="23" style="0" width="17.27"/>
    <col collapsed="false" customWidth="true" hidden="true" outlineLevel="0" max="24" min="24" style="0" width="1.45"/>
    <col collapsed="false" customWidth="true" hidden="true" outlineLevel="0" max="26" min="25" style="0" width="11.53"/>
  </cols>
  <sheetData>
    <row r="1" customFormat="false" ht="14.25" hidden="false" customHeight="false" outlineLevel="0" collapsed="false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customFormat="false" ht="22.05" hidden="false" customHeight="false" outlineLevel="0" collapsed="false">
      <c r="A2" s="18"/>
      <c r="B2" s="19" t="s">
        <v>60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8"/>
    </row>
    <row r="3" customFormat="false" ht="14.25" hidden="false" customHeight="false" outlineLevel="0" collapsed="false">
      <c r="A3" s="18"/>
      <c r="B3" s="20" t="s">
        <v>61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8"/>
    </row>
    <row r="4" customFormat="false" ht="14.2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customFormat="false" ht="14.25" hidden="false" customHeight="false" outlineLevel="0" collapsed="false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customFormat="false" ht="17.35" hidden="false" customHeight="false" outlineLevel="0" collapsed="false">
      <c r="A6" s="18"/>
      <c r="B6" s="21"/>
      <c r="C6" s="22"/>
      <c r="D6" s="23"/>
      <c r="E6" s="23"/>
      <c r="F6" s="24"/>
      <c r="G6" s="22"/>
      <c r="H6" s="23"/>
      <c r="I6" s="23"/>
      <c r="J6" s="24"/>
      <c r="K6" s="22"/>
      <c r="L6" s="23"/>
      <c r="M6" s="23"/>
      <c r="N6" s="24"/>
      <c r="O6" s="22"/>
      <c r="P6" s="23"/>
      <c r="Q6" s="23"/>
      <c r="R6" s="24"/>
      <c r="S6" s="22"/>
      <c r="T6" s="23"/>
      <c r="U6" s="25"/>
      <c r="V6" s="18"/>
      <c r="W6" s="18"/>
      <c r="X6" s="18"/>
    </row>
    <row r="7" customFormat="false" ht="26.8" hidden="false" customHeight="false" outlineLevel="0" collapsed="false">
      <c r="A7" s="18"/>
      <c r="B7" s="26"/>
      <c r="C7" s="27" t="s">
        <v>62</v>
      </c>
      <c r="D7" s="28"/>
      <c r="E7" s="28"/>
      <c r="F7" s="26"/>
      <c r="G7" s="27" t="s">
        <v>63</v>
      </c>
      <c r="H7" s="28"/>
      <c r="I7" s="28"/>
      <c r="J7" s="26"/>
      <c r="K7" s="27" t="s">
        <v>64</v>
      </c>
      <c r="L7" s="28"/>
      <c r="M7" s="28"/>
      <c r="N7" s="26"/>
      <c r="O7" s="27" t="s">
        <v>65</v>
      </c>
      <c r="P7" s="28"/>
      <c r="Q7" s="28"/>
      <c r="R7" s="26"/>
      <c r="S7" s="27" t="s">
        <v>66</v>
      </c>
      <c r="T7" s="28"/>
      <c r="U7" s="29"/>
      <c r="V7" s="18"/>
      <c r="W7" s="18"/>
      <c r="X7" s="18"/>
    </row>
    <row r="8" customFormat="false" ht="31.5" hidden="false" customHeight="false" outlineLevel="0" collapsed="false">
      <c r="A8" s="18"/>
      <c r="B8" s="30"/>
      <c r="C8" s="31" t="str">
        <f aca="false">"$"&amp;TEXT(IS!H14/1000,"0.0")&amp;"B"</f>
        <v>$436.9B</v>
      </c>
      <c r="D8" s="31"/>
      <c r="E8" s="31"/>
      <c r="F8" s="30"/>
      <c r="G8" s="32" t="str">
        <f aca="false">"$"&amp;TEXT(IS!H39/1000,"0.0")&amp;"B"</f>
        <v>$121.3B</v>
      </c>
      <c r="H8" s="32"/>
      <c r="I8" s="28"/>
      <c r="J8" s="30"/>
      <c r="K8" s="32" t="str">
        <f aca="false">"$"&amp;TEXT(CFS!G21/1000,"0.0")&amp;"B"</f>
        <v>$153.6B</v>
      </c>
      <c r="L8" s="32"/>
      <c r="M8" s="28"/>
      <c r="N8" s="33"/>
      <c r="O8" s="32" t="str">
        <f aca="false">INDEX(B80:B84,MATCH(MAX(G80:G84),G80:G84,0))</f>
        <v>iPhone</v>
      </c>
      <c r="P8" s="32"/>
      <c r="Q8" s="28"/>
      <c r="R8" s="30"/>
      <c r="S8" s="32" t="str">
        <f aca="false">"$"&amp;TEXT(IS!H44,"0.00")</f>
        <v>$8.29</v>
      </c>
      <c r="T8" s="32"/>
      <c r="U8" s="29"/>
      <c r="V8" s="18"/>
      <c r="W8" s="18"/>
      <c r="X8" s="18"/>
    </row>
    <row r="9" customFormat="false" ht="14.25" hidden="false" customHeight="false" outlineLevel="0" collapsed="false">
      <c r="A9" s="18"/>
      <c r="B9" s="34"/>
      <c r="C9" s="35" t="str">
        <f aca="false">IF(IS!H14/IS!F14-1&gt;=0,"▲ ","▼ ")&amp;TEXT(IS!H14/IS!F14-1,"+0.0%;-0.0%")&amp;"  vs FY25A"</f>
        <v>▲ +5.0%  vs FY25A</v>
      </c>
      <c r="D9" s="35"/>
      <c r="E9" s="35"/>
      <c r="F9" s="34"/>
      <c r="G9" s="36" t="str">
        <f aca="false">IF(IS!H39/IS!F39-1&gt;=0,"▲ ","▼ ")&amp;TEXT(IS!H39/IS!F39-1,"+0.0%;-0.0%")&amp;"  vs FY25A"</f>
        <v>▲ +8.3%  vs FY25A</v>
      </c>
      <c r="H9" s="36"/>
      <c r="I9" s="28"/>
      <c r="J9" s="34"/>
      <c r="K9" s="36" t="str">
        <f aca="false">IF(CFS!G21/CFS!F21-1&gt;=0,"▲ ","▼ ")&amp;TEXT(CFS!G21/CFS!F21-1,"+0.0%;-0.0%")&amp;"  vs FY25A"</f>
        <v>▲ +55.6%  vs FY25A</v>
      </c>
      <c r="L9" s="36"/>
      <c r="M9" s="28"/>
      <c r="N9" s="34"/>
      <c r="O9" s="37" t="str">
        <f aca="false">"$"&amp;TEXT(G80/1000,"0.0")&amp;"B ("&amp;TEXT(G80/G$90,"0.0%")&amp;" of mix)"</f>
        <v>$209.6B (50.4% of mix)</v>
      </c>
      <c r="P9" s="37"/>
      <c r="Q9" s="28"/>
      <c r="R9" s="34"/>
      <c r="S9" s="36" t="str">
        <f aca="false">IF(IS!H44/IS!F44-1&gt;=0,"▲ ","▼ ")&amp;TEXT(IS!H44/IS!F44-1,"+0.0%;-0.0%")&amp;"  vs FY25A"</f>
        <v>▲ +11.1%  vs FY25A</v>
      </c>
      <c r="T9" s="36"/>
      <c r="U9" s="29"/>
      <c r="V9" s="18"/>
      <c r="W9" s="18"/>
      <c r="X9" s="18"/>
    </row>
    <row r="10" customFormat="false" ht="14.25" hidden="false" customHeight="false" outlineLevel="0" collapsed="false">
      <c r="A10" s="18"/>
      <c r="B10" s="38"/>
      <c r="C10" s="39"/>
      <c r="D10" s="39"/>
      <c r="E10" s="39"/>
      <c r="F10" s="38"/>
      <c r="G10" s="39"/>
      <c r="H10" s="39"/>
      <c r="I10" s="39"/>
      <c r="J10" s="38"/>
      <c r="K10" s="39"/>
      <c r="L10" s="39"/>
      <c r="M10" s="39"/>
      <c r="N10" s="38"/>
      <c r="O10" s="39"/>
      <c r="P10" s="39"/>
      <c r="Q10" s="39"/>
      <c r="R10" s="38"/>
      <c r="S10" s="39"/>
      <c r="T10" s="39"/>
      <c r="U10" s="40"/>
      <c r="V10" s="18"/>
      <c r="W10" s="18"/>
      <c r="X10" s="18"/>
    </row>
    <row r="11" customFormat="false" ht="14.25" hidden="false" customHeight="false" outlineLevel="0" collapsed="false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customFormat="false" ht="14.25" hidden="false" customHeight="false" outlineLevel="0" collapsed="false">
      <c r="A12" s="18"/>
      <c r="B12" s="41" t="s">
        <v>67</v>
      </c>
      <c r="C12" s="25"/>
      <c r="D12" s="42" t="s">
        <v>68</v>
      </c>
      <c r="E12" s="23"/>
      <c r="F12" s="23"/>
      <c r="G12" s="23"/>
      <c r="H12" s="23"/>
      <c r="I12" s="23"/>
      <c r="J12" s="23"/>
      <c r="K12" s="23"/>
      <c r="L12" s="23"/>
      <c r="M12" s="43" t="s">
        <v>69</v>
      </c>
      <c r="N12" s="44" t="s">
        <v>70</v>
      </c>
      <c r="O12" s="23"/>
      <c r="P12" s="23"/>
      <c r="Q12" s="23"/>
      <c r="R12" s="23"/>
      <c r="S12" s="23"/>
      <c r="T12" s="23"/>
      <c r="U12" s="45" t="str">
        <f aca="false">"$"&amp;TEXT(IS!F14/1000,"0")&amp;"B"</f>
        <v>$416B</v>
      </c>
      <c r="V12" s="18"/>
      <c r="W12" s="18"/>
      <c r="X12" s="18"/>
    </row>
    <row r="13" customFormat="false" ht="14.25" hidden="false" customHeight="false" outlineLevel="0" collapsed="false">
      <c r="A13" s="18"/>
      <c r="B13" s="46"/>
      <c r="C13" s="47"/>
      <c r="D13" s="5"/>
      <c r="E13" s="5"/>
      <c r="F13" s="5"/>
      <c r="G13" s="5"/>
      <c r="H13" s="5"/>
      <c r="I13" s="5"/>
      <c r="J13" s="5"/>
      <c r="K13" s="5"/>
      <c r="L13" s="5"/>
      <c r="M13" s="5"/>
      <c r="N13" s="46"/>
      <c r="O13" s="5"/>
      <c r="P13" s="5"/>
      <c r="Q13" s="5"/>
      <c r="R13" s="5"/>
      <c r="S13" s="5"/>
      <c r="T13" s="5"/>
      <c r="U13" s="47"/>
      <c r="V13" s="18"/>
      <c r="W13" s="18"/>
      <c r="X13" s="18"/>
    </row>
    <row r="14" customFormat="false" ht="14.25" hidden="false" customHeight="false" outlineLevel="0" collapsed="false">
      <c r="A14" s="18"/>
      <c r="B14" s="48" t="s">
        <v>71</v>
      </c>
      <c r="C14" s="47"/>
      <c r="D14" s="5"/>
      <c r="E14" s="5"/>
      <c r="F14" s="5"/>
      <c r="G14" s="5"/>
      <c r="H14" s="5"/>
      <c r="I14" s="5"/>
      <c r="J14" s="5"/>
      <c r="K14" s="5"/>
      <c r="L14" s="5"/>
      <c r="M14" s="5"/>
      <c r="N14" s="46"/>
      <c r="O14" s="5"/>
      <c r="P14" s="5"/>
      <c r="Q14" s="5"/>
      <c r="R14" s="5"/>
      <c r="S14" s="5"/>
      <c r="T14" s="5"/>
      <c r="U14" s="47"/>
      <c r="V14" s="18"/>
      <c r="W14" s="18"/>
      <c r="X14" s="18"/>
    </row>
    <row r="15" customFormat="false" ht="14.25" hidden="false" customHeight="false" outlineLevel="0" collapsed="false">
      <c r="A15" s="18"/>
      <c r="B15" s="49" t="str">
        <f aca="false">Assumptions!B62</f>
        <v>Base</v>
      </c>
      <c r="C15" s="50"/>
      <c r="D15" s="5"/>
      <c r="E15" s="5"/>
      <c r="F15" s="5"/>
      <c r="G15" s="5"/>
      <c r="H15" s="5"/>
      <c r="I15" s="5"/>
      <c r="J15" s="5"/>
      <c r="K15" s="5"/>
      <c r="L15" s="5"/>
      <c r="M15" s="5"/>
      <c r="N15" s="46"/>
      <c r="O15" s="5"/>
      <c r="P15" s="5"/>
      <c r="Q15" s="5"/>
      <c r="R15" s="5"/>
      <c r="S15" s="5"/>
      <c r="T15" s="5"/>
      <c r="U15" s="47"/>
      <c r="V15" s="18"/>
      <c r="W15" s="18"/>
      <c r="X15" s="18"/>
    </row>
    <row r="16" customFormat="false" ht="14.25" hidden="false" customHeight="false" outlineLevel="0" collapsed="false">
      <c r="A16" s="18"/>
      <c r="B16" s="46"/>
      <c r="C16" s="47"/>
      <c r="D16" s="5"/>
      <c r="E16" s="5"/>
      <c r="F16" s="5"/>
      <c r="G16" s="5"/>
      <c r="H16" s="5"/>
      <c r="I16" s="5"/>
      <c r="J16" s="5"/>
      <c r="K16" s="5"/>
      <c r="L16" s="5"/>
      <c r="M16" s="5"/>
      <c r="N16" s="46"/>
      <c r="O16" s="5"/>
      <c r="P16" s="5"/>
      <c r="Q16" s="5"/>
      <c r="R16" s="5"/>
      <c r="S16" s="5"/>
      <c r="T16" s="5"/>
      <c r="U16" s="47"/>
      <c r="V16" s="18"/>
      <c r="W16" s="18"/>
      <c r="X16" s="18"/>
    </row>
    <row r="17" customFormat="false" ht="14.25" hidden="false" customHeight="false" outlineLevel="0" collapsed="false">
      <c r="A17" s="18"/>
      <c r="B17" s="48"/>
      <c r="C17" s="47"/>
      <c r="D17" s="5"/>
      <c r="E17" s="5"/>
      <c r="F17" s="5"/>
      <c r="G17" s="5"/>
      <c r="H17" s="5"/>
      <c r="I17" s="5"/>
      <c r="J17" s="5"/>
      <c r="K17" s="5"/>
      <c r="L17" s="5"/>
      <c r="M17" s="5"/>
      <c r="N17" s="46"/>
      <c r="O17" s="5"/>
      <c r="P17" s="5"/>
      <c r="Q17" s="5"/>
      <c r="R17" s="5"/>
      <c r="S17" s="5"/>
      <c r="T17" s="5"/>
      <c r="U17" s="47"/>
      <c r="V17" s="18"/>
      <c r="W17" s="18"/>
      <c r="X17" s="18"/>
    </row>
    <row r="18" customFormat="false" ht="14.25" hidden="false" customHeight="false" outlineLevel="0" collapsed="false">
      <c r="A18" s="18"/>
      <c r="B18" s="51"/>
      <c r="C18" s="50"/>
      <c r="D18" s="5"/>
      <c r="E18" s="5"/>
      <c r="F18" s="5"/>
      <c r="G18" s="5"/>
      <c r="H18" s="5"/>
      <c r="I18" s="5"/>
      <c r="J18" s="5"/>
      <c r="K18" s="5"/>
      <c r="L18" s="5"/>
      <c r="M18" s="5"/>
      <c r="N18" s="46"/>
      <c r="O18" s="5"/>
      <c r="P18" s="5"/>
      <c r="Q18" s="5"/>
      <c r="R18" s="5"/>
      <c r="S18" s="5"/>
      <c r="T18" s="5"/>
      <c r="U18" s="47"/>
      <c r="V18" s="18"/>
      <c r="W18" s="18"/>
      <c r="X18" s="18"/>
    </row>
    <row r="19" customFormat="false" ht="14.25" hidden="false" customHeight="false" outlineLevel="0" collapsed="false">
      <c r="A19" s="18"/>
      <c r="B19" s="46"/>
      <c r="C19" s="47"/>
      <c r="D19" s="5"/>
      <c r="E19" s="5"/>
      <c r="F19" s="5"/>
      <c r="G19" s="5"/>
      <c r="H19" s="5"/>
      <c r="I19" s="5"/>
      <c r="J19" s="5"/>
      <c r="K19" s="5"/>
      <c r="L19" s="5"/>
      <c r="M19" s="5"/>
      <c r="N19" s="46"/>
      <c r="O19" s="5"/>
      <c r="P19" s="5"/>
      <c r="Q19" s="5"/>
      <c r="R19" s="5"/>
      <c r="S19" s="5"/>
      <c r="T19" s="5"/>
      <c r="U19" s="47"/>
      <c r="V19" s="18"/>
      <c r="W19" s="18"/>
      <c r="X19" s="18"/>
    </row>
    <row r="20" customFormat="false" ht="14.25" hidden="false" customHeight="false" outlineLevel="0" collapsed="false">
      <c r="A20" s="18"/>
      <c r="B20" s="48"/>
      <c r="C20" s="47"/>
      <c r="D20" s="5"/>
      <c r="E20" s="5"/>
      <c r="F20" s="5"/>
      <c r="G20" s="5"/>
      <c r="H20" s="5"/>
      <c r="I20" s="5"/>
      <c r="J20" s="5"/>
      <c r="K20" s="5"/>
      <c r="L20" s="5"/>
      <c r="M20" s="5"/>
      <c r="N20" s="46"/>
      <c r="O20" s="5"/>
      <c r="P20" s="5"/>
      <c r="Q20" s="5"/>
      <c r="R20" s="5"/>
      <c r="S20" s="5"/>
      <c r="T20" s="5"/>
      <c r="U20" s="47"/>
      <c r="V20" s="18"/>
      <c r="W20" s="18"/>
      <c r="X20" s="18"/>
    </row>
    <row r="21" customFormat="false" ht="14.25" hidden="false" customHeight="false" outlineLevel="0" collapsed="false">
      <c r="A21" s="18"/>
      <c r="B21" s="51"/>
      <c r="C21" s="50"/>
      <c r="D21" s="5"/>
      <c r="E21" s="5"/>
      <c r="F21" s="5"/>
      <c r="G21" s="5"/>
      <c r="H21" s="5"/>
      <c r="I21" s="5"/>
      <c r="J21" s="5"/>
      <c r="K21" s="5"/>
      <c r="L21" s="5"/>
      <c r="M21" s="5"/>
      <c r="N21" s="46"/>
      <c r="O21" s="5"/>
      <c r="P21" s="5"/>
      <c r="Q21" s="5"/>
      <c r="R21" s="5"/>
      <c r="S21" s="5"/>
      <c r="T21" s="5"/>
      <c r="U21" s="47"/>
      <c r="V21" s="18"/>
      <c r="W21" s="18"/>
      <c r="X21" s="18"/>
    </row>
    <row r="22" customFormat="false" ht="14.25" hidden="false" customHeight="false" outlineLevel="0" collapsed="false">
      <c r="A22" s="18"/>
      <c r="B22" s="46"/>
      <c r="C22" s="47"/>
      <c r="D22" s="5"/>
      <c r="E22" s="5"/>
      <c r="F22" s="5"/>
      <c r="G22" s="5"/>
      <c r="H22" s="5"/>
      <c r="I22" s="5"/>
      <c r="J22" s="5"/>
      <c r="K22" s="5"/>
      <c r="L22" s="5"/>
      <c r="M22" s="5"/>
      <c r="N22" s="46"/>
      <c r="O22" s="5"/>
      <c r="P22" s="5"/>
      <c r="Q22" s="5"/>
      <c r="R22" s="5"/>
      <c r="S22" s="5"/>
      <c r="T22" s="5"/>
      <c r="U22" s="47"/>
      <c r="V22" s="18"/>
      <c r="W22" s="18"/>
      <c r="X22" s="18"/>
    </row>
    <row r="23" customFormat="false" ht="14.25" hidden="false" customHeight="false" outlineLevel="0" collapsed="false">
      <c r="A23" s="18"/>
      <c r="B23" s="48"/>
      <c r="C23" s="47"/>
      <c r="D23" s="5"/>
      <c r="E23" s="5"/>
      <c r="F23" s="5"/>
      <c r="G23" s="5"/>
      <c r="H23" s="5"/>
      <c r="I23" s="5"/>
      <c r="J23" s="5"/>
      <c r="K23" s="5"/>
      <c r="L23" s="5"/>
      <c r="M23" s="5"/>
      <c r="N23" s="46"/>
      <c r="O23" s="5"/>
      <c r="P23" s="5"/>
      <c r="Q23" s="5"/>
      <c r="R23" s="5"/>
      <c r="S23" s="5"/>
      <c r="T23" s="5"/>
      <c r="U23" s="47"/>
      <c r="V23" s="18"/>
      <c r="W23" s="18"/>
      <c r="X23" s="18"/>
    </row>
    <row r="24" customFormat="false" ht="14.25" hidden="false" customHeight="false" outlineLevel="0" collapsed="false">
      <c r="A24" s="18"/>
      <c r="B24" s="51"/>
      <c r="C24" s="50"/>
      <c r="D24" s="5"/>
      <c r="E24" s="5"/>
      <c r="F24" s="5"/>
      <c r="G24" s="5"/>
      <c r="H24" s="5"/>
      <c r="I24" s="5"/>
      <c r="J24" s="5"/>
      <c r="K24" s="5"/>
      <c r="L24" s="5"/>
      <c r="M24" s="5"/>
      <c r="N24" s="46"/>
      <c r="O24" s="5"/>
      <c r="P24" s="5"/>
      <c r="Q24" s="5"/>
      <c r="R24" s="5"/>
      <c r="S24" s="5"/>
      <c r="T24" s="5"/>
      <c r="U24" s="47"/>
      <c r="V24" s="18"/>
      <c r="W24" s="18"/>
      <c r="X24" s="18"/>
    </row>
    <row r="25" customFormat="false" ht="14.25" hidden="false" customHeight="false" outlineLevel="0" collapsed="false">
      <c r="A25" s="18"/>
      <c r="B25" s="46"/>
      <c r="C25" s="47"/>
      <c r="D25" s="5"/>
      <c r="E25" s="5"/>
      <c r="F25" s="5"/>
      <c r="G25" s="5"/>
      <c r="H25" s="5"/>
      <c r="I25" s="5"/>
      <c r="J25" s="5"/>
      <c r="K25" s="5"/>
      <c r="L25" s="5"/>
      <c r="M25" s="5"/>
      <c r="N25" s="46"/>
      <c r="O25" s="5"/>
      <c r="P25" s="5"/>
      <c r="Q25" s="5"/>
      <c r="R25" s="5"/>
      <c r="S25" s="5"/>
      <c r="T25" s="5"/>
      <c r="U25" s="47"/>
      <c r="V25" s="18"/>
      <c r="W25" s="18"/>
      <c r="X25" s="18"/>
    </row>
    <row r="26" customFormat="false" ht="14.25" hidden="false" customHeight="false" outlineLevel="0" collapsed="false">
      <c r="A26" s="18"/>
      <c r="B26" s="52"/>
      <c r="C26" s="47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8"/>
      <c r="O26" s="39"/>
      <c r="P26" s="39"/>
      <c r="Q26" s="39"/>
      <c r="R26" s="39"/>
      <c r="S26" s="39"/>
      <c r="T26" s="39"/>
      <c r="U26" s="40"/>
      <c r="V26" s="18"/>
      <c r="W26" s="18"/>
      <c r="X26" s="18"/>
    </row>
    <row r="27" customFormat="false" ht="14.25" hidden="false" customHeight="false" outlineLevel="0" collapsed="false">
      <c r="A27" s="18"/>
      <c r="B27" s="53"/>
      <c r="C27" s="47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customFormat="false" ht="14.25" hidden="false" customHeight="false" outlineLevel="0" collapsed="false">
      <c r="A28" s="18"/>
      <c r="B28" s="54"/>
      <c r="C28" s="47"/>
      <c r="D28" s="42" t="s">
        <v>72</v>
      </c>
      <c r="E28" s="23"/>
      <c r="F28" s="23"/>
      <c r="G28" s="23"/>
      <c r="H28" s="44" t="s">
        <v>70</v>
      </c>
      <c r="I28" s="23"/>
      <c r="J28" s="23"/>
      <c r="K28" s="23"/>
      <c r="L28" s="23"/>
      <c r="M28" s="43" t="s">
        <v>73</v>
      </c>
      <c r="N28" s="44" t="s">
        <v>74</v>
      </c>
      <c r="O28" s="23"/>
      <c r="P28" s="23"/>
      <c r="Q28" s="23"/>
      <c r="R28" s="23"/>
      <c r="S28" s="23"/>
      <c r="T28" s="23"/>
      <c r="U28" s="25"/>
      <c r="V28" s="18"/>
      <c r="W28" s="18"/>
      <c r="X28" s="18"/>
    </row>
    <row r="29" customFormat="false" ht="14.25" hidden="false" customHeight="false" outlineLevel="0" collapsed="false">
      <c r="A29" s="18"/>
      <c r="B29" s="55"/>
      <c r="C29" s="40"/>
      <c r="D29" s="5"/>
      <c r="E29" s="5"/>
      <c r="F29" s="5"/>
      <c r="G29" s="5"/>
      <c r="H29" s="46"/>
      <c r="I29" s="5"/>
      <c r="J29" s="5"/>
      <c r="K29" s="5"/>
      <c r="L29" s="5"/>
      <c r="M29" s="5"/>
      <c r="N29" s="46"/>
      <c r="O29" s="5"/>
      <c r="P29" s="5"/>
      <c r="Q29" s="5"/>
      <c r="R29" s="5"/>
      <c r="S29" s="5"/>
      <c r="T29" s="5"/>
      <c r="U29" s="47"/>
      <c r="V29" s="18"/>
      <c r="W29" s="18"/>
      <c r="X29" s="18"/>
    </row>
    <row r="30" customFormat="false" ht="14.25" hidden="false" customHeight="false" outlineLevel="0" collapsed="false">
      <c r="A30" s="18"/>
      <c r="B30" s="18"/>
      <c r="C30" s="18"/>
      <c r="D30" s="46"/>
      <c r="E30" s="5"/>
      <c r="F30" s="5"/>
      <c r="G30" s="5"/>
      <c r="H30" s="56" t="s">
        <v>75</v>
      </c>
      <c r="I30" s="5"/>
      <c r="J30" s="5"/>
      <c r="K30" s="57"/>
      <c r="L30" s="57" t="s">
        <v>76</v>
      </c>
      <c r="M30" s="57" t="s">
        <v>77</v>
      </c>
      <c r="N30" s="46"/>
      <c r="O30" s="5"/>
      <c r="P30" s="5"/>
      <c r="Q30" s="5"/>
      <c r="R30" s="5"/>
      <c r="S30" s="5"/>
      <c r="T30" s="5"/>
      <c r="U30" s="47"/>
      <c r="V30" s="18"/>
      <c r="W30" s="18"/>
      <c r="X30" s="18"/>
    </row>
    <row r="31" customFormat="false" ht="14.25" hidden="false" customHeight="false" outlineLevel="0" collapsed="false">
      <c r="A31" s="18"/>
      <c r="B31" s="18"/>
      <c r="C31" s="18"/>
      <c r="D31" s="46"/>
      <c r="E31" s="5"/>
      <c r="F31" s="5"/>
      <c r="G31" s="5"/>
      <c r="H31" s="58" t="s">
        <v>78</v>
      </c>
      <c r="I31" s="5"/>
      <c r="J31" s="5"/>
      <c r="K31" s="59" t="str">
        <f aca="false">REPT("█",ROUND(M31*40,0))</f>
        <v>█████████████████</v>
      </c>
      <c r="L31" s="60" t="n">
        <f aca="false">IS!F66/1000</f>
        <v>178.353</v>
      </c>
      <c r="M31" s="61" t="n">
        <f aca="false">IS!F66/IS!F71</f>
        <v>0.42856730928655</v>
      </c>
      <c r="N31" s="46"/>
      <c r="O31" s="5"/>
      <c r="P31" s="5"/>
      <c r="Q31" s="5"/>
      <c r="R31" s="5"/>
      <c r="S31" s="5"/>
      <c r="T31" s="5"/>
      <c r="U31" s="47"/>
      <c r="V31" s="18"/>
      <c r="W31" s="18"/>
      <c r="X31" s="18"/>
    </row>
    <row r="32" customFormat="false" ht="14.25" hidden="false" customHeight="false" outlineLevel="0" collapsed="false">
      <c r="A32" s="18"/>
      <c r="B32" s="18"/>
      <c r="C32" s="18"/>
      <c r="D32" s="46"/>
      <c r="E32" s="5"/>
      <c r="F32" s="5"/>
      <c r="G32" s="5"/>
      <c r="H32" s="58" t="s">
        <v>79</v>
      </c>
      <c r="I32" s="5"/>
      <c r="J32" s="5"/>
      <c r="K32" s="59" t="str">
        <f aca="false">REPT("█",ROUND(M32*40,0))</f>
        <v>███████████</v>
      </c>
      <c r="L32" s="60" t="n">
        <f aca="false">IS!F67/1000</f>
        <v>111.032</v>
      </c>
      <c r="M32" s="61" t="n">
        <f aca="false">IS!F67/IS!F71</f>
        <v>0.266800589195047</v>
      </c>
      <c r="N32" s="46"/>
      <c r="O32" s="5"/>
      <c r="P32" s="5"/>
      <c r="Q32" s="5"/>
      <c r="R32" s="5"/>
      <c r="S32" s="5"/>
      <c r="T32" s="5"/>
      <c r="U32" s="47"/>
      <c r="V32" s="18"/>
      <c r="W32" s="18"/>
      <c r="X32" s="18"/>
    </row>
    <row r="33" customFormat="false" ht="14.25" hidden="false" customHeight="false" outlineLevel="0" collapsed="false">
      <c r="A33" s="18"/>
      <c r="B33" s="18"/>
      <c r="C33" s="18"/>
      <c r="D33" s="46"/>
      <c r="E33" s="5"/>
      <c r="F33" s="5"/>
      <c r="G33" s="5"/>
      <c r="H33" s="58" t="s">
        <v>80</v>
      </c>
      <c r="I33" s="5"/>
      <c r="J33" s="5"/>
      <c r="K33" s="59" t="str">
        <f aca="false">REPT("█",ROUND(M33*40,0))</f>
        <v>██████</v>
      </c>
      <c r="L33" s="60" t="n">
        <f aca="false">IS!F68/1000</f>
        <v>64.377</v>
      </c>
      <c r="M33" s="61" t="n">
        <f aca="false">IS!F68/IS!F71</f>
        <v>0.154692534860306</v>
      </c>
      <c r="N33" s="46"/>
      <c r="O33" s="5"/>
      <c r="P33" s="5"/>
      <c r="Q33" s="5"/>
      <c r="R33" s="5"/>
      <c r="S33" s="5"/>
      <c r="T33" s="5"/>
      <c r="U33" s="47"/>
      <c r="V33" s="18"/>
      <c r="W33" s="18"/>
      <c r="X33" s="18"/>
    </row>
    <row r="34" customFormat="false" ht="14.25" hidden="false" customHeight="false" outlineLevel="0" collapsed="false">
      <c r="A34" s="18"/>
      <c r="B34" s="18"/>
      <c r="C34" s="18"/>
      <c r="D34" s="46"/>
      <c r="E34" s="5"/>
      <c r="F34" s="5"/>
      <c r="G34" s="5"/>
      <c r="H34" s="58" t="s">
        <v>81</v>
      </c>
      <c r="I34" s="5"/>
      <c r="J34" s="5"/>
      <c r="K34" s="59" t="str">
        <f aca="false">REPT("█",ROUND(M34*40,0))</f>
        <v>███</v>
      </c>
      <c r="L34" s="60" t="n">
        <f aca="false">IS!F70/1000</f>
        <v>33.696</v>
      </c>
      <c r="M34" s="61" t="n">
        <f aca="false">IS!F70/IS!F71</f>
        <v>0.0809686635701087</v>
      </c>
      <c r="N34" s="46"/>
      <c r="O34" s="5"/>
      <c r="P34" s="5"/>
      <c r="Q34" s="5"/>
      <c r="R34" s="5"/>
      <c r="S34" s="5"/>
      <c r="T34" s="5"/>
      <c r="U34" s="47"/>
      <c r="V34" s="18"/>
      <c r="W34" s="18"/>
      <c r="X34" s="18"/>
    </row>
    <row r="35" customFormat="false" ht="14.25" hidden="false" customHeight="false" outlineLevel="0" collapsed="false">
      <c r="A35" s="18"/>
      <c r="B35" s="18"/>
      <c r="C35" s="18"/>
      <c r="D35" s="46"/>
      <c r="E35" s="5"/>
      <c r="F35" s="5"/>
      <c r="G35" s="5"/>
      <c r="H35" s="58" t="s">
        <v>82</v>
      </c>
      <c r="I35" s="5"/>
      <c r="J35" s="5"/>
      <c r="K35" s="59" t="str">
        <f aca="false">REPT("█",ROUND(M35*40,0))</f>
        <v>███</v>
      </c>
      <c r="L35" s="60" t="n">
        <f aca="false">IS!F69/1000</f>
        <v>28.703</v>
      </c>
      <c r="M35" s="61" t="n">
        <f aca="false">IS!F69/IS!F71</f>
        <v>0.0689709030879876</v>
      </c>
      <c r="N35" s="46"/>
      <c r="O35" s="5"/>
      <c r="P35" s="5"/>
      <c r="Q35" s="5"/>
      <c r="R35" s="5"/>
      <c r="S35" s="5"/>
      <c r="T35" s="5"/>
      <c r="U35" s="47"/>
      <c r="V35" s="18"/>
      <c r="W35" s="18"/>
      <c r="X35" s="18"/>
    </row>
    <row r="36" customFormat="false" ht="14.25" hidden="false" customHeight="false" outlineLevel="0" collapsed="false">
      <c r="A36" s="18"/>
      <c r="B36" s="18"/>
      <c r="C36" s="18"/>
      <c r="D36" s="46"/>
      <c r="E36" s="5"/>
      <c r="F36" s="5"/>
      <c r="G36" s="5"/>
      <c r="H36" s="62"/>
      <c r="I36" s="5"/>
      <c r="J36" s="5"/>
      <c r="K36" s="63"/>
      <c r="L36" s="63"/>
      <c r="M36" s="63"/>
      <c r="N36" s="46"/>
      <c r="O36" s="5"/>
      <c r="P36" s="5"/>
      <c r="Q36" s="5"/>
      <c r="R36" s="5"/>
      <c r="S36" s="5"/>
      <c r="T36" s="5"/>
      <c r="U36" s="47"/>
      <c r="V36" s="18"/>
      <c r="W36" s="18"/>
      <c r="X36" s="18"/>
    </row>
    <row r="37" customFormat="false" ht="14.25" hidden="false" customHeight="false" outlineLevel="0" collapsed="false">
      <c r="A37" s="18"/>
      <c r="B37" s="18"/>
      <c r="C37" s="18"/>
      <c r="D37" s="46"/>
      <c r="E37" s="5"/>
      <c r="F37" s="5"/>
      <c r="G37" s="5"/>
      <c r="H37" s="62" t="s">
        <v>83</v>
      </c>
      <c r="I37" s="5"/>
      <c r="J37" s="5"/>
      <c r="K37" s="5"/>
      <c r="L37" s="64" t="n">
        <f aca="false">IS!F71/1000</f>
        <v>416.161</v>
      </c>
      <c r="M37" s="61" t="n">
        <f aca="false">L37/L37</f>
        <v>1</v>
      </c>
      <c r="N37" s="46"/>
      <c r="O37" s="5"/>
      <c r="P37" s="5"/>
      <c r="Q37" s="5"/>
      <c r="R37" s="5"/>
      <c r="S37" s="5"/>
      <c r="T37" s="5"/>
      <c r="U37" s="47"/>
      <c r="V37" s="18"/>
      <c r="W37" s="18"/>
      <c r="X37" s="18"/>
    </row>
    <row r="38" customFormat="false" ht="14.25" hidden="false" customHeight="false" outlineLevel="0" collapsed="false">
      <c r="A38" s="18"/>
      <c r="B38" s="18"/>
      <c r="C38" s="18"/>
      <c r="D38" s="46"/>
      <c r="E38" s="5"/>
      <c r="F38" s="5"/>
      <c r="G38" s="5"/>
      <c r="H38" s="46"/>
      <c r="I38" s="5"/>
      <c r="J38" s="5"/>
      <c r="K38" s="5"/>
      <c r="L38" s="5"/>
      <c r="M38" s="5"/>
      <c r="N38" s="46"/>
      <c r="O38" s="5"/>
      <c r="P38" s="5"/>
      <c r="Q38" s="5"/>
      <c r="R38" s="5"/>
      <c r="S38" s="5"/>
      <c r="T38" s="5"/>
      <c r="U38" s="47"/>
      <c r="V38" s="18"/>
      <c r="W38" s="18"/>
      <c r="X38" s="18"/>
    </row>
    <row r="39" customFormat="false" ht="14.25" hidden="false" customHeight="false" outlineLevel="0" collapsed="false">
      <c r="A39" s="18"/>
      <c r="B39" s="18"/>
      <c r="C39" s="18"/>
      <c r="D39" s="46"/>
      <c r="E39" s="5"/>
      <c r="F39" s="5"/>
      <c r="G39" s="5"/>
      <c r="H39" s="46"/>
      <c r="I39" s="5"/>
      <c r="J39" s="5"/>
      <c r="K39" s="5"/>
      <c r="L39" s="5"/>
      <c r="M39" s="5"/>
      <c r="N39" s="46"/>
      <c r="O39" s="5"/>
      <c r="P39" s="5"/>
      <c r="Q39" s="5"/>
      <c r="R39" s="5"/>
      <c r="S39" s="5"/>
      <c r="T39" s="5"/>
      <c r="U39" s="47"/>
      <c r="V39" s="18"/>
      <c r="W39" s="18"/>
      <c r="X39" s="18"/>
    </row>
    <row r="40" customFormat="false" ht="14.25" hidden="false" customHeight="false" outlineLevel="0" collapsed="false">
      <c r="A40" s="18"/>
      <c r="B40" s="18"/>
      <c r="C40" s="18"/>
      <c r="D40" s="46"/>
      <c r="E40" s="5"/>
      <c r="F40" s="5"/>
      <c r="G40" s="5"/>
      <c r="H40" s="46"/>
      <c r="I40" s="5"/>
      <c r="J40" s="5"/>
      <c r="K40" s="5"/>
      <c r="L40" s="5"/>
      <c r="M40" s="5"/>
      <c r="N40" s="46"/>
      <c r="O40" s="5"/>
      <c r="P40" s="5"/>
      <c r="Q40" s="5"/>
      <c r="R40" s="5"/>
      <c r="S40" s="5"/>
      <c r="T40" s="5"/>
      <c r="U40" s="47"/>
      <c r="V40" s="18"/>
      <c r="W40" s="18"/>
      <c r="X40" s="18"/>
    </row>
    <row r="41" customFormat="false" ht="14.25" hidden="false" customHeight="false" outlineLevel="0" collapsed="false">
      <c r="A41" s="18"/>
      <c r="B41" s="18"/>
      <c r="C41" s="18"/>
      <c r="D41" s="46"/>
      <c r="E41" s="5"/>
      <c r="F41" s="5"/>
      <c r="G41" s="5"/>
      <c r="H41" s="46"/>
      <c r="I41" s="5"/>
      <c r="J41" s="5"/>
      <c r="K41" s="5"/>
      <c r="L41" s="5"/>
      <c r="M41" s="5"/>
      <c r="N41" s="46"/>
      <c r="O41" s="5"/>
      <c r="P41" s="5"/>
      <c r="Q41" s="5"/>
      <c r="R41" s="5"/>
      <c r="S41" s="5"/>
      <c r="T41" s="5"/>
      <c r="U41" s="47"/>
      <c r="V41" s="18"/>
      <c r="W41" s="18"/>
      <c r="X41" s="18"/>
    </row>
    <row r="42" customFormat="false" ht="14.25" hidden="false" customHeight="false" outlineLevel="0" collapsed="false">
      <c r="A42" s="18"/>
      <c r="B42" s="18"/>
      <c r="C42" s="18"/>
      <c r="D42" s="46"/>
      <c r="E42" s="5"/>
      <c r="F42" s="5"/>
      <c r="G42" s="5"/>
      <c r="H42" s="46"/>
      <c r="I42" s="5"/>
      <c r="J42" s="5"/>
      <c r="K42" s="5"/>
      <c r="L42" s="5"/>
      <c r="M42" s="5"/>
      <c r="N42" s="46"/>
      <c r="O42" s="5"/>
      <c r="P42" s="5"/>
      <c r="Q42" s="5"/>
      <c r="R42" s="5"/>
      <c r="S42" s="5"/>
      <c r="T42" s="5"/>
      <c r="U42" s="47"/>
      <c r="V42" s="18"/>
      <c r="W42" s="18"/>
      <c r="X42" s="18"/>
    </row>
    <row r="43" customFormat="false" ht="14.25" hidden="false" customHeight="false" outlineLevel="0" collapsed="false">
      <c r="A43" s="18"/>
      <c r="B43" s="18"/>
      <c r="C43" s="18"/>
      <c r="D43" s="38"/>
      <c r="E43" s="39"/>
      <c r="F43" s="39"/>
      <c r="G43" s="39"/>
      <c r="H43" s="38"/>
      <c r="I43" s="39"/>
      <c r="J43" s="39"/>
      <c r="K43" s="39"/>
      <c r="L43" s="39"/>
      <c r="M43" s="39"/>
      <c r="N43" s="38"/>
      <c r="O43" s="39"/>
      <c r="P43" s="39"/>
      <c r="Q43" s="39"/>
      <c r="R43" s="39"/>
      <c r="S43" s="39"/>
      <c r="T43" s="39"/>
      <c r="U43" s="40"/>
      <c r="V43" s="18"/>
      <c r="W43" s="18"/>
      <c r="X43" s="18"/>
    </row>
    <row r="44" customFormat="false" ht="14.25" hidden="false" customHeight="false" outlineLevel="0" collapsed="false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customFormat="false" ht="14.25" hidden="false" customHeight="false" outlineLevel="0" collapsed="false">
      <c r="A45" s="18"/>
      <c r="B45" s="18"/>
      <c r="C45" s="18"/>
      <c r="D45" s="44" t="s">
        <v>84</v>
      </c>
      <c r="E45" s="23"/>
      <c r="F45" s="23"/>
      <c r="G45" s="23"/>
      <c r="H45" s="23"/>
      <c r="I45" s="23"/>
      <c r="J45" s="23"/>
      <c r="K45" s="23"/>
      <c r="L45" s="23"/>
      <c r="M45" s="43" t="s">
        <v>85</v>
      </c>
      <c r="N45" s="44" t="s">
        <v>86</v>
      </c>
      <c r="O45" s="23"/>
      <c r="P45" s="23"/>
      <c r="Q45" s="23"/>
      <c r="R45" s="23"/>
      <c r="S45" s="23"/>
      <c r="T45" s="23"/>
      <c r="U45" s="45" t="s">
        <v>87</v>
      </c>
      <c r="V45" s="18"/>
      <c r="W45" s="18"/>
      <c r="X45" s="18"/>
    </row>
    <row r="46" customFormat="false" ht="14.25" hidden="false" customHeight="false" outlineLevel="0" collapsed="false">
      <c r="A46" s="18"/>
      <c r="B46" s="18"/>
      <c r="C46" s="18"/>
      <c r="D46" s="46"/>
      <c r="E46" s="5"/>
      <c r="F46" s="5"/>
      <c r="G46" s="5"/>
      <c r="H46" s="5"/>
      <c r="I46" s="5"/>
      <c r="J46" s="5"/>
      <c r="K46" s="5"/>
      <c r="L46" s="5"/>
      <c r="M46" s="5"/>
      <c r="N46" s="46"/>
      <c r="O46" s="5"/>
      <c r="P46" s="5"/>
      <c r="Q46" s="5"/>
      <c r="R46" s="5"/>
      <c r="S46" s="5"/>
      <c r="T46" s="5"/>
      <c r="U46" s="47"/>
      <c r="V46" s="18"/>
      <c r="W46" s="18"/>
      <c r="X46" s="18"/>
    </row>
    <row r="47" customFormat="false" ht="14.25" hidden="false" customHeight="false" outlineLevel="0" collapsed="false">
      <c r="A47" s="18"/>
      <c r="B47" s="18"/>
      <c r="C47" s="18"/>
      <c r="D47" s="56" t="s">
        <v>88</v>
      </c>
      <c r="E47" s="5"/>
      <c r="F47" s="5"/>
      <c r="G47" s="57" t="s">
        <v>89</v>
      </c>
      <c r="H47" s="57" t="s">
        <v>90</v>
      </c>
      <c r="I47" s="57" t="s">
        <v>91</v>
      </c>
      <c r="J47" s="57" t="s">
        <v>92</v>
      </c>
      <c r="K47" s="65" t="s">
        <v>93</v>
      </c>
      <c r="L47" s="65" t="s">
        <v>94</v>
      </c>
      <c r="M47" s="65" t="s">
        <v>95</v>
      </c>
      <c r="N47" s="66"/>
      <c r="O47" s="5"/>
      <c r="P47" s="5"/>
      <c r="Q47" s="5"/>
      <c r="R47" s="5"/>
      <c r="S47" s="5"/>
      <c r="T47" s="5"/>
      <c r="U47" s="47"/>
      <c r="V47" s="18"/>
      <c r="W47" s="18"/>
      <c r="X47" s="18"/>
    </row>
    <row r="48" customFormat="false" ht="14.25" hidden="false" customHeight="false" outlineLevel="0" collapsed="false">
      <c r="A48" s="18"/>
      <c r="B48" s="18"/>
      <c r="C48" s="18"/>
      <c r="D48" s="62" t="s">
        <v>96</v>
      </c>
      <c r="E48" s="5"/>
      <c r="F48" s="5"/>
      <c r="G48" s="67" t="n">
        <f aca="false">IS!D14</f>
        <v>383285</v>
      </c>
      <c r="H48" s="67" t="n">
        <f aca="false">IS!E14</f>
        <v>391035</v>
      </c>
      <c r="I48" s="67" t="n">
        <f aca="false">IS!F14</f>
        <v>416161</v>
      </c>
      <c r="J48" s="67" t="n">
        <f aca="false">IS!H14</f>
        <v>436869.75</v>
      </c>
      <c r="K48" s="67" t="n">
        <f aca="false">IS!I14</f>
        <v>459080.34795</v>
      </c>
      <c r="L48" s="67" t="n">
        <f aca="false">IS!J14</f>
        <v>482929.53987375</v>
      </c>
      <c r="M48" s="67" t="n">
        <f aca="false">IS!K14</f>
        <v>508567.730651224</v>
      </c>
      <c r="N48" s="68"/>
      <c r="O48" s="5"/>
      <c r="P48" s="5"/>
      <c r="Q48" s="5"/>
      <c r="R48" s="5"/>
      <c r="S48" s="5"/>
      <c r="T48" s="5"/>
      <c r="U48" s="47"/>
      <c r="V48" s="18"/>
      <c r="W48" s="18"/>
      <c r="X48" s="18"/>
    </row>
    <row r="49" customFormat="false" ht="14.25" hidden="false" customHeight="false" outlineLevel="0" collapsed="false">
      <c r="A49" s="18"/>
      <c r="B49" s="18"/>
      <c r="C49" s="18"/>
      <c r="D49" s="69" t="s">
        <v>97</v>
      </c>
      <c r="E49" s="5"/>
      <c r="F49" s="67"/>
      <c r="G49" s="67" t="n">
        <f aca="false">-(IS!D19+IS!D20)</f>
        <v>-214137</v>
      </c>
      <c r="H49" s="67" t="n">
        <f aca="false">-(IS!E19+IS!E20)</f>
        <v>-210352</v>
      </c>
      <c r="I49" s="67" t="n">
        <f aca="false">-(IS!F19+IS!F20)</f>
        <v>-220960</v>
      </c>
      <c r="J49" s="67" t="n">
        <f aca="false">-(IS!H19+IS!H20)</f>
        <v>-228186.3024</v>
      </c>
      <c r="K49" s="67" t="n">
        <f aca="false">-(IS!I19+IS!I20)</f>
        <v>-237239.606898</v>
      </c>
      <c r="L49" s="67" t="n">
        <f aca="false">-(IS!J19+IS!J20)</f>
        <v>-246806.59151736</v>
      </c>
      <c r="M49" s="67" t="n">
        <f aca="false">-(IS!K19+IS!K20)</f>
        <v>-256927.554753843</v>
      </c>
      <c r="N49" s="68"/>
      <c r="O49" s="5"/>
      <c r="P49" s="5"/>
      <c r="Q49" s="5"/>
      <c r="R49" s="5"/>
      <c r="S49" s="5"/>
      <c r="T49" s="5"/>
      <c r="U49" s="47"/>
      <c r="V49" s="18"/>
      <c r="W49" s="18"/>
      <c r="X49" s="18"/>
    </row>
    <row r="50" customFormat="false" ht="14.25" hidden="false" customHeight="false" outlineLevel="0" collapsed="false">
      <c r="A50" s="18"/>
      <c r="B50" s="18"/>
      <c r="C50" s="18"/>
      <c r="D50" s="62" t="s">
        <v>98</v>
      </c>
      <c r="E50" s="5"/>
      <c r="F50" s="67"/>
      <c r="G50" s="67" t="n">
        <f aca="false">IS!D22</f>
        <v>169148</v>
      </c>
      <c r="H50" s="67" t="n">
        <f aca="false">IS!E22</f>
        <v>180683</v>
      </c>
      <c r="I50" s="67" t="n">
        <f aca="false">IS!F22</f>
        <v>195201</v>
      </c>
      <c r="J50" s="67" t="n">
        <f aca="false">IS!H22</f>
        <v>208683.4476</v>
      </c>
      <c r="K50" s="67" t="n">
        <f aca="false">IS!I22</f>
        <v>221840.741052</v>
      </c>
      <c r="L50" s="67" t="n">
        <f aca="false">IS!J22</f>
        <v>236122.94835639</v>
      </c>
      <c r="M50" s="67" t="n">
        <f aca="false">IS!K22</f>
        <v>251640.175897381</v>
      </c>
      <c r="N50" s="68"/>
      <c r="O50" s="5"/>
      <c r="P50" s="5"/>
      <c r="Q50" s="5"/>
      <c r="R50" s="5"/>
      <c r="S50" s="5"/>
      <c r="T50" s="5"/>
      <c r="U50" s="47"/>
      <c r="V50" s="18"/>
      <c r="W50" s="18"/>
      <c r="X50" s="18"/>
    </row>
    <row r="51" customFormat="false" ht="14.25" hidden="false" customHeight="false" outlineLevel="0" collapsed="false">
      <c r="A51" s="18"/>
      <c r="B51" s="18"/>
      <c r="C51" s="18"/>
      <c r="D51" s="69" t="s">
        <v>99</v>
      </c>
      <c r="E51" s="5"/>
      <c r="F51" s="67"/>
      <c r="G51" s="67" t="n">
        <f aca="false">-IS!D26</f>
        <v>-29915</v>
      </c>
      <c r="H51" s="67" t="n">
        <f aca="false">-IS!E26</f>
        <v>-31370</v>
      </c>
      <c r="I51" s="67" t="n">
        <f aca="false">-IS!F26</f>
        <v>-34550</v>
      </c>
      <c r="J51" s="67" t="n">
        <f aca="false">-IS!H26</f>
        <v>-37141.25</v>
      </c>
      <c r="K51" s="67" t="n">
        <f aca="false">-IS!I26</f>
        <v>-39926.84375</v>
      </c>
      <c r="L51" s="67" t="n">
        <f aca="false">-IS!J26</f>
        <v>-42921.35703125</v>
      </c>
      <c r="M51" s="67" t="n">
        <f aca="false">-IS!K26</f>
        <v>-46140.4588085938</v>
      </c>
      <c r="N51" s="68"/>
      <c r="O51" s="5"/>
      <c r="P51" s="5"/>
      <c r="Q51" s="5"/>
      <c r="R51" s="5"/>
      <c r="S51" s="5"/>
      <c r="T51" s="5"/>
      <c r="U51" s="47"/>
      <c r="V51" s="18"/>
      <c r="W51" s="18"/>
      <c r="X51" s="18"/>
    </row>
    <row r="52" customFormat="false" ht="14.25" hidden="false" customHeight="false" outlineLevel="0" collapsed="false">
      <c r="A52" s="18"/>
      <c r="B52" s="18"/>
      <c r="C52" s="18"/>
      <c r="D52" s="69" t="s">
        <v>100</v>
      </c>
      <c r="E52" s="5"/>
      <c r="F52" s="67"/>
      <c r="G52" s="67" t="n">
        <f aca="false">-IS!D27</f>
        <v>-24932</v>
      </c>
      <c r="H52" s="67" t="n">
        <f aca="false">-IS!E27</f>
        <v>-26097</v>
      </c>
      <c r="I52" s="67" t="n">
        <f aca="false">-IS!F27</f>
        <v>-27601</v>
      </c>
      <c r="J52" s="67" t="n">
        <f aca="false">-IS!H27</f>
        <v>-28843.045</v>
      </c>
      <c r="K52" s="67" t="n">
        <f aca="false">-IS!I27</f>
        <v>-30140.982025</v>
      </c>
      <c r="L52" s="67" t="n">
        <f aca="false">-IS!J27</f>
        <v>-31497.326216125</v>
      </c>
      <c r="M52" s="67" t="n">
        <f aca="false">-IS!K27</f>
        <v>-32914.7058958506</v>
      </c>
      <c r="N52" s="68"/>
      <c r="O52" s="5"/>
      <c r="P52" s="5"/>
      <c r="Q52" s="5"/>
      <c r="R52" s="5"/>
      <c r="S52" s="5"/>
      <c r="T52" s="5"/>
      <c r="U52" s="47"/>
      <c r="V52" s="18"/>
      <c r="W52" s="18"/>
      <c r="X52" s="18"/>
    </row>
    <row r="53" customFormat="false" ht="14.25" hidden="false" customHeight="false" outlineLevel="0" collapsed="false">
      <c r="A53" s="18"/>
      <c r="B53" s="18"/>
      <c r="C53" s="18"/>
      <c r="D53" s="62" t="s">
        <v>101</v>
      </c>
      <c r="E53" s="5"/>
      <c r="F53" s="67"/>
      <c r="G53" s="67" t="n">
        <f aca="false">IS!D29</f>
        <v>114301</v>
      </c>
      <c r="H53" s="67" t="n">
        <f aca="false">IS!E29</f>
        <v>123216</v>
      </c>
      <c r="I53" s="67" t="n">
        <f aca="false">IS!F29</f>
        <v>133050</v>
      </c>
      <c r="J53" s="67" t="n">
        <f aca="false">IS!H29</f>
        <v>142699.1526</v>
      </c>
      <c r="K53" s="67" t="n">
        <f aca="false">IS!I29</f>
        <v>151772.915277</v>
      </c>
      <c r="L53" s="67" t="n">
        <f aca="false">IS!J29</f>
        <v>161704.265109015</v>
      </c>
      <c r="M53" s="67" t="n">
        <f aca="false">IS!K29</f>
        <v>172585.011192937</v>
      </c>
      <c r="N53" s="68"/>
      <c r="O53" s="5"/>
      <c r="P53" s="5"/>
      <c r="Q53" s="5"/>
      <c r="R53" s="5"/>
      <c r="S53" s="5"/>
      <c r="T53" s="5"/>
      <c r="U53" s="47"/>
      <c r="V53" s="18"/>
      <c r="W53" s="18"/>
      <c r="X53" s="18"/>
    </row>
    <row r="54" customFormat="false" ht="14.25" hidden="false" customHeight="false" outlineLevel="0" collapsed="false">
      <c r="A54" s="18"/>
      <c r="B54" s="18"/>
      <c r="C54" s="18"/>
      <c r="D54" s="69" t="s">
        <v>102</v>
      </c>
      <c r="E54" s="5"/>
      <c r="F54" s="67"/>
      <c r="G54" s="67" t="n">
        <f aca="false">-IS!D37</f>
        <v>-16741</v>
      </c>
      <c r="H54" s="67" t="n">
        <f aca="false">-IS!E37</f>
        <v>-29749</v>
      </c>
      <c r="I54" s="67" t="n">
        <f aca="false">-IS!F37</f>
        <v>-20719</v>
      </c>
      <c r="J54" s="67" t="n">
        <f aca="false">-IS!H37</f>
        <v>-21404.87289</v>
      </c>
      <c r="K54" s="67" t="n">
        <f aca="false">-IS!I37</f>
        <v>-22765.93729155</v>
      </c>
      <c r="L54" s="67" t="n">
        <f aca="false">-IS!J37</f>
        <v>-24255.6397663522</v>
      </c>
      <c r="M54" s="67" t="n">
        <f aca="false">-IS!K37</f>
        <v>-25887.7516789405</v>
      </c>
      <c r="N54" s="68"/>
      <c r="O54" s="5"/>
      <c r="P54" s="5"/>
      <c r="Q54" s="5"/>
      <c r="R54" s="5"/>
      <c r="S54" s="5"/>
      <c r="T54" s="5"/>
      <c r="U54" s="47"/>
      <c r="V54" s="18"/>
      <c r="W54" s="18"/>
      <c r="X54" s="18"/>
    </row>
    <row r="55" customFormat="false" ht="14.25" hidden="false" customHeight="false" outlineLevel="0" collapsed="false">
      <c r="A55" s="18"/>
      <c r="B55" s="18"/>
      <c r="C55" s="18"/>
      <c r="D55" s="62" t="s">
        <v>103</v>
      </c>
      <c r="E55" s="5"/>
      <c r="F55" s="67"/>
      <c r="G55" s="67" t="n">
        <f aca="false">IS!D39</f>
        <v>96995</v>
      </c>
      <c r="H55" s="67" t="n">
        <f aca="false">IS!E39</f>
        <v>93736</v>
      </c>
      <c r="I55" s="67" t="n">
        <f aca="false">IS!F39</f>
        <v>112010</v>
      </c>
      <c r="J55" s="67" t="n">
        <f aca="false">IS!H39</f>
        <v>121294.27971</v>
      </c>
      <c r="K55" s="67" t="n">
        <f aca="false">IS!I39</f>
        <v>129006.97798545</v>
      </c>
      <c r="L55" s="67" t="n">
        <f aca="false">IS!J39</f>
        <v>137448.625342663</v>
      </c>
      <c r="M55" s="67" t="n">
        <f aca="false">IS!K39</f>
        <v>146697.259513996</v>
      </c>
      <c r="N55" s="68"/>
      <c r="O55" s="5"/>
      <c r="P55" s="5"/>
      <c r="Q55" s="5"/>
      <c r="R55" s="5"/>
      <c r="S55" s="5"/>
      <c r="T55" s="5"/>
      <c r="U55" s="47"/>
      <c r="V55" s="18"/>
      <c r="W55" s="18"/>
      <c r="X55" s="18"/>
    </row>
    <row r="56" customFormat="false" ht="14.25" hidden="false" customHeight="false" outlineLevel="0" collapsed="false">
      <c r="A56" s="18"/>
      <c r="B56" s="18"/>
      <c r="C56" s="18"/>
      <c r="D56" s="69" t="s">
        <v>104</v>
      </c>
      <c r="E56" s="5"/>
      <c r="F56" s="70"/>
      <c r="G56" s="70" t="n">
        <f aca="false">IS!D44</f>
        <v>6.13</v>
      </c>
      <c r="H56" s="70" t="n">
        <f aca="false">IS!E44</f>
        <v>6.08</v>
      </c>
      <c r="I56" s="70" t="n">
        <f aca="false">IS!F44</f>
        <v>7.46</v>
      </c>
      <c r="J56" s="70" t="n">
        <f aca="false">IS!H44</f>
        <v>8.28660579584062</v>
      </c>
      <c r="K56" s="70" t="n">
        <f aca="false">IS!I44</f>
        <v>9.02662728310586</v>
      </c>
      <c r="L56" s="70" t="n">
        <f aca="false">IS!J44</f>
        <v>9.87130573759259</v>
      </c>
      <c r="M56" s="70" t="n">
        <f aca="false">IS!K44</f>
        <v>10.840766780671</v>
      </c>
      <c r="N56" s="71"/>
      <c r="O56" s="5"/>
      <c r="P56" s="5"/>
      <c r="Q56" s="5"/>
      <c r="R56" s="5"/>
      <c r="S56" s="5"/>
      <c r="T56" s="5"/>
      <c r="U56" s="47"/>
      <c r="V56" s="18"/>
      <c r="W56" s="18"/>
      <c r="X56" s="18"/>
    </row>
    <row r="57" customFormat="false" ht="14.25" hidden="false" customHeight="false" outlineLevel="0" collapsed="false">
      <c r="A57" s="18"/>
      <c r="B57" s="18"/>
      <c r="C57" s="18"/>
      <c r="D57" s="62" t="s">
        <v>105</v>
      </c>
      <c r="E57" s="72"/>
      <c r="F57" s="73"/>
      <c r="G57" s="73" t="n">
        <f aca="false">CFS!D21</f>
        <v>99584</v>
      </c>
      <c r="H57" s="73" t="n">
        <f aca="false">CFS!E21</f>
        <v>108807</v>
      </c>
      <c r="I57" s="73" t="n">
        <f aca="false">CFS!F21</f>
        <v>98767</v>
      </c>
      <c r="J57" s="73" t="n">
        <f aca="false">CFS!G21</f>
        <v>153635.750984331</v>
      </c>
      <c r="K57" s="73" t="n">
        <f aca="false">CFS!H21</f>
        <v>144816.262254417</v>
      </c>
      <c r="L57" s="73" t="n">
        <f aca="false">CFS!I21</f>
        <v>154120.936311231</v>
      </c>
      <c r="M57" s="73" t="n">
        <f aca="false">CFS!J21</f>
        <v>164299.734886534</v>
      </c>
      <c r="N57" s="68"/>
      <c r="O57" s="5"/>
      <c r="P57" s="5"/>
      <c r="Q57" s="5"/>
      <c r="R57" s="5"/>
      <c r="S57" s="5"/>
      <c r="T57" s="5"/>
      <c r="U57" s="47"/>
      <c r="V57" s="18"/>
      <c r="W57" s="18"/>
      <c r="X57" s="18"/>
    </row>
    <row r="58" customFormat="false" ht="14.25" hidden="false" customHeight="false" outlineLevel="0" collapsed="false">
      <c r="A58" s="18"/>
      <c r="B58" s="18"/>
      <c r="C58" s="18"/>
      <c r="D58" s="46"/>
      <c r="E58" s="5"/>
      <c r="F58" s="5"/>
      <c r="G58" s="5"/>
      <c r="H58" s="5"/>
      <c r="I58" s="5"/>
      <c r="J58" s="5"/>
      <c r="K58" s="5"/>
      <c r="L58" s="5"/>
      <c r="M58" s="5"/>
      <c r="N58" s="46"/>
      <c r="O58" s="5"/>
      <c r="P58" s="5"/>
      <c r="Q58" s="5"/>
      <c r="R58" s="5"/>
      <c r="S58" s="5"/>
      <c r="T58" s="5"/>
      <c r="U58" s="47"/>
      <c r="V58" s="18"/>
      <c r="W58" s="18"/>
      <c r="X58" s="18"/>
    </row>
    <row r="59" customFormat="false" ht="14.25" hidden="false" customHeight="false" outlineLevel="0" collapsed="false">
      <c r="A59" s="18"/>
      <c r="B59" s="18"/>
      <c r="C59" s="18"/>
      <c r="D59" s="46"/>
      <c r="E59" s="5"/>
      <c r="F59" s="5"/>
      <c r="G59" s="5"/>
      <c r="H59" s="5"/>
      <c r="I59" s="5"/>
      <c r="J59" s="5"/>
      <c r="K59" s="5"/>
      <c r="L59" s="5"/>
      <c r="M59" s="5"/>
      <c r="N59" s="46"/>
      <c r="O59" s="5"/>
      <c r="P59" s="5"/>
      <c r="Q59" s="5"/>
      <c r="R59" s="5"/>
      <c r="S59" s="5"/>
      <c r="T59" s="5"/>
      <c r="U59" s="47"/>
      <c r="V59" s="18"/>
      <c r="W59" s="18"/>
      <c r="X59" s="18"/>
    </row>
    <row r="60" customFormat="false" ht="14.25" hidden="false" customHeight="false" outlineLevel="0" collapsed="false">
      <c r="A60" s="18"/>
      <c r="B60" s="18"/>
      <c r="C60" s="18"/>
      <c r="D60" s="38"/>
      <c r="E60" s="39"/>
      <c r="F60" s="39"/>
      <c r="G60" s="39"/>
      <c r="H60" s="39"/>
      <c r="I60" s="39"/>
      <c r="J60" s="39"/>
      <c r="K60" s="39"/>
      <c r="L60" s="39"/>
      <c r="M60" s="39"/>
      <c r="N60" s="38"/>
      <c r="O60" s="39"/>
      <c r="P60" s="39"/>
      <c r="Q60" s="39"/>
      <c r="R60" s="39"/>
      <c r="S60" s="39"/>
      <c r="T60" s="39"/>
      <c r="U60" s="40"/>
      <c r="V60" s="18"/>
      <c r="W60" s="18"/>
      <c r="X60" s="18"/>
    </row>
    <row r="61" customFormat="false" ht="14.25" hidden="false" customHeight="false" outlineLevel="0" collapsed="false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customFormat="false" ht="14.25" hidden="false" customHeight="false" outlineLevel="0" collapsed="false">
      <c r="A62" s="18"/>
      <c r="B62" s="74"/>
      <c r="C62" s="74"/>
      <c r="D62" s="44" t="s">
        <v>106</v>
      </c>
      <c r="E62" s="75"/>
      <c r="F62" s="75"/>
      <c r="G62" s="75"/>
      <c r="H62" s="75"/>
      <c r="I62" s="23"/>
      <c r="J62" s="44" t="s">
        <v>107</v>
      </c>
      <c r="K62" s="23"/>
      <c r="L62" s="23"/>
      <c r="M62" s="23"/>
      <c r="N62" s="23"/>
      <c r="O62" s="43" t="s">
        <v>108</v>
      </c>
      <c r="P62" s="44" t="s">
        <v>109</v>
      </c>
      <c r="Q62" s="23"/>
      <c r="R62" s="23"/>
      <c r="S62" s="23"/>
      <c r="T62" s="23"/>
      <c r="U62" s="25"/>
      <c r="V62" s="18"/>
      <c r="W62" s="18"/>
      <c r="X62" s="18"/>
    </row>
    <row r="63" customFormat="false" ht="14.25" hidden="false" customHeight="false" outlineLevel="0" collapsed="false">
      <c r="A63" s="18"/>
      <c r="B63" s="74"/>
      <c r="C63" s="74"/>
      <c r="D63" s="76"/>
      <c r="E63" s="74"/>
      <c r="F63" s="74"/>
      <c r="G63" s="74"/>
      <c r="H63" s="74"/>
      <c r="I63" s="5"/>
      <c r="J63" s="46"/>
      <c r="K63" s="5"/>
      <c r="L63" s="5"/>
      <c r="M63" s="5"/>
      <c r="N63" s="5"/>
      <c r="O63" s="5"/>
      <c r="P63" s="46"/>
      <c r="Q63" s="5"/>
      <c r="R63" s="5"/>
      <c r="S63" s="5"/>
      <c r="T63" s="5"/>
      <c r="U63" s="47"/>
      <c r="V63" s="18"/>
      <c r="W63" s="18"/>
      <c r="X63" s="18"/>
    </row>
    <row r="64" customFormat="false" ht="14.25" hidden="false" customHeight="false" outlineLevel="0" collapsed="false">
      <c r="A64" s="18"/>
      <c r="B64" s="77" t="s">
        <v>110</v>
      </c>
      <c r="C64" s="77"/>
      <c r="D64" s="78"/>
      <c r="E64" s="77"/>
      <c r="F64" s="77"/>
      <c r="G64" s="77"/>
      <c r="H64" s="77"/>
      <c r="I64" s="79"/>
      <c r="J64" s="80"/>
      <c r="K64" s="79"/>
      <c r="L64" s="5"/>
      <c r="M64" s="5"/>
      <c r="N64" s="5"/>
      <c r="O64" s="5"/>
      <c r="P64" s="81" t="s">
        <v>111</v>
      </c>
      <c r="Q64" s="82" t="str">
        <f aca="false">"Gross margin expanding "&amp;TEXT(Ratios!B7,"0.0%")&amp;" → "&amp;TEXT(Ratios!J7,"0.0%")</f>
        <v>Gross margin expanding 41.8% → 49.5%</v>
      </c>
      <c r="R64" s="5"/>
      <c r="S64" s="5"/>
      <c r="T64" s="5"/>
      <c r="U64" s="47"/>
      <c r="V64" s="18"/>
      <c r="W64" s="18"/>
      <c r="X64" s="18"/>
    </row>
    <row r="65" customFormat="false" ht="14.25" hidden="false" customHeight="false" outlineLevel="0" collapsed="false">
      <c r="A65" s="18"/>
      <c r="B65" s="77" t="s">
        <v>112</v>
      </c>
      <c r="C65" s="77" t="s">
        <v>113</v>
      </c>
      <c r="D65" s="78" t="s">
        <v>114</v>
      </c>
      <c r="E65" s="77" t="s">
        <v>89</v>
      </c>
      <c r="F65" s="77" t="s">
        <v>90</v>
      </c>
      <c r="G65" s="77" t="s">
        <v>91</v>
      </c>
      <c r="H65" s="77" t="s">
        <v>92</v>
      </c>
      <c r="I65" s="79" t="s">
        <v>93</v>
      </c>
      <c r="J65" s="80" t="s">
        <v>94</v>
      </c>
      <c r="K65" s="79"/>
      <c r="L65" s="5"/>
      <c r="M65" s="5"/>
      <c r="N65" s="5"/>
      <c r="O65" s="5"/>
      <c r="P65" s="46"/>
      <c r="Q65" s="83" t="s">
        <v>115</v>
      </c>
      <c r="R65" s="5"/>
      <c r="S65" s="5"/>
      <c r="T65" s="5"/>
      <c r="U65" s="47"/>
      <c r="V65" s="18"/>
      <c r="W65" s="18"/>
      <c r="X65" s="18"/>
    </row>
    <row r="66" customFormat="false" ht="14.25" hidden="false" customHeight="false" outlineLevel="0" collapsed="false">
      <c r="A66" s="18"/>
      <c r="B66" s="77" t="s">
        <v>78</v>
      </c>
      <c r="C66" s="84" t="n">
        <f aca="false">IS!B66</f>
        <v>153306</v>
      </c>
      <c r="D66" s="85" t="n">
        <f aca="false">IS!C66</f>
        <v>169658</v>
      </c>
      <c r="E66" s="84" t="n">
        <f aca="false">IS!D66</f>
        <v>162560</v>
      </c>
      <c r="F66" s="84" t="n">
        <f aca="false">IS!E66</f>
        <v>167045</v>
      </c>
      <c r="G66" s="84" t="n">
        <f aca="false">IS!F66</f>
        <v>178353</v>
      </c>
      <c r="H66" s="84" t="n">
        <f aca="false">IS!H66</f>
        <v>187912.113576454</v>
      </c>
      <c r="I66" s="86" t="n">
        <f aca="false">IS!I66</f>
        <v>198053.158644659</v>
      </c>
      <c r="J66" s="87" t="n">
        <f aca="false">IS!J66</f>
        <v>208827.047827621</v>
      </c>
      <c r="K66" s="79"/>
      <c r="L66" s="5"/>
      <c r="M66" s="5"/>
      <c r="N66" s="5"/>
      <c r="O66" s="5"/>
      <c r="P66" s="46"/>
      <c r="Q66" s="5"/>
      <c r="R66" s="5"/>
      <c r="S66" s="5"/>
      <c r="T66" s="5"/>
      <c r="U66" s="47"/>
      <c r="V66" s="18"/>
      <c r="W66" s="18"/>
      <c r="X66" s="18"/>
    </row>
    <row r="67" customFormat="false" ht="14.25" hidden="false" customHeight="false" outlineLevel="0" collapsed="false">
      <c r="A67" s="18"/>
      <c r="B67" s="77" t="s">
        <v>79</v>
      </c>
      <c r="C67" s="84" t="n">
        <f aca="false">IS!B67</f>
        <v>89307</v>
      </c>
      <c r="D67" s="85" t="n">
        <f aca="false">IS!C67</f>
        <v>95118</v>
      </c>
      <c r="E67" s="84" t="n">
        <f aca="false">IS!D67</f>
        <v>94294</v>
      </c>
      <c r="F67" s="84" t="n">
        <f aca="false">IS!E67</f>
        <v>101328</v>
      </c>
      <c r="G67" s="84" t="n">
        <f aca="false">IS!F67</f>
        <v>111032</v>
      </c>
      <c r="H67" s="84" t="n">
        <f aca="false">IS!H67</f>
        <v>118662.118095073</v>
      </c>
      <c r="I67" s="86" t="n">
        <f aca="false">IS!I67</f>
        <v>126861.15663927</v>
      </c>
      <c r="J67" s="87" t="n">
        <f aca="false">IS!J67</f>
        <v>135682.306394203</v>
      </c>
      <c r="K67" s="79"/>
      <c r="L67" s="5"/>
      <c r="M67" s="5"/>
      <c r="N67" s="5"/>
      <c r="O67" s="5"/>
      <c r="P67" s="81" t="s">
        <v>116</v>
      </c>
      <c r="Q67" s="88" t="str">
        <f aca="false">"Services revenue "&amp;TEXT(IS!K13/IS!B13,"0.0")&amp;"x, FY21 to FY29: $"&amp;TEXT(IS!B13/1000,"0")&amp;"B to $"&amp;TEXT(IS!K13/1000,"0")&amp;"B"</f>
        <v>Services revenue 2.4x, FY21 to FY29: $68B to $163B</v>
      </c>
      <c r="R67" s="5"/>
      <c r="S67" s="5"/>
      <c r="T67" s="5"/>
      <c r="U67" s="47"/>
      <c r="V67" s="18"/>
      <c r="W67" s="18"/>
      <c r="X67" s="18"/>
    </row>
    <row r="68" customFormat="false" ht="14.25" hidden="false" customHeight="false" outlineLevel="0" collapsed="false">
      <c r="A68" s="18"/>
      <c r="B68" s="77" t="s">
        <v>80</v>
      </c>
      <c r="C68" s="84" t="n">
        <f aca="false">IS!B68</f>
        <v>68366</v>
      </c>
      <c r="D68" s="85" t="n">
        <f aca="false">IS!C68</f>
        <v>74200</v>
      </c>
      <c r="E68" s="84" t="n">
        <f aca="false">IS!D68</f>
        <v>72559</v>
      </c>
      <c r="F68" s="84" t="n">
        <f aca="false">IS!E68</f>
        <v>66952</v>
      </c>
      <c r="G68" s="84" t="n">
        <f aca="false">IS!F68</f>
        <v>64377</v>
      </c>
      <c r="H68" s="84" t="n">
        <f aca="false">IS!H68</f>
        <v>63608.4595795128</v>
      </c>
      <c r="I68" s="86" t="n">
        <f aca="false">IS!I68</f>
        <v>62871.1869176948</v>
      </c>
      <c r="J68" s="87" t="n">
        <f aca="false">IS!J68</f>
        <v>62167.9319170407</v>
      </c>
      <c r="K68" s="79"/>
      <c r="L68" s="5"/>
      <c r="M68" s="5"/>
      <c r="N68" s="5"/>
      <c r="O68" s="5"/>
      <c r="P68" s="46"/>
      <c r="Q68" s="83" t="str">
        <f aca="false">TEXT((IS!K13/IS!B13)^(1/8)-1,"0.0%")&amp;" CAGR, "&amp;TEXT(IS!K13/IS!K14,"0.0%")&amp;" of FY29E revenue"</f>
        <v>11.4% CAGR, 32.0% of FY29E revenue</v>
      </c>
      <c r="R68" s="5"/>
      <c r="S68" s="5"/>
      <c r="T68" s="5"/>
      <c r="U68" s="47"/>
      <c r="V68" s="18"/>
      <c r="W68" s="18"/>
      <c r="X68" s="18"/>
    </row>
    <row r="69" customFormat="false" ht="14.25" hidden="false" customHeight="false" outlineLevel="0" collapsed="false">
      <c r="A69" s="18"/>
      <c r="B69" s="77" t="s">
        <v>82</v>
      </c>
      <c r="C69" s="84" t="n">
        <f aca="false">IS!B69</f>
        <v>28482</v>
      </c>
      <c r="D69" s="85" t="n">
        <f aca="false">IS!C69</f>
        <v>25977</v>
      </c>
      <c r="E69" s="84" t="n">
        <f aca="false">IS!D69</f>
        <v>24257</v>
      </c>
      <c r="F69" s="84" t="n">
        <f aca="false">IS!E69</f>
        <v>25052</v>
      </c>
      <c r="G69" s="84" t="n">
        <f aca="false">IS!F69</f>
        <v>28703</v>
      </c>
      <c r="H69" s="84" t="n">
        <f aca="false">IS!H69</f>
        <v>30675.469915726</v>
      </c>
      <c r="I69" s="86" t="n">
        <f aca="false">IS!I69</f>
        <v>32795.0120597391</v>
      </c>
      <c r="J69" s="87" t="n">
        <f aca="false">IS!J69</f>
        <v>35075.3768321997</v>
      </c>
      <c r="K69" s="79"/>
      <c r="L69" s="5"/>
      <c r="M69" s="5"/>
      <c r="N69" s="5"/>
      <c r="O69" s="5"/>
      <c r="P69" s="46"/>
      <c r="Q69" s="5"/>
      <c r="R69" s="5"/>
      <c r="S69" s="5"/>
      <c r="T69" s="5"/>
      <c r="U69" s="47"/>
      <c r="V69" s="18"/>
      <c r="W69" s="18"/>
      <c r="X69" s="18"/>
    </row>
    <row r="70" customFormat="false" ht="14.25" hidden="false" customHeight="false" outlineLevel="0" collapsed="false">
      <c r="A70" s="18"/>
      <c r="B70" s="77" t="s">
        <v>81</v>
      </c>
      <c r="C70" s="84" t="n">
        <f aca="false">IS!B70</f>
        <v>26356</v>
      </c>
      <c r="D70" s="85" t="n">
        <f aca="false">IS!C70</f>
        <v>29375</v>
      </c>
      <c r="E70" s="84" t="n">
        <f aca="false">IS!D70</f>
        <v>29615</v>
      </c>
      <c r="F70" s="84" t="n">
        <f aca="false">IS!E70</f>
        <v>30658</v>
      </c>
      <c r="G70" s="84" t="n">
        <f aca="false">IS!F70</f>
        <v>33696</v>
      </c>
      <c r="H70" s="84" t="n">
        <f aca="false">IS!H70</f>
        <v>36011.5888332336</v>
      </c>
      <c r="I70" s="86" t="n">
        <f aca="false">IS!I70</f>
        <v>38499.8336886378</v>
      </c>
      <c r="J70" s="87" t="n">
        <f aca="false">IS!J70</f>
        <v>41176.8769026862</v>
      </c>
      <c r="K70" s="79"/>
      <c r="L70" s="5"/>
      <c r="M70" s="5"/>
      <c r="N70" s="5"/>
      <c r="O70" s="5"/>
      <c r="P70" s="81" t="s">
        <v>111</v>
      </c>
      <c r="Q70" s="82" t="str">
        <f aca="false">"Free cash flow of $"&amp;TEXT(CFS!G21/1000,"0")&amp;"B in FY26E"</f>
        <v>Free cash flow of $154B in FY26E</v>
      </c>
      <c r="R70" s="5"/>
      <c r="S70" s="5"/>
      <c r="T70" s="5"/>
      <c r="U70" s="47"/>
      <c r="V70" s="18"/>
      <c r="W70" s="18"/>
      <c r="X70" s="18"/>
    </row>
    <row r="71" customFormat="false" ht="14.25" hidden="false" customHeight="false" outlineLevel="0" collapsed="false">
      <c r="A71" s="18"/>
      <c r="B71" s="77"/>
      <c r="C71" s="77"/>
      <c r="D71" s="78"/>
      <c r="E71" s="77"/>
      <c r="F71" s="77"/>
      <c r="G71" s="77"/>
      <c r="H71" s="77"/>
      <c r="I71" s="79"/>
      <c r="J71" s="80"/>
      <c r="K71" s="79"/>
      <c r="L71" s="5"/>
      <c r="M71" s="5"/>
      <c r="N71" s="5"/>
      <c r="O71" s="5"/>
      <c r="P71" s="46"/>
      <c r="Q71" s="83" t="str">
        <f aca="false">TEXT(CFS!G21/IS!H14,"0.0%")&amp;" FCF margin, against "&amp;TEXT(CFS!F21/IS!F14,"0.0%")&amp;" in FY25A"</f>
        <v>35.2% FCF margin, against 23.7% in FY25A</v>
      </c>
      <c r="R71" s="5"/>
      <c r="S71" s="5"/>
      <c r="T71" s="5"/>
      <c r="U71" s="47"/>
      <c r="V71" s="18"/>
      <c r="W71" s="18"/>
      <c r="X71" s="18"/>
    </row>
    <row r="72" customFormat="false" ht="14.25" hidden="false" customHeight="false" outlineLevel="0" collapsed="false">
      <c r="A72" s="18"/>
      <c r="B72" s="77"/>
      <c r="C72" s="77"/>
      <c r="D72" s="78"/>
      <c r="E72" s="77"/>
      <c r="F72" s="77"/>
      <c r="G72" s="77"/>
      <c r="H72" s="77"/>
      <c r="I72" s="79"/>
      <c r="J72" s="80"/>
      <c r="K72" s="79"/>
      <c r="L72" s="5"/>
      <c r="M72" s="5"/>
      <c r="N72" s="5"/>
      <c r="O72" s="5"/>
      <c r="P72" s="46"/>
      <c r="Q72" s="5"/>
      <c r="R72" s="5"/>
      <c r="S72" s="5"/>
      <c r="T72" s="5"/>
      <c r="U72" s="47"/>
      <c r="V72" s="18"/>
      <c r="W72" s="18"/>
      <c r="X72" s="18"/>
    </row>
    <row r="73" customFormat="false" ht="14.25" hidden="false" customHeight="false" outlineLevel="0" collapsed="false">
      <c r="A73" s="18"/>
      <c r="B73" s="77"/>
      <c r="C73" s="77"/>
      <c r="D73" s="78"/>
      <c r="E73" s="77"/>
      <c r="F73" s="77"/>
      <c r="G73" s="77"/>
      <c r="H73" s="77"/>
      <c r="I73" s="79"/>
      <c r="J73" s="80"/>
      <c r="K73" s="79"/>
      <c r="L73" s="5"/>
      <c r="M73" s="5"/>
      <c r="N73" s="5"/>
      <c r="O73" s="5"/>
      <c r="P73" s="81" t="s">
        <v>117</v>
      </c>
      <c r="Q73" s="82" t="str">
        <f aca="false">"Greater China revenue softening"</f>
        <v>Greater China revenue softening</v>
      </c>
      <c r="R73" s="5"/>
      <c r="S73" s="5"/>
      <c r="T73" s="5"/>
      <c r="U73" s="47"/>
      <c r="V73" s="18"/>
      <c r="W73" s="18"/>
      <c r="X73" s="18"/>
    </row>
    <row r="74" customFormat="false" ht="14.25" hidden="false" customHeight="false" outlineLevel="0" collapsed="false">
      <c r="A74" s="18"/>
      <c r="B74" s="77"/>
      <c r="C74" s="77"/>
      <c r="D74" s="78"/>
      <c r="E74" s="77"/>
      <c r="F74" s="77"/>
      <c r="G74" s="77"/>
      <c r="H74" s="77"/>
      <c r="I74" s="79"/>
      <c r="J74" s="80"/>
      <c r="K74" s="79"/>
      <c r="L74" s="5"/>
      <c r="M74" s="5"/>
      <c r="N74" s="5"/>
      <c r="O74" s="5"/>
      <c r="P74" s="46"/>
      <c r="Q74" s="83" t="str">
        <f aca="false">"from $"&amp;TEXT(D68/1000,"0")&amp;"B (FY22A) to $"&amp;TEXT(G68/1000,"0")&amp;"B (FY25A), -"&amp;TEXT(1-G68/D68,"0%")&amp;" decline."</f>
        <v>from $74B (FY22A) to $64B (FY25A), -13% decline.</v>
      </c>
      <c r="R74" s="5"/>
      <c r="S74" s="5"/>
      <c r="T74" s="5"/>
      <c r="U74" s="47"/>
      <c r="V74" s="18"/>
      <c r="W74" s="18"/>
      <c r="X74" s="18"/>
    </row>
    <row r="75" customFormat="false" ht="14.25" hidden="false" customHeight="false" outlineLevel="0" collapsed="false">
      <c r="A75" s="18"/>
      <c r="B75" s="77"/>
      <c r="C75" s="77"/>
      <c r="D75" s="78"/>
      <c r="E75" s="77"/>
      <c r="F75" s="77"/>
      <c r="G75" s="77"/>
      <c r="H75" s="77"/>
      <c r="I75" s="79"/>
      <c r="J75" s="80"/>
      <c r="K75" s="79"/>
      <c r="L75" s="5"/>
      <c r="M75" s="5"/>
      <c r="N75" s="5"/>
      <c r="O75" s="5"/>
      <c r="P75" s="46"/>
      <c r="Q75" s="5"/>
      <c r="R75" s="5"/>
      <c r="S75" s="5"/>
      <c r="T75" s="5"/>
      <c r="U75" s="47"/>
      <c r="V75" s="18"/>
      <c r="W75" s="18"/>
      <c r="X75" s="18"/>
    </row>
    <row r="76" customFormat="false" ht="14.25" hidden="false" customHeight="false" outlineLevel="0" collapsed="false">
      <c r="A76" s="18"/>
      <c r="B76" s="77" t="s">
        <v>83</v>
      </c>
      <c r="C76" s="89" t="n">
        <f aca="false">SUM(C66:C70)</f>
        <v>365817</v>
      </c>
      <c r="D76" s="90" t="n">
        <f aca="false">SUM(D66:D70)</f>
        <v>394328</v>
      </c>
      <c r="E76" s="91" t="n">
        <f aca="false">SUM(E66:E70)</f>
        <v>383285</v>
      </c>
      <c r="F76" s="91" t="n">
        <f aca="false">SUM(F66:F70)</f>
        <v>391035</v>
      </c>
      <c r="G76" s="91" t="n">
        <f aca="false">SUM(G66:G70)</f>
        <v>416161</v>
      </c>
      <c r="H76" s="91" t="n">
        <f aca="false">SUM(H66:H70)</f>
        <v>436869.75</v>
      </c>
      <c r="I76" s="92" t="n">
        <f aca="false">SUM(I66:I70)</f>
        <v>459080.34795</v>
      </c>
      <c r="J76" s="93" t="n">
        <f aca="false">SUM(J66:J70)</f>
        <v>482929.53987375</v>
      </c>
      <c r="K76" s="94"/>
      <c r="L76" s="39"/>
      <c r="M76" s="39"/>
      <c r="N76" s="39"/>
      <c r="O76" s="39"/>
      <c r="P76" s="38"/>
      <c r="Q76" s="39"/>
      <c r="R76" s="39"/>
      <c r="S76" s="39"/>
      <c r="T76" s="39"/>
      <c r="U76" s="40"/>
      <c r="V76" s="18"/>
      <c r="W76" s="18"/>
      <c r="X76" s="18"/>
    </row>
    <row r="77" customFormat="false" ht="14.25" hidden="false" customHeight="false" outlineLevel="0" collapsed="false">
      <c r="A77" s="18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</row>
    <row r="78" customFormat="false" ht="14.25" hidden="false" customHeight="false" outlineLevel="0" collapsed="false">
      <c r="A78" s="18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</row>
    <row r="79" customFormat="false" ht="14.25" hidden="false" customHeight="false" outlineLevel="0" collapsed="false">
      <c r="A79" s="18"/>
      <c r="B79" s="77" t="s">
        <v>118</v>
      </c>
      <c r="C79" s="77" t="s">
        <v>113</v>
      </c>
      <c r="D79" s="77" t="s">
        <v>114</v>
      </c>
      <c r="E79" s="77" t="s">
        <v>89</v>
      </c>
      <c r="F79" s="77" t="s">
        <v>90</v>
      </c>
      <c r="G79" s="77" t="s">
        <v>91</v>
      </c>
      <c r="H79" s="77" t="s">
        <v>92</v>
      </c>
      <c r="I79" s="77" t="s">
        <v>93</v>
      </c>
      <c r="J79" s="77" t="s">
        <v>94</v>
      </c>
      <c r="K79" s="95" t="s">
        <v>95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 customFormat="false" ht="14.25" hidden="false" customHeight="false" outlineLevel="0" collapsed="false">
      <c r="A80" s="18"/>
      <c r="B80" s="77" t="s">
        <v>119</v>
      </c>
      <c r="C80" s="84" t="n">
        <f aca="false">IS!B9</f>
        <v>191973</v>
      </c>
      <c r="D80" s="84" t="n">
        <f aca="false">IS!C9</f>
        <v>205489</v>
      </c>
      <c r="E80" s="84" t="n">
        <f aca="false">IS!D9</f>
        <v>200583</v>
      </c>
      <c r="F80" s="84" t="n">
        <f aca="false">IS!E9</f>
        <v>201183</v>
      </c>
      <c r="G80" s="84" t="n">
        <f aca="false">IS!F9</f>
        <v>209586</v>
      </c>
      <c r="H80" s="84" t="n">
        <f aca="false">IS!H9</f>
        <v>215873.58</v>
      </c>
      <c r="I80" s="84" t="n">
        <f aca="false">IS!I9</f>
        <v>222349.7874</v>
      </c>
      <c r="J80" s="84" t="n">
        <f aca="false">IS!J9</f>
        <v>229020.281022</v>
      </c>
      <c r="K80" s="84" t="n">
        <f aca="false">IS!K9</f>
        <v>235890.88945266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</row>
    <row r="81" customFormat="false" ht="14.25" hidden="false" customHeight="false" outlineLevel="0" collapsed="false">
      <c r="A81" s="18"/>
      <c r="B81" s="77" t="s">
        <v>120</v>
      </c>
      <c r="C81" s="84" t="n">
        <f aca="false">IS!B10</f>
        <v>35190</v>
      </c>
      <c r="D81" s="84" t="n">
        <f aca="false">IS!C10</f>
        <v>40177</v>
      </c>
      <c r="E81" s="84" t="n">
        <f aca="false">IS!D10</f>
        <v>29357</v>
      </c>
      <c r="F81" s="84" t="n">
        <f aca="false">IS!E10</f>
        <v>29984</v>
      </c>
      <c r="G81" s="84" t="n">
        <f aca="false">IS!F10</f>
        <v>33708</v>
      </c>
      <c r="H81" s="84" t="n">
        <f aca="false">IS!H10</f>
        <v>35393.4</v>
      </c>
      <c r="I81" s="84" t="n">
        <f aca="false">IS!I10</f>
        <v>37163.07</v>
      </c>
      <c r="J81" s="84" t="n">
        <f aca="false">IS!J10</f>
        <v>39021.2235</v>
      </c>
      <c r="K81" s="84" t="n">
        <f aca="false">IS!K10</f>
        <v>40972.284675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</row>
    <row r="82" customFormat="false" ht="14.25" hidden="false" customHeight="false" outlineLevel="0" collapsed="false">
      <c r="A82" s="18"/>
      <c r="B82" s="77" t="s">
        <v>121</v>
      </c>
      <c r="C82" s="84" t="n">
        <f aca="false">IS!B11</f>
        <v>31862</v>
      </c>
      <c r="D82" s="84" t="n">
        <f aca="false">IS!C11</f>
        <v>29292</v>
      </c>
      <c r="E82" s="84" t="n">
        <f aca="false">IS!D11</f>
        <v>28300</v>
      </c>
      <c r="F82" s="84" t="n">
        <f aca="false">IS!E11</f>
        <v>26694</v>
      </c>
      <c r="G82" s="84" t="n">
        <f aca="false">IS!F11</f>
        <v>28023</v>
      </c>
      <c r="H82" s="84" t="n">
        <f aca="false">IS!H11</f>
        <v>28583.46</v>
      </c>
      <c r="I82" s="84" t="n">
        <f aca="false">IS!I11</f>
        <v>29155.1292</v>
      </c>
      <c r="J82" s="84" t="n">
        <f aca="false">IS!J11</f>
        <v>29738.231784</v>
      </c>
      <c r="K82" s="84" t="n">
        <f aca="false">IS!K11</f>
        <v>30332.99641968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</row>
    <row r="83" customFormat="false" ht="14.25" hidden="false" customHeight="false" outlineLevel="0" collapsed="false">
      <c r="A83" s="18"/>
      <c r="B83" s="77" t="s">
        <v>122</v>
      </c>
      <c r="C83" s="84" t="n">
        <f aca="false">IS!B12</f>
        <v>38367</v>
      </c>
      <c r="D83" s="84" t="n">
        <f aca="false">IS!C12</f>
        <v>41241</v>
      </c>
      <c r="E83" s="84" t="n">
        <f aca="false">IS!D12</f>
        <v>39845</v>
      </c>
      <c r="F83" s="84" t="n">
        <f aca="false">IS!E12</f>
        <v>37005</v>
      </c>
      <c r="G83" s="84" t="n">
        <f aca="false">IS!F12</f>
        <v>35686</v>
      </c>
      <c r="H83" s="84" t="n">
        <f aca="false">IS!H12</f>
        <v>36399.72</v>
      </c>
      <c r="I83" s="84" t="n">
        <f aca="false">IS!I12</f>
        <v>37127.7144</v>
      </c>
      <c r="J83" s="84" t="n">
        <f aca="false">IS!J12</f>
        <v>37870.268688</v>
      </c>
      <c r="K83" s="84" t="n">
        <f aca="false">IS!K12</f>
        <v>38627.67406176</v>
      </c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</row>
    <row r="84" customFormat="false" ht="14.25" hidden="false" customHeight="false" outlineLevel="0" collapsed="false">
      <c r="A84" s="18"/>
      <c r="B84" s="77" t="s">
        <v>123</v>
      </c>
      <c r="C84" s="84" t="n">
        <f aca="false">IS!B13</f>
        <v>68425</v>
      </c>
      <c r="D84" s="84" t="n">
        <f aca="false">IS!C13</f>
        <v>78129</v>
      </c>
      <c r="E84" s="84" t="n">
        <f aca="false">IS!D13</f>
        <v>85200</v>
      </c>
      <c r="F84" s="84" t="n">
        <f aca="false">IS!E13</f>
        <v>96169</v>
      </c>
      <c r="G84" s="84" t="n">
        <f aca="false">IS!F13</f>
        <v>109158</v>
      </c>
      <c r="H84" s="84" t="n">
        <f aca="false">IS!H13</f>
        <v>120619.59</v>
      </c>
      <c r="I84" s="84" t="n">
        <f aca="false">IS!I13</f>
        <v>133284.64695</v>
      </c>
      <c r="J84" s="84" t="n">
        <f aca="false">IS!J13</f>
        <v>147279.53487975</v>
      </c>
      <c r="K84" s="84" t="n">
        <f aca="false">IS!K13</f>
        <v>162743.886042124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 customFormat="false" ht="14.25" hidden="false" customHeight="false" outlineLevel="0" collapsed="false">
      <c r="A85" s="18"/>
      <c r="B85" s="77"/>
      <c r="C85" s="77"/>
      <c r="D85" s="77"/>
      <c r="E85" s="77"/>
      <c r="F85" s="77"/>
      <c r="G85" s="77"/>
      <c r="H85" s="77"/>
      <c r="I85" s="77"/>
      <c r="J85" s="77"/>
      <c r="K85" s="96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 customFormat="false" ht="14.25" hidden="false" customHeight="false" outlineLevel="0" collapsed="false">
      <c r="A86" s="18"/>
      <c r="B86" s="77"/>
      <c r="C86" s="77"/>
      <c r="D86" s="77"/>
      <c r="E86" s="77"/>
      <c r="F86" s="77"/>
      <c r="G86" s="77"/>
      <c r="H86" s="77"/>
      <c r="I86" s="77"/>
      <c r="J86" s="77"/>
      <c r="K86" s="96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</row>
    <row r="87" customFormat="false" ht="14.25" hidden="false" customHeight="false" outlineLevel="0" collapsed="false">
      <c r="A87" s="18"/>
      <c r="B87" s="77"/>
      <c r="C87" s="77"/>
      <c r="D87" s="77"/>
      <c r="E87" s="77"/>
      <c r="F87" s="77"/>
      <c r="G87" s="77"/>
      <c r="H87" s="77"/>
      <c r="I87" s="77"/>
      <c r="J87" s="77"/>
      <c r="K87" s="96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</row>
    <row r="88" customFormat="false" ht="14.25" hidden="false" customHeight="false" outlineLevel="0" collapsed="false">
      <c r="A88" s="18"/>
      <c r="B88" s="77"/>
      <c r="C88" s="77"/>
      <c r="D88" s="77"/>
      <c r="E88" s="77"/>
      <c r="F88" s="77"/>
      <c r="G88" s="77"/>
      <c r="H88" s="77"/>
      <c r="I88" s="77"/>
      <c r="J88" s="77"/>
      <c r="K88" s="96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</row>
    <row r="89" customFormat="false" ht="14.25" hidden="false" customHeight="false" outlineLevel="0" collapsed="false">
      <c r="A89" s="18"/>
      <c r="B89" s="77"/>
      <c r="C89" s="77"/>
      <c r="D89" s="77"/>
      <c r="E89" s="77"/>
      <c r="F89" s="77"/>
      <c r="G89" s="77"/>
      <c r="H89" s="77"/>
      <c r="I89" s="77"/>
      <c r="J89" s="77"/>
      <c r="K89" s="96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</row>
    <row r="90" customFormat="false" ht="14.25" hidden="false" customHeight="false" outlineLevel="0" collapsed="false">
      <c r="A90" s="18"/>
      <c r="B90" s="77" t="s">
        <v>83</v>
      </c>
      <c r="C90" s="89" t="n">
        <f aca="false">SUM(C80:C84)</f>
        <v>365817</v>
      </c>
      <c r="D90" s="89" t="n">
        <f aca="false">SUM(D80:D84)</f>
        <v>394328</v>
      </c>
      <c r="E90" s="89" t="n">
        <f aca="false">SUM(E80:E84)</f>
        <v>383285</v>
      </c>
      <c r="F90" s="89" t="n">
        <f aca="false">SUM(F80:F84)</f>
        <v>391035</v>
      </c>
      <c r="G90" s="89" t="n">
        <f aca="false">SUM(G80:G84)</f>
        <v>416161</v>
      </c>
      <c r="H90" s="89" t="n">
        <f aca="false">SUM(H80:H84)</f>
        <v>436869.75</v>
      </c>
      <c r="I90" s="89" t="n">
        <f aca="false">SUM(I80:I84)</f>
        <v>459080.34795</v>
      </c>
      <c r="J90" s="89" t="n">
        <f aca="false">SUM(J80:J84)</f>
        <v>482929.53987375</v>
      </c>
      <c r="K90" s="97" t="n">
        <f aca="false">SUM(K80:K84)</f>
        <v>508567.730651224</v>
      </c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</row>
    <row r="91" customFormat="false" ht="14.25" hidden="false" customHeight="false" outlineLevel="0" collapsed="false">
      <c r="A91" s="18"/>
      <c r="B91" s="74"/>
      <c r="C91" s="74"/>
      <c r="D91" s="74"/>
      <c r="E91" s="74"/>
      <c r="F91" s="74"/>
      <c r="G91" s="74"/>
      <c r="H91" s="74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</row>
    <row r="92" customFormat="false" ht="14.25" hidden="false" customHeight="false" outlineLevel="0" collapsed="false">
      <c r="A92" s="18"/>
      <c r="B92" s="74"/>
      <c r="C92" s="74" t="s">
        <v>113</v>
      </c>
      <c r="D92" s="74" t="s">
        <v>114</v>
      </c>
      <c r="E92" s="74" t="s">
        <v>89</v>
      </c>
      <c r="F92" s="74" t="s">
        <v>90</v>
      </c>
      <c r="G92" s="74" t="s">
        <v>91</v>
      </c>
      <c r="H92" s="74" t="s">
        <v>92</v>
      </c>
      <c r="I92" s="18" t="s">
        <v>93</v>
      </c>
      <c r="J92" s="18" t="s">
        <v>94</v>
      </c>
      <c r="K92" s="98" t="s">
        <v>95</v>
      </c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</row>
    <row r="93" customFormat="false" ht="14.25" hidden="false" customHeight="false" outlineLevel="0" collapsed="false">
      <c r="A93" s="18"/>
      <c r="B93" s="74" t="s">
        <v>124</v>
      </c>
      <c r="C93" s="74" t="n">
        <f aca="false">IS!B8/1000</f>
        <v>297.392</v>
      </c>
      <c r="D93" s="74" t="n">
        <f aca="false">IS!C8/1000</f>
        <v>316.199</v>
      </c>
      <c r="E93" s="74" t="n">
        <f aca="false">IS!D8/1000</f>
        <v>298.085</v>
      </c>
      <c r="F93" s="74" t="n">
        <f aca="false">IS!E8/1000</f>
        <v>294.866</v>
      </c>
      <c r="G93" s="74" t="n">
        <f aca="false">IS!F8/1000</f>
        <v>307.003</v>
      </c>
      <c r="H93" s="74" t="n">
        <f aca="false">IS!H8/1000</f>
        <v>316.25016</v>
      </c>
      <c r="I93" s="18" t="n">
        <f aca="false">IS!I8/1000</f>
        <v>325.795701</v>
      </c>
      <c r="J93" s="18" t="n">
        <f aca="false">IS!J8/1000</f>
        <v>335.650004994</v>
      </c>
      <c r="K93" s="99" t="n">
        <f aca="false">IS!K8/1000</f>
        <v>345.8238446091</v>
      </c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</row>
    <row r="94" customFormat="false" ht="14.25" hidden="false" customHeight="false" outlineLevel="0" collapsed="false">
      <c r="A94" s="18"/>
      <c r="B94" s="74" t="s">
        <v>125</v>
      </c>
      <c r="C94" s="74" t="n">
        <f aca="false">IS!B13/1000</f>
        <v>68.425</v>
      </c>
      <c r="D94" s="74" t="n">
        <f aca="false">IS!C13/1000</f>
        <v>78.129</v>
      </c>
      <c r="E94" s="74" t="n">
        <f aca="false">IS!D13/1000</f>
        <v>85.2</v>
      </c>
      <c r="F94" s="74" t="n">
        <f aca="false">IS!E13/1000</f>
        <v>96.169</v>
      </c>
      <c r="G94" s="74" t="n">
        <f aca="false">IS!F13/1000</f>
        <v>109.158</v>
      </c>
      <c r="H94" s="74" t="n">
        <f aca="false">IS!H13/1000</f>
        <v>120.61959</v>
      </c>
      <c r="I94" s="18" t="n">
        <f aca="false">IS!I13/1000</f>
        <v>133.28464695</v>
      </c>
      <c r="J94" s="18" t="n">
        <f aca="false">IS!J13/1000</f>
        <v>147.27953487975</v>
      </c>
      <c r="K94" s="99" t="n">
        <f aca="false">IS!K13/1000</f>
        <v>162.743886042124</v>
      </c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 customFormat="false" ht="14.25" hidden="false" customHeight="false" outlineLevel="0" collapsed="false">
      <c r="A95" s="18"/>
      <c r="B95" s="74" t="s">
        <v>126</v>
      </c>
      <c r="C95" s="74"/>
      <c r="D95" s="74" t="n">
        <f aca="false">IS!C14/IS!B14-1</f>
        <v>0.0779378760418461</v>
      </c>
      <c r="E95" s="74" t="n">
        <f aca="false">IS!D14/IS!C14-1</f>
        <v>-0.0280046053031994</v>
      </c>
      <c r="F95" s="74" t="n">
        <f aca="false">IS!E14/IS!D14-1</f>
        <v>0.0202199407751411</v>
      </c>
      <c r="G95" s="74" t="n">
        <f aca="false">IS!F14/IS!E14-1</f>
        <v>0.0642551178283275</v>
      </c>
      <c r="H95" s="74" t="n">
        <f aca="false">IS!H14/IS!F14-1</f>
        <v>0.0497613904234178</v>
      </c>
      <c r="I95" s="18" t="n">
        <f aca="false">IS!I14/IS!H14-1</f>
        <v>0.0508403201411862</v>
      </c>
      <c r="J95" s="18" t="n">
        <f aca="false">IS!J14/IS!I14-1</f>
        <v>0.0519499299637793</v>
      </c>
      <c r="K95" s="100" t="n">
        <f aca="false">IS!K14/IS!J14-1</f>
        <v>0.0530888849420481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</row>
    <row r="96" customFormat="false" ht="14.25" hidden="false" customHeight="false" outlineLevel="0" collapsed="false">
      <c r="A96" s="18"/>
      <c r="B96" s="74"/>
      <c r="C96" s="74"/>
      <c r="D96" s="74"/>
      <c r="E96" s="74"/>
      <c r="F96" s="74"/>
      <c r="G96" s="74"/>
      <c r="H96" s="74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 customFormat="false" ht="14.25" hidden="false" customHeight="false" outlineLevel="0" collapsed="false">
      <c r="A97" s="18"/>
      <c r="B97" s="74" t="s">
        <v>112</v>
      </c>
      <c r="C97" s="74" t="s">
        <v>127</v>
      </c>
      <c r="D97" s="74"/>
      <c r="E97" s="74"/>
      <c r="F97" s="74"/>
      <c r="G97" s="74"/>
      <c r="H97" s="74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</row>
    <row r="98" customFormat="false" ht="14.25" hidden="false" customHeight="false" outlineLevel="0" collapsed="false">
      <c r="A98" s="18"/>
      <c r="B98" s="74" t="s">
        <v>78</v>
      </c>
      <c r="C98" s="74" t="n">
        <f aca="false">G66/1000</f>
        <v>178.353</v>
      </c>
      <c r="D98" s="74"/>
      <c r="E98" s="74"/>
      <c r="F98" s="74"/>
      <c r="G98" s="74"/>
      <c r="H98" s="74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</row>
    <row r="99" customFormat="false" ht="14.25" hidden="false" customHeight="false" outlineLevel="0" collapsed="false">
      <c r="A99" s="18"/>
      <c r="B99" s="74" t="s">
        <v>79</v>
      </c>
      <c r="C99" s="74" t="n">
        <f aca="false">G67/1000</f>
        <v>111.032</v>
      </c>
      <c r="D99" s="74"/>
      <c r="E99" s="74"/>
      <c r="F99" s="74"/>
      <c r="G99" s="74"/>
      <c r="H99" s="74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</row>
    <row r="100" customFormat="false" ht="14.25" hidden="false" customHeight="false" outlineLevel="0" collapsed="false">
      <c r="A100" s="18"/>
      <c r="B100" s="74" t="s">
        <v>80</v>
      </c>
      <c r="C100" s="74" t="n">
        <f aca="false">G68/1000</f>
        <v>64.377</v>
      </c>
      <c r="D100" s="74"/>
      <c r="E100" s="74"/>
      <c r="F100" s="74"/>
      <c r="G100" s="74"/>
      <c r="H100" s="74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 customFormat="false" ht="14.25" hidden="false" customHeight="false" outlineLevel="0" collapsed="false">
      <c r="A101" s="18"/>
      <c r="B101" s="74" t="s">
        <v>82</v>
      </c>
      <c r="C101" s="74" t="n">
        <f aca="false">G69/1000</f>
        <v>28.703</v>
      </c>
      <c r="D101" s="74"/>
      <c r="E101" s="74"/>
      <c r="F101" s="74"/>
      <c r="G101" s="74"/>
      <c r="H101" s="74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</row>
    <row r="102" customFormat="false" ht="14.25" hidden="false" customHeight="false" outlineLevel="0" collapsed="false">
      <c r="A102" s="18"/>
      <c r="B102" s="74" t="s">
        <v>81</v>
      </c>
      <c r="C102" s="74" t="n">
        <f aca="false">G70/1000</f>
        <v>33.696</v>
      </c>
      <c r="D102" s="74"/>
      <c r="E102" s="74"/>
      <c r="F102" s="74"/>
      <c r="G102" s="74"/>
      <c r="H102" s="74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</row>
    <row r="103" customFormat="false" ht="14.25" hidden="false" customHeight="false" outlineLevel="0" collapsed="false">
      <c r="A103" s="18"/>
      <c r="B103" s="74"/>
      <c r="C103" s="74"/>
      <c r="D103" s="74"/>
      <c r="E103" s="74"/>
      <c r="F103" s="74"/>
      <c r="G103" s="74"/>
      <c r="H103" s="74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</row>
    <row r="104" customFormat="false" ht="14.25" hidden="false" customHeight="false" outlineLevel="0" collapsed="false">
      <c r="A104" s="18"/>
      <c r="B104" s="74" t="s">
        <v>128</v>
      </c>
      <c r="C104" s="74" t="s">
        <v>127</v>
      </c>
      <c r="D104" s="74"/>
      <c r="E104" s="74"/>
      <c r="F104" s="74"/>
      <c r="G104" s="74"/>
      <c r="H104" s="74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</row>
    <row r="105" customFormat="false" ht="14.25" hidden="false" customHeight="false" outlineLevel="0" collapsed="false">
      <c r="A105" s="18"/>
      <c r="B105" s="74" t="s">
        <v>129</v>
      </c>
      <c r="C105" s="74" t="n">
        <f aca="false">IS!F8/1000</f>
        <v>307.003</v>
      </c>
      <c r="D105" s="74"/>
      <c r="E105" s="74"/>
      <c r="F105" s="74"/>
      <c r="G105" s="74"/>
      <c r="H105" s="74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</row>
    <row r="106" customFormat="false" ht="14.25" hidden="false" customHeight="false" outlineLevel="0" collapsed="false">
      <c r="A106" s="18"/>
      <c r="B106" s="74" t="s">
        <v>123</v>
      </c>
      <c r="C106" s="74" t="n">
        <f aca="false">IS!F13/1000</f>
        <v>109.158</v>
      </c>
      <c r="D106" s="74"/>
      <c r="E106" s="74"/>
      <c r="F106" s="74"/>
      <c r="G106" s="74"/>
      <c r="H106" s="74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</row>
    <row r="107" customFormat="false" ht="14.25" hidden="false" customHeight="false" outlineLevel="0" collapsed="false">
      <c r="A107" s="18"/>
      <c r="B107" s="74"/>
      <c r="C107" s="74"/>
      <c r="D107" s="74"/>
      <c r="E107" s="74"/>
      <c r="F107" s="74"/>
      <c r="G107" s="74"/>
      <c r="H107" s="74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 customFormat="false" ht="14.25" hidden="false" customHeight="false" outlineLevel="0" collapsed="false">
      <c r="A108" s="18"/>
      <c r="B108" s="74" t="s">
        <v>130</v>
      </c>
      <c r="C108" s="74" t="s">
        <v>127</v>
      </c>
      <c r="D108" s="74"/>
      <c r="E108" s="74"/>
      <c r="F108" s="74"/>
      <c r="G108" s="74"/>
      <c r="H108" s="74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</row>
    <row r="109" customFormat="false" ht="14.25" hidden="false" customHeight="false" outlineLevel="0" collapsed="false">
      <c r="A109" s="18"/>
      <c r="B109" s="74" t="s">
        <v>121</v>
      </c>
      <c r="C109" s="74" t="n">
        <f aca="false">G82/1000</f>
        <v>28.023</v>
      </c>
      <c r="D109" s="74"/>
      <c r="E109" s="74"/>
      <c r="F109" s="74"/>
      <c r="G109" s="74"/>
      <c r="H109" s="74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</row>
    <row r="110" customFormat="false" ht="14.25" hidden="false" customHeight="false" outlineLevel="0" collapsed="false">
      <c r="A110" s="18"/>
      <c r="B110" s="74" t="s">
        <v>120</v>
      </c>
      <c r="C110" s="74" t="n">
        <f aca="false">G81/1000</f>
        <v>33.708</v>
      </c>
      <c r="D110" s="74"/>
      <c r="E110" s="74"/>
      <c r="F110" s="74"/>
      <c r="G110" s="74"/>
      <c r="H110" s="74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</row>
    <row r="111" customFormat="false" ht="14.25" hidden="false" customHeight="false" outlineLevel="0" collapsed="false">
      <c r="A111" s="18"/>
      <c r="B111" s="74" t="s">
        <v>122</v>
      </c>
      <c r="C111" s="74" t="n">
        <f aca="false">G83/1000</f>
        <v>35.686</v>
      </c>
      <c r="D111" s="74"/>
      <c r="E111" s="74"/>
      <c r="F111" s="74"/>
      <c r="G111" s="74"/>
      <c r="H111" s="74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  <row r="112" customFormat="false" ht="14.25" hidden="false" customHeight="false" outlineLevel="0" collapsed="false">
      <c r="A112" s="18"/>
      <c r="B112" s="74" t="s">
        <v>123</v>
      </c>
      <c r="C112" s="74" t="n">
        <f aca="false">G84/1000</f>
        <v>109.158</v>
      </c>
      <c r="D112" s="74"/>
      <c r="E112" s="74"/>
      <c r="F112" s="74"/>
      <c r="G112" s="74"/>
      <c r="H112" s="74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</row>
    <row r="113" customFormat="false" ht="14.25" hidden="false" customHeight="false" outlineLevel="0" collapsed="false">
      <c r="A113" s="18"/>
      <c r="B113" s="74" t="s">
        <v>119</v>
      </c>
      <c r="C113" s="74" t="n">
        <f aca="false">G80/1000</f>
        <v>209.586</v>
      </c>
      <c r="D113" s="74"/>
      <c r="E113" s="74"/>
      <c r="F113" s="74"/>
      <c r="G113" s="74"/>
      <c r="H113" s="74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</row>
    <row r="114" customFormat="false" ht="14.25" hidden="false" customHeight="false" outlineLevel="0" collapsed="false">
      <c r="A114" s="18"/>
      <c r="B114" s="74"/>
      <c r="C114" s="74"/>
      <c r="D114" s="74"/>
      <c r="E114" s="74"/>
      <c r="F114" s="74"/>
      <c r="G114" s="74"/>
      <c r="H114" s="74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</row>
    <row r="115" customFormat="false" ht="14.25" hidden="false" customHeight="false" outlineLevel="0" collapsed="false">
      <c r="A115" s="18"/>
      <c r="B115" s="74"/>
      <c r="C115" s="74" t="s">
        <v>113</v>
      </c>
      <c r="D115" s="74" t="s">
        <v>114</v>
      </c>
      <c r="E115" s="74" t="s">
        <v>89</v>
      </c>
      <c r="F115" s="74" t="s">
        <v>90</v>
      </c>
      <c r="G115" s="74" t="s">
        <v>91</v>
      </c>
      <c r="H115" s="74" t="s">
        <v>92</v>
      </c>
      <c r="I115" s="18" t="s">
        <v>93</v>
      </c>
      <c r="J115" s="18" t="s">
        <v>94</v>
      </c>
      <c r="K115" s="98" t="s">
        <v>95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</row>
    <row r="116" customFormat="false" ht="14.25" hidden="false" customHeight="false" outlineLevel="0" collapsed="false">
      <c r="A116" s="18"/>
      <c r="B116" s="74" t="s">
        <v>131</v>
      </c>
      <c r="C116" s="101" t="n">
        <f aca="false">Ratios!B7</f>
        <v>0.417793596251678</v>
      </c>
      <c r="D116" s="101" t="n">
        <f aca="false">Ratios!C7</f>
        <v>0.433096305613601</v>
      </c>
      <c r="E116" s="101" t="n">
        <f aca="false">Ratios!D7</f>
        <v>0.441311295772076</v>
      </c>
      <c r="F116" s="101" t="n">
        <f aca="false">Ratios!E7</f>
        <v>0.462063498152339</v>
      </c>
      <c r="G116" s="101" t="n">
        <f aca="false">Ratios!F7</f>
        <v>0.469051641071605</v>
      </c>
      <c r="H116" s="101" t="n">
        <f aca="false">Ratios!G7</f>
        <v>0.477678867900558</v>
      </c>
      <c r="I116" s="102" t="n">
        <f aca="false">Ratios!H7</f>
        <v>0.483228572171775</v>
      </c>
      <c r="J116" s="102" t="n">
        <f aca="false">Ratios!I7</f>
        <v>0.488938714368391</v>
      </c>
      <c r="K116" s="100" t="n">
        <f aca="false">Ratios!J7</f>
        <v>0.494801696472473</v>
      </c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</row>
    <row r="117" customFormat="false" ht="14.25" hidden="false" customHeight="false" outlineLevel="0" collapsed="false">
      <c r="A117" s="18"/>
      <c r="B117" s="74" t="s">
        <v>132</v>
      </c>
      <c r="C117" s="101" t="n">
        <f aca="false">Ratios!B8</f>
        <v>0.297823775275616</v>
      </c>
      <c r="D117" s="101" t="n">
        <f aca="false">Ratios!C8</f>
        <v>0.302887443955286</v>
      </c>
      <c r="E117" s="101" t="n">
        <f aca="false">Ratios!D8</f>
        <v>0.298214122650247</v>
      </c>
      <c r="F117" s="101" t="n">
        <f aca="false">Ratios!E8</f>
        <v>0.315102228700756</v>
      </c>
      <c r="G117" s="101" t="n">
        <f aca="false">Ratios!F8</f>
        <v>0.319707997625919</v>
      </c>
      <c r="H117" s="101" t="n">
        <f aca="false">Ratios!G8</f>
        <v>0.326640039966145</v>
      </c>
      <c r="I117" s="102" t="n">
        <f aca="false">Ratios!H8</f>
        <v>0.330602074244158</v>
      </c>
      <c r="J117" s="102" t="n">
        <f aca="false">Ratios!I8</f>
        <v>0.334840285709772</v>
      </c>
      <c r="K117" s="100" t="n">
        <f aca="false">Ratios!J8</f>
        <v>0.339355017613761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</row>
    <row r="118" customFormat="false" ht="14.25" hidden="false" customHeight="false" outlineLevel="0" collapsed="false">
      <c r="A118" s="18"/>
      <c r="B118" s="74" t="s">
        <v>133</v>
      </c>
      <c r="C118" s="101" t="n">
        <f aca="false">Ratios!B9</f>
        <v>0.258817933556942</v>
      </c>
      <c r="D118" s="101" t="n">
        <f aca="false">Ratios!C9</f>
        <v>0.253096407051997</v>
      </c>
      <c r="E118" s="101" t="n">
        <f aca="false">Ratios!D9</f>
        <v>0.253062342643203</v>
      </c>
      <c r="F118" s="101" t="n">
        <f aca="false">Ratios!E9</f>
        <v>0.239712557699439</v>
      </c>
      <c r="G118" s="101" t="n">
        <f aca="false">Ratios!F9</f>
        <v>0.269150641218182</v>
      </c>
      <c r="H118" s="101" t="n">
        <f aca="false">Ratios!G9</f>
        <v>0.277644033971224</v>
      </c>
      <c r="I118" s="102" t="n">
        <f aca="false">Ratios!H9</f>
        <v>0.281011763107535</v>
      </c>
      <c r="J118" s="102" t="n">
        <f aca="false">Ratios!I9</f>
        <v>0.284614242853306</v>
      </c>
      <c r="K118" s="100" t="n">
        <f aca="false">Ratios!J9</f>
        <v>0.288451764971697</v>
      </c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</row>
    <row r="119" customFormat="false" ht="14.25" hidden="false" customHeight="false" outlineLevel="0" collapsed="false">
      <c r="A119" s="18"/>
      <c r="B119" s="74" t="s">
        <v>134</v>
      </c>
      <c r="C119" s="101" t="n">
        <f aca="false">Ratios!B31</f>
        <v>0.254096993852117</v>
      </c>
      <c r="D119" s="101" t="n">
        <f aca="false">Ratios!C31</f>
        <v>0.28261498042239</v>
      </c>
      <c r="E119" s="101" t="n">
        <f aca="false">Ratios!D31</f>
        <v>0.259817107374408</v>
      </c>
      <c r="F119" s="101" t="n">
        <f aca="false">Ratios!E31</f>
        <v>0.278253864743565</v>
      </c>
      <c r="G119" s="101" t="n">
        <f aca="false">Ratios!F31</f>
        <v>0.237328822258693</v>
      </c>
      <c r="H119" s="101" t="n">
        <f aca="false">Ratios!G31</f>
        <v>0.351674042398978</v>
      </c>
      <c r="I119" s="102" t="n">
        <f aca="false">Ratios!H31</f>
        <v>0.315448620053301</v>
      </c>
      <c r="J119" s="102" t="n">
        <f aca="false">Ratios!I31</f>
        <v>0.319137521286277</v>
      </c>
      <c r="K119" s="100" t="n">
        <f aca="false">Ratios!J31</f>
        <v>0.323063625519746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</row>
    <row r="120" customFormat="false" ht="14.25" hidden="false" customHeight="false" outlineLevel="0" collapsed="false">
      <c r="A120" s="18"/>
      <c r="B120" s="74"/>
      <c r="C120" s="74"/>
      <c r="D120" s="74"/>
      <c r="E120" s="74"/>
      <c r="F120" s="74"/>
      <c r="G120" s="74"/>
      <c r="H120" s="74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</row>
    <row r="121" customFormat="false" ht="14.25" hidden="false" customHeight="false" outlineLevel="0" collapsed="false">
      <c r="A121" s="18"/>
      <c r="B121" s="74" t="s">
        <v>130</v>
      </c>
      <c r="C121" s="74" t="s">
        <v>89</v>
      </c>
      <c r="D121" s="74" t="s">
        <v>90</v>
      </c>
      <c r="E121" s="74" t="s">
        <v>91</v>
      </c>
      <c r="F121" s="74"/>
      <c r="G121" s="74"/>
      <c r="H121" s="74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</row>
    <row r="122" customFormat="false" ht="14.25" hidden="false" customHeight="false" outlineLevel="0" collapsed="false">
      <c r="A122" s="18"/>
      <c r="B122" s="74" t="s">
        <v>119</v>
      </c>
      <c r="C122" s="74" t="n">
        <f aca="false">E80/1000</f>
        <v>200.583</v>
      </c>
      <c r="D122" s="74" t="n">
        <f aca="false">F80/1000</f>
        <v>201.183</v>
      </c>
      <c r="E122" s="74" t="n">
        <f aca="false">G80/1000</f>
        <v>209.586</v>
      </c>
      <c r="F122" s="74"/>
      <c r="G122" s="74"/>
      <c r="H122" s="74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</row>
    <row r="123" customFormat="false" ht="14.25" hidden="false" customHeight="false" outlineLevel="0" collapsed="false">
      <c r="A123" s="18"/>
      <c r="B123" s="74" t="s">
        <v>123</v>
      </c>
      <c r="C123" s="74" t="n">
        <f aca="false">E84/1000</f>
        <v>85.2</v>
      </c>
      <c r="D123" s="74" t="n">
        <f aca="false">F84/1000</f>
        <v>96.169</v>
      </c>
      <c r="E123" s="74" t="n">
        <f aca="false">G84/1000</f>
        <v>109.158</v>
      </c>
      <c r="F123" s="74"/>
      <c r="G123" s="74"/>
      <c r="H123" s="74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</row>
    <row r="124" customFormat="false" ht="14.25" hidden="false" customHeight="false" outlineLevel="0" collapsed="false">
      <c r="A124" s="18"/>
      <c r="B124" s="74" t="s">
        <v>122</v>
      </c>
      <c r="C124" s="74" t="n">
        <f aca="false">E83/1000</f>
        <v>39.845</v>
      </c>
      <c r="D124" s="74" t="n">
        <f aca="false">F83/1000</f>
        <v>37.005</v>
      </c>
      <c r="E124" s="74" t="n">
        <f aca="false">G83/1000</f>
        <v>35.686</v>
      </c>
      <c r="F124" s="74"/>
      <c r="G124" s="74"/>
      <c r="H124" s="74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</row>
    <row r="125" customFormat="false" ht="14.25" hidden="false" customHeight="false" outlineLevel="0" collapsed="false">
      <c r="A125" s="18"/>
      <c r="B125" s="74" t="s">
        <v>120</v>
      </c>
      <c r="C125" s="74" t="n">
        <f aca="false">E81/1000</f>
        <v>29.357</v>
      </c>
      <c r="D125" s="74" t="n">
        <f aca="false">F81/1000</f>
        <v>29.984</v>
      </c>
      <c r="E125" s="74" t="n">
        <f aca="false">G81/1000</f>
        <v>33.708</v>
      </c>
      <c r="F125" s="74"/>
      <c r="G125" s="74"/>
      <c r="H125" s="74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</row>
    <row r="126" customFormat="false" ht="14.25" hidden="false" customHeight="false" outlineLevel="0" collapsed="false">
      <c r="A126" s="18"/>
      <c r="B126" s="74" t="s">
        <v>121</v>
      </c>
      <c r="C126" s="74" t="n">
        <f aca="false">E82/1000</f>
        <v>28.3</v>
      </c>
      <c r="D126" s="74" t="n">
        <f aca="false">F82/1000</f>
        <v>26.694</v>
      </c>
      <c r="E126" s="74" t="n">
        <f aca="false">G82/1000</f>
        <v>28.023</v>
      </c>
      <c r="F126" s="74"/>
      <c r="G126" s="74"/>
      <c r="H126" s="74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</row>
    <row r="127" customFormat="false" ht="14.25" hidden="false" customHeight="false" outlineLevel="0" collapsed="false">
      <c r="A127" s="18"/>
      <c r="B127" s="74"/>
      <c r="C127" s="74"/>
      <c r="D127" s="74"/>
      <c r="E127" s="74"/>
      <c r="F127" s="74"/>
      <c r="G127" s="74"/>
      <c r="H127" s="74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</row>
    <row r="128" customFormat="false" ht="14.25" hidden="false" customHeight="false" outlineLevel="0" collapsed="false">
      <c r="A128" s="18"/>
      <c r="B128" s="74"/>
      <c r="C128" s="74" t="s">
        <v>113</v>
      </c>
      <c r="D128" s="74" t="s">
        <v>114</v>
      </c>
      <c r="E128" s="74" t="s">
        <v>89</v>
      </c>
      <c r="F128" s="74" t="s">
        <v>90</v>
      </c>
      <c r="G128" s="74" t="s">
        <v>91</v>
      </c>
      <c r="H128" s="74" t="s">
        <v>92</v>
      </c>
      <c r="I128" s="18" t="s">
        <v>93</v>
      </c>
      <c r="J128" s="18" t="s">
        <v>94</v>
      </c>
      <c r="K128" s="98" t="s">
        <v>95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</row>
    <row r="129" customFormat="false" ht="14.25" hidden="false" customHeight="false" outlineLevel="0" collapsed="false">
      <c r="A129" s="18"/>
      <c r="B129" s="74" t="s">
        <v>135</v>
      </c>
      <c r="C129" s="74" t="n">
        <f aca="false">CFS!B21/1000</f>
        <v>92.953</v>
      </c>
      <c r="D129" s="74" t="n">
        <f aca="false">CFS!C21/1000</f>
        <v>111.443</v>
      </c>
      <c r="E129" s="74" t="n">
        <f aca="false">CFS!D21/1000</f>
        <v>99.584</v>
      </c>
      <c r="F129" s="74" t="n">
        <f aca="false">CFS!E21/1000</f>
        <v>108.807</v>
      </c>
      <c r="G129" s="74" t="n">
        <f aca="false">CFS!F21/1000</f>
        <v>98.767</v>
      </c>
      <c r="H129" s="74" t="n">
        <f aca="false">CFS!G21/1000</f>
        <v>153.635750984331</v>
      </c>
      <c r="I129" s="18" t="n">
        <f aca="false">CFS!H21/1000</f>
        <v>144.816262254417</v>
      </c>
      <c r="J129" s="18" t="n">
        <f aca="false">CFS!I21/1000</f>
        <v>154.120936311231</v>
      </c>
      <c r="K129" s="99" t="n">
        <f aca="false">CFS!J21/1000</f>
        <v>164.299734886534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</row>
    <row r="130" customFormat="false" ht="14.25" hidden="false" customHeight="false" outlineLevel="0" collapsed="false">
      <c r="A130" s="18"/>
      <c r="B130" s="74"/>
      <c r="C130" s="74"/>
      <c r="D130" s="74"/>
      <c r="E130" s="74"/>
      <c r="F130" s="74"/>
      <c r="G130" s="74"/>
      <c r="H130" s="74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</row>
    <row r="131" customFormat="false" ht="14.25" hidden="false" customHeight="false" outlineLevel="0" collapsed="false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</row>
    <row r="132" customFormat="false" ht="14.25" hidden="false" customHeight="false" outlineLevel="0" collapsed="false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</row>
    <row r="133" customFormat="false" ht="14.25" hidden="false" customHeight="false" outlineLevel="0" collapsed="false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</row>
    <row r="134" customFormat="false" ht="14.25" hidden="false" customHeight="false" outlineLevel="0" collapsed="false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</row>
    <row r="135" customFormat="false" ht="14.25" hidden="false" customHeight="false" outlineLevel="0" collapsed="false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</row>
    <row r="136" customFormat="false" ht="14.25" hidden="false" customHeight="false" outlineLevel="0" collapsed="false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</row>
    <row r="137" customFormat="false" ht="14.25" hidden="false" customHeight="false" outlineLevel="0" collapsed="false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</row>
    <row r="138" customFormat="false" ht="14.25" hidden="false" customHeight="false" outlineLevel="0" collapsed="false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</row>
    <row r="139" customFormat="false" ht="14.25" hidden="false" customHeight="false" outlineLevel="0" collapsed="false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</row>
    <row r="140" customFormat="false" ht="14.25" hidden="false" customHeight="false" outlineLevel="0" collapsed="false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</row>
    <row r="141" customFormat="false" ht="14.25" hidden="false" customHeight="false" outlineLevel="0" collapsed="false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</row>
    <row r="142" customFormat="false" ht="14.25" hidden="false" customHeight="false" outlineLevel="0" collapsed="false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</row>
    <row r="143" customFormat="false" ht="14.25" hidden="false" customHeight="false" outlineLevel="0" collapsed="false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</row>
    <row r="144" customFormat="false" ht="14.25" hidden="false" customHeight="false" outlineLevel="0" collapsed="false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</row>
    <row r="145" customFormat="false" ht="14.25" hidden="false" customHeight="false" outlineLevel="0" collapsed="false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</row>
    <row r="146" customFormat="false" ht="14.25" hidden="false" customHeight="false" outlineLevel="0" collapsed="false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</row>
    <row r="147" customFormat="false" ht="14.25" hidden="false" customHeight="false" outlineLevel="0" collapsed="false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</row>
    <row r="148" customFormat="false" ht="14.25" hidden="false" customHeight="false" outlineLevel="0" collapsed="false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</row>
    <row r="149" customFormat="false" ht="14.25" hidden="false" customHeight="false" outlineLevel="0" collapsed="false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</row>
    <row r="150" customFormat="false" ht="14.25" hidden="false" customHeight="false" outlineLevel="0" collapsed="false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</row>
    <row r="151" customFormat="false" ht="14.25" hidden="false" customHeight="false" outlineLevel="0" collapsed="false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</row>
    <row r="152" customFormat="false" ht="14.25" hidden="false" customHeight="false" outlineLevel="0" collapsed="false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</row>
    <row r="153" customFormat="false" ht="14.25" hidden="false" customHeight="false" outlineLevel="0" collapsed="false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</row>
    <row r="154" customFormat="false" ht="14.25" hidden="false" customHeight="false" outlineLevel="0" collapsed="false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</row>
    <row r="155" customFormat="false" ht="14.25" hidden="false" customHeight="false" outlineLevel="0" collapsed="false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</row>
    <row r="156" customFormat="false" ht="14.25" hidden="false" customHeight="false" outlineLevel="0" collapsed="false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</row>
    <row r="157" customFormat="false" ht="14.25" hidden="false" customHeight="false" outlineLevel="0" collapsed="false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</row>
    <row r="158" customFormat="false" ht="14.25" hidden="false" customHeight="false" outlineLevel="0" collapsed="false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</row>
    <row r="159" customFormat="false" ht="14.25" hidden="false" customHeight="false" outlineLevel="0" collapsed="false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</row>
    <row r="160" customFormat="false" ht="14.25" hidden="false" customHeight="false" outlineLevel="0" collapsed="false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</row>
    <row r="161" customFormat="false" ht="14.25" hidden="false" customHeight="false" outlineLevel="0" collapsed="false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</row>
    <row r="162" customFormat="false" ht="14.25" hidden="false" customHeight="false" outlineLevel="0" collapsed="false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</row>
    <row r="163" customFormat="false" ht="14.25" hidden="false" customHeight="false" outlineLevel="0" collapsed="false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</row>
    <row r="164" customFormat="false" ht="14.25" hidden="false" customHeight="false" outlineLevel="0" collapsed="false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</row>
    <row r="165" customFormat="false" ht="14.25" hidden="false" customHeight="false" outlineLevel="0" collapsed="false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</row>
    <row r="166" customFormat="false" ht="14.25" hidden="false" customHeight="false" outlineLevel="0" collapsed="false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</row>
    <row r="167" customFormat="false" ht="14.25" hidden="false" customHeight="false" outlineLevel="0" collapsed="false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</row>
    <row r="168" customFormat="false" ht="14.25" hidden="false" customHeight="false" outlineLevel="0" collapsed="false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</row>
    <row r="169" customFormat="false" ht="14.25" hidden="false" customHeight="false" outlineLevel="0" collapsed="false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</row>
    <row r="170" customFormat="false" ht="14.25" hidden="false" customHeight="false" outlineLevel="0" collapsed="false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</row>
    <row r="171" customFormat="false" ht="14.25" hidden="false" customHeight="false" outlineLevel="0" collapsed="false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</row>
    <row r="172" customFormat="false" ht="14.25" hidden="false" customHeight="false" outlineLevel="0" collapsed="false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</row>
    <row r="173" customFormat="false" ht="14.25" hidden="false" customHeight="false" outlineLevel="0" collapsed="false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</row>
    <row r="174" customFormat="false" ht="14.25" hidden="false" customHeight="false" outlineLevel="0" collapsed="false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</row>
    <row r="175" customFormat="false" ht="14.25" hidden="false" customHeight="false" outlineLevel="0" collapsed="false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</row>
    <row r="176" customFormat="false" ht="14.25" hidden="false" customHeight="false" outlineLevel="0" collapsed="false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</row>
    <row r="177" customFormat="false" ht="14.25" hidden="false" customHeight="false" outlineLevel="0" collapsed="false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</row>
    <row r="178" customFormat="false" ht="14.25" hidden="false" customHeight="false" outlineLevel="0" collapsed="false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</row>
    <row r="179" customFormat="false" ht="14.25" hidden="false" customHeight="false" outlineLevel="0" collapsed="false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</row>
    <row r="180" customFormat="false" ht="14.25" hidden="false" customHeight="false" outlineLevel="0" collapsed="false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</row>
    <row r="181" customFormat="false" ht="14.25" hidden="false" customHeight="false" outlineLevel="0" collapsed="false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</row>
    <row r="182" customFormat="false" ht="14.25" hidden="false" customHeight="false" outlineLevel="0" collapsed="false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</row>
    <row r="183" customFormat="false" ht="14.25" hidden="false" customHeight="false" outlineLevel="0" collapsed="false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</row>
    <row r="184" customFormat="false" ht="14.25" hidden="false" customHeight="false" outlineLevel="0" collapsed="false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</row>
    <row r="185" customFormat="false" ht="14.25" hidden="false" customHeight="false" outlineLevel="0" collapsed="false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</row>
    <row r="186" customFormat="false" ht="14.25" hidden="false" customHeight="false" outlineLevel="0" collapsed="false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</row>
    <row r="187" customFormat="false" ht="14.25" hidden="false" customHeight="false" outlineLevel="0" collapsed="false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</row>
    <row r="188" customFormat="false" ht="14.25" hidden="false" customHeight="false" outlineLevel="0" collapsed="false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</row>
    <row r="189" customFormat="false" ht="14.25" hidden="false" customHeight="false" outlineLevel="0" collapsed="false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</row>
    <row r="190" customFormat="false" ht="14.25" hidden="false" customHeight="false" outlineLevel="0" collapsed="false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</row>
    <row r="191" customFormat="false" ht="14.25" hidden="false" customHeight="false" outlineLevel="0" collapsed="false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</row>
    <row r="192" customFormat="false" ht="14.25" hidden="false" customHeight="false" outlineLevel="0" collapsed="false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</row>
    <row r="193" customFormat="false" ht="14.25" hidden="false" customHeight="false" outlineLevel="0" collapsed="false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</row>
    <row r="194" customFormat="false" ht="14.25" hidden="false" customHeight="false" outlineLevel="0" collapsed="false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</row>
    <row r="195" customFormat="false" ht="14.25" hidden="false" customHeight="false" outlineLevel="0" collapsed="false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</row>
    <row r="196" customFormat="false" ht="14.25" hidden="false" customHeight="false" outlineLevel="0" collapsed="false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</row>
    <row r="197" customFormat="false" ht="14.25" hidden="false" customHeight="false" outlineLevel="0" collapsed="false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</row>
    <row r="198" customFormat="false" ht="14.25" hidden="false" customHeight="false" outlineLevel="0" collapsed="false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</row>
    <row r="199" customFormat="false" ht="14.25" hidden="false" customHeight="false" outlineLevel="0" collapsed="false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</row>
    <row r="200" customFormat="false" ht="14.25" hidden="false" customHeight="false" outlineLevel="0" collapsed="false"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</row>
  </sheetData>
  <mergeCells count="10">
    <mergeCell ref="C8:E8"/>
    <mergeCell ref="G8:H8"/>
    <mergeCell ref="K8:L8"/>
    <mergeCell ref="O8:P8"/>
    <mergeCell ref="S8:T8"/>
    <mergeCell ref="C9:E9"/>
    <mergeCell ref="G9:H9"/>
    <mergeCell ref="K9:L9"/>
    <mergeCell ref="O9:P9"/>
    <mergeCell ref="S9:T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E3"/>
    <pageSetUpPr fitToPage="true"/>
  </sheetPr>
  <dimension ref="A1:N98"/>
  <sheetViews>
    <sheetView showFormulas="false" showGridLines="false" showRowColHeaders="true" showZeros="true" rightToLeft="false" tabSelected="false" showOutlineSymbols="true" defaultGridColor="true" view="normal" topLeftCell="A51" colorId="64" zoomScale="100" zoomScaleNormal="100" zoomScalePageLayoutView="100" workbookViewId="0">
      <selection pane="topLeft" activeCell="A58" activeCellId="0" sqref="A58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9" min="2" style="0" width="13"/>
    <col collapsed="false" customWidth="true" hidden="false" outlineLevel="0" max="10" min="10" style="0" width="11.82"/>
    <col collapsed="false" customWidth="true" hidden="false" outlineLevel="0" max="11" min="11" style="0" width="11.91"/>
    <col collapsed="false" customWidth="true" hidden="false" outlineLevel="0" max="12" min="12" style="0" width="11.63"/>
    <col collapsed="false" customWidth="true" hidden="false" outlineLevel="0" max="13" min="13" style="0" width="11.73"/>
  </cols>
  <sheetData>
    <row r="1" customFormat="false" ht="31.5" hidden="false" customHeight="true" outlineLevel="0" collapsed="false">
      <c r="A1" s="103" t="s">
        <v>136</v>
      </c>
      <c r="B1" s="103"/>
      <c r="C1" s="103"/>
      <c r="D1" s="103"/>
      <c r="E1" s="103"/>
      <c r="F1" s="103"/>
      <c r="G1" s="103"/>
      <c r="H1" s="103"/>
      <c r="I1" s="103"/>
      <c r="J1" s="103"/>
    </row>
    <row r="2" customFormat="false" ht="19.5" hidden="false" customHeight="true" outlineLevel="0" collapsed="false">
      <c r="A2" s="104" t="s">
        <v>137</v>
      </c>
      <c r="B2" s="104"/>
      <c r="C2" s="104"/>
      <c r="D2" s="104"/>
      <c r="E2" s="104"/>
      <c r="F2" s="104"/>
      <c r="G2" s="104"/>
      <c r="H2" s="104"/>
      <c r="I2" s="104"/>
      <c r="J2" s="104"/>
    </row>
    <row r="3" customFormat="false" ht="6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true" outlineLevel="0" collapsed="false">
      <c r="A4" s="105" t="s">
        <v>138</v>
      </c>
      <c r="B4" s="106" t="s">
        <v>139</v>
      </c>
      <c r="C4" s="106" t="s">
        <v>140</v>
      </c>
      <c r="D4" s="106" t="s">
        <v>141</v>
      </c>
      <c r="E4" s="106" t="s">
        <v>142</v>
      </c>
      <c r="F4" s="106" t="s">
        <v>143</v>
      </c>
      <c r="G4" s="107" t="s">
        <v>144</v>
      </c>
      <c r="H4" s="107" t="s">
        <v>145</v>
      </c>
      <c r="I4" s="107" t="s">
        <v>146</v>
      </c>
      <c r="J4" s="107" t="s">
        <v>147</v>
      </c>
    </row>
    <row r="5" customFormat="false" ht="15" hidden="false" customHeight="true" outlineLevel="0" collapsed="false">
      <c r="B5" s="108" t="s">
        <v>148</v>
      </c>
      <c r="C5" s="108" t="s">
        <v>149</v>
      </c>
      <c r="D5" s="108" t="s">
        <v>150</v>
      </c>
      <c r="E5" s="108" t="s">
        <v>151</v>
      </c>
      <c r="F5" s="108" t="s">
        <v>152</v>
      </c>
      <c r="G5" s="108" t="s">
        <v>153</v>
      </c>
      <c r="H5" s="108" t="s">
        <v>154</v>
      </c>
      <c r="I5" s="108" t="s">
        <v>155</v>
      </c>
      <c r="J5" s="108" t="s">
        <v>156</v>
      </c>
    </row>
    <row r="7" customFormat="false" ht="18" hidden="false" customHeight="true" outlineLevel="0" collapsed="false">
      <c r="A7" s="109" t="s">
        <v>157</v>
      </c>
      <c r="B7" s="109"/>
      <c r="C7" s="109"/>
      <c r="D7" s="109"/>
      <c r="E7" s="109"/>
      <c r="F7" s="109"/>
      <c r="G7" s="109"/>
      <c r="H7" s="109"/>
      <c r="I7" s="109"/>
      <c r="J7" s="109"/>
    </row>
    <row r="8" customFormat="false" ht="18" hidden="false" customHeight="true" outlineLevel="0" collapsed="false">
      <c r="A8" s="110" t="s">
        <v>158</v>
      </c>
      <c r="B8" s="111" t="str">
        <f aca="false">""</f>
        <v/>
      </c>
      <c r="C8" s="111" t="n">
        <f aca="false">IS!C8/IS!B8-1</f>
        <v>0.0632397643514284</v>
      </c>
      <c r="D8" s="111" t="n">
        <f aca="false">IS!D8/IS!C8-1</f>
        <v>-0.0572867086866182</v>
      </c>
      <c r="E8" s="111" t="n">
        <f aca="false">IS!E8/IS!D8-1</f>
        <v>-0.0107989331901974</v>
      </c>
      <c r="F8" s="111" t="n">
        <f aca="false">IS!F8/IS!E8-1</f>
        <v>0.041161069774067</v>
      </c>
      <c r="G8" s="112" t="n">
        <f aca="false">CHOOSE(MATCH(Scenario,{"Bear","Base","Bull"},0),$B$65,$C$65,$D$65)</f>
        <v>0.03012074800572</v>
      </c>
      <c r="H8" s="112" t="n">
        <f aca="false">CHOOSE(MATCH(Scenario,{"Bear","Base","Bull"},0),$B$65,$C$65,$D$65)</f>
        <v>0.03012074800572</v>
      </c>
      <c r="I8" s="112" t="n">
        <f aca="false">CHOOSE(MATCH(Scenario,{"Bear","Base","Bull"},0),$B$65,$C$65,$D$65)</f>
        <v>0.03012074800572</v>
      </c>
      <c r="J8" s="112" t="n">
        <f aca="false">CHOOSE(MATCH(Scenario,{"Bear","Base","Bull"},0),$B$65,$C$65,$D$65)</f>
        <v>0.03012074800572</v>
      </c>
    </row>
    <row r="9" customFormat="false" ht="18" hidden="false" customHeight="true" outlineLevel="0" collapsed="false">
      <c r="A9" s="113" t="s">
        <v>119</v>
      </c>
      <c r="B9" s="111"/>
      <c r="C9" s="111" t="n">
        <f aca="false">IS!C9/IS!B9-1</f>
        <v>0.0704057341396966</v>
      </c>
      <c r="D9" s="111" t="n">
        <f aca="false">IS!D9/IS!C9-1</f>
        <v>-0.0238747572862781</v>
      </c>
      <c r="E9" s="111" t="n">
        <f aca="false">IS!E9/IS!D9-1</f>
        <v>0.00299128041758268</v>
      </c>
      <c r="F9" s="111" t="n">
        <f aca="false">IS!F9/IS!E9-1</f>
        <v>0.0417679426194062</v>
      </c>
      <c r="G9" s="114" t="n">
        <f aca="false">CHOOSE(MATCH(Scenario,{"Bear","Base","Bull"},0),$B$66,$C$66,$D$66)</f>
        <v>0.03</v>
      </c>
      <c r="H9" s="114" t="n">
        <f aca="false">CHOOSE(MATCH(Scenario,{"Bear","Base","Bull"},0),$B$66,$C$66,$D$66)</f>
        <v>0.03</v>
      </c>
      <c r="I9" s="114" t="n">
        <f aca="false">CHOOSE(MATCH(Scenario,{"Bear","Base","Bull"},0),$B$66,$C$66,$D$66)</f>
        <v>0.03</v>
      </c>
      <c r="J9" s="114" t="n">
        <f aca="false">CHOOSE(MATCH(Scenario,{"Bear","Base","Bull"},0),$B$66,$C$66,$D$66)</f>
        <v>0.03</v>
      </c>
    </row>
    <row r="10" customFormat="false" ht="18" hidden="false" customHeight="true" outlineLevel="0" collapsed="false">
      <c r="A10" s="113" t="s">
        <v>120</v>
      </c>
      <c r="B10" s="111"/>
      <c r="C10" s="111" t="n">
        <f aca="false">IS!C10/IS!B10-1</f>
        <v>0.141716396703609</v>
      </c>
      <c r="D10" s="111" t="n">
        <f aca="false">IS!D10/IS!C10-1</f>
        <v>-0.269308310725042</v>
      </c>
      <c r="E10" s="111" t="n">
        <f aca="false">IS!E10/IS!D10-1</f>
        <v>0.021357768164322</v>
      </c>
      <c r="F10" s="111" t="n">
        <f aca="false">IS!F10/IS!E10-1</f>
        <v>0.124199573105656</v>
      </c>
      <c r="G10" s="114" t="n">
        <f aca="false">CHOOSE(MATCH(Scenario,{"Bear","Base","Bull"},0),$B$67,$C$67,$D$67)</f>
        <v>0.05</v>
      </c>
      <c r="H10" s="114" t="n">
        <f aca="false">CHOOSE(MATCH(Scenario,{"Bear","Base","Bull"},0),$B$67,$C$67,$D$67)</f>
        <v>0.05</v>
      </c>
      <c r="I10" s="114" t="n">
        <f aca="false">CHOOSE(MATCH(Scenario,{"Bear","Base","Bull"},0),$B$67,$C$67,$D$67)</f>
        <v>0.05</v>
      </c>
      <c r="J10" s="114" t="n">
        <f aca="false">CHOOSE(MATCH(Scenario,{"Bear","Base","Bull"},0),$B$67,$C$67,$D$67)</f>
        <v>0.05</v>
      </c>
    </row>
    <row r="11" customFormat="false" ht="18" hidden="false" customHeight="true" outlineLevel="0" collapsed="false">
      <c r="A11" s="113" t="s">
        <v>121</v>
      </c>
      <c r="B11" s="111"/>
      <c r="C11" s="111" t="n">
        <f aca="false">IS!C11/IS!B11-1</f>
        <v>-0.0806603477496705</v>
      </c>
      <c r="D11" s="111" t="n">
        <f aca="false">IS!D11/IS!C11-1</f>
        <v>-0.0338659019527516</v>
      </c>
      <c r="E11" s="111" t="n">
        <f aca="false">IS!E11/IS!D11-1</f>
        <v>-0.0567491166077738</v>
      </c>
      <c r="F11" s="111" t="n">
        <f aca="false">IS!F11/IS!E11-1</f>
        <v>0.049786468869409</v>
      </c>
      <c r="G11" s="114" t="n">
        <f aca="false">CHOOSE(MATCH(Scenario,{"Bear","Base","Bull"},0),$B$68,$C$68,$D$68)</f>
        <v>0.02</v>
      </c>
      <c r="H11" s="114" t="n">
        <f aca="false">CHOOSE(MATCH(Scenario,{"Bear","Base","Bull"},0),$B$68,$C$68,$D$68)</f>
        <v>0.02</v>
      </c>
      <c r="I11" s="114" t="n">
        <f aca="false">CHOOSE(MATCH(Scenario,{"Bear","Base","Bull"},0),$B$68,$C$68,$D$68)</f>
        <v>0.02</v>
      </c>
      <c r="J11" s="114" t="n">
        <f aca="false">CHOOSE(MATCH(Scenario,{"Bear","Base","Bull"},0),$B$68,$C$68,$D$68)</f>
        <v>0.02</v>
      </c>
    </row>
    <row r="12" customFormat="false" ht="18" hidden="false" customHeight="true" outlineLevel="0" collapsed="false">
      <c r="A12" s="113" t="s">
        <v>159</v>
      </c>
      <c r="B12" s="111"/>
      <c r="C12" s="111" t="n">
        <f aca="false">IS!C12/IS!B12-1</f>
        <v>0.074908124169208</v>
      </c>
      <c r="D12" s="111" t="n">
        <f aca="false">IS!D12/IS!C12-1</f>
        <v>-0.0338498096554399</v>
      </c>
      <c r="E12" s="111" t="n">
        <f aca="false">IS!E12/IS!D12-1</f>
        <v>-0.0712761952566194</v>
      </c>
      <c r="F12" s="111" t="n">
        <f aca="false">IS!F12/IS!E12-1</f>
        <v>-0.0356438319146062</v>
      </c>
      <c r="G12" s="114" t="n">
        <f aca="false">CHOOSE(MATCH(Scenario,{"Bear","Base","Bull"},0),$B$69,$C$69,$D$69)</f>
        <v>0.02</v>
      </c>
      <c r="H12" s="114" t="n">
        <f aca="false">CHOOSE(MATCH(Scenario,{"Bear","Base","Bull"},0),$B$69,$C$69,$D$69)</f>
        <v>0.02</v>
      </c>
      <c r="I12" s="114" t="n">
        <f aca="false">CHOOSE(MATCH(Scenario,{"Bear","Base","Bull"},0),$B$69,$C$69,$D$69)</f>
        <v>0.02</v>
      </c>
      <c r="J12" s="114" t="n">
        <f aca="false">CHOOSE(MATCH(Scenario,{"Bear","Base","Bull"},0),$B$69,$C$69,$D$69)</f>
        <v>0.02</v>
      </c>
    </row>
    <row r="13" customFormat="false" ht="18" hidden="false" customHeight="true" outlineLevel="0" collapsed="false">
      <c r="A13" s="110" t="s">
        <v>160</v>
      </c>
      <c r="B13" s="111" t="str">
        <f aca="false">""</f>
        <v/>
      </c>
      <c r="C13" s="111" t="n">
        <f aca="false">IS!C13/IS!B13-1</f>
        <v>0.141819510412861</v>
      </c>
      <c r="D13" s="111" t="n">
        <f aca="false">IS!D13/IS!C13-1</f>
        <v>0.0905041661866912</v>
      </c>
      <c r="E13" s="111" t="n">
        <f aca="false">IS!E13/IS!D13-1</f>
        <v>0.128744131455399</v>
      </c>
      <c r="F13" s="111" t="n">
        <f aca="false">IS!F13/IS!E13-1</f>
        <v>0.135064313864135</v>
      </c>
      <c r="G13" s="114" t="n">
        <f aca="false">CHOOSE(MATCH(Scenario,{"Bear","Base","Bull"},0),$B$70,$C$70,$D$70)</f>
        <v>0.105</v>
      </c>
      <c r="H13" s="114" t="n">
        <f aca="false">CHOOSE(MATCH(Scenario,{"Bear","Base","Bull"},0),$B$70,$C$70,$D$70)</f>
        <v>0.105</v>
      </c>
      <c r="I13" s="114" t="n">
        <f aca="false">CHOOSE(MATCH(Scenario,{"Bear","Base","Bull"},0),$B$70,$C$70,$D$70)</f>
        <v>0.105</v>
      </c>
      <c r="J13" s="114" t="n">
        <f aca="false">CHOOSE(MATCH(Scenario,{"Bear","Base","Bull"},0),$B$70,$C$70,$D$70)</f>
        <v>0.105</v>
      </c>
    </row>
    <row r="15" customFormat="false" ht="18" hidden="false" customHeight="true" outlineLevel="0" collapsed="false">
      <c r="A15" s="109" t="s">
        <v>161</v>
      </c>
      <c r="B15" s="109"/>
      <c r="C15" s="109"/>
      <c r="D15" s="109"/>
      <c r="E15" s="109"/>
      <c r="F15" s="109"/>
      <c r="G15" s="109"/>
      <c r="H15" s="109"/>
      <c r="I15" s="109"/>
      <c r="J15" s="109"/>
    </row>
    <row r="16" customFormat="false" ht="18" hidden="false" customHeight="true" outlineLevel="0" collapsed="false">
      <c r="A16" s="115" t="s">
        <v>162</v>
      </c>
      <c r="B16" s="111" t="n">
        <f aca="false">(IS!B8-IS!B19)/IS!B8</f>
        <v>0.353493032764836</v>
      </c>
      <c r="C16" s="111" t="n">
        <f aca="false">(IS!C8-IS!C19)/IS!C8</f>
        <v>0.362834797073995</v>
      </c>
      <c r="D16" s="111" t="n">
        <f aca="false">(IS!D8-IS!D19)/IS!D8</f>
        <v>0.365006625626919</v>
      </c>
      <c r="E16" s="111" t="n">
        <f aca="false">(IS!E8-IS!E19)/IS!E8</f>
        <v>0.371806176364857</v>
      </c>
      <c r="F16" s="111" t="n">
        <f aca="false">(IS!F8-IS!F19)/IS!F8</f>
        <v>0.367706504496699</v>
      </c>
      <c r="G16" s="114" t="n">
        <f aca="false">CHOOSE(MATCH(Scenario,{"Bear","Base","Bull"},0),$B$71,$C$71,$D$71)</f>
        <v>0.37</v>
      </c>
      <c r="H16" s="114" t="n">
        <f aca="false">CHOOSE(MATCH(Scenario,{"Bear","Base","Bull"},0),$B$71,$C$71,$D$71)</f>
        <v>0.37</v>
      </c>
      <c r="I16" s="114" t="n">
        <f aca="false">CHOOSE(MATCH(Scenario,{"Bear","Base","Bull"},0),$B$71,$C$71,$D$71)</f>
        <v>0.37</v>
      </c>
      <c r="J16" s="114" t="n">
        <f aca="false">CHOOSE(MATCH(Scenario,{"Bear","Base","Bull"},0),$B$71,$C$71,$D$71)</f>
        <v>0.37</v>
      </c>
    </row>
    <row r="17" customFormat="false" ht="18" hidden="false" customHeight="true" outlineLevel="0" collapsed="false">
      <c r="A17" s="115" t="s">
        <v>163</v>
      </c>
      <c r="B17" s="111" t="n">
        <f aca="false">(IS!B13-IS!B20)/IS!B13</f>
        <v>0.697259773474607</v>
      </c>
      <c r="C17" s="111" t="n">
        <f aca="false">(IS!C13-IS!C20)/IS!C13</f>
        <v>0.717454466331324</v>
      </c>
      <c r="D17" s="111" t="n">
        <f aca="false">(IS!D13-IS!D20)/IS!D13</f>
        <v>0.708274647887324</v>
      </c>
      <c r="E17" s="111" t="n">
        <f aca="false">(IS!E13-IS!E20)/IS!E13</f>
        <v>0.738803564558226</v>
      </c>
      <c r="F17" s="111" t="n">
        <f aca="false">(IS!F13-IS!F20)/IS!F13</f>
        <v>0.754081240037377</v>
      </c>
      <c r="G17" s="114" t="n">
        <f aca="false">CHOOSE(MATCH(Scenario,{"Bear","Base","Bull"},0),$B$72,$C$72,$D$72)</f>
        <v>0.76</v>
      </c>
      <c r="H17" s="114" t="n">
        <f aca="false">CHOOSE(MATCH(Scenario,{"Bear","Base","Bull"},0),$B$72,$C$72,$D$72)</f>
        <v>0.76</v>
      </c>
      <c r="I17" s="114" t="n">
        <f aca="false">CHOOSE(MATCH(Scenario,{"Bear","Base","Bull"},0),$B$72,$C$72,$D$72)</f>
        <v>0.76</v>
      </c>
      <c r="J17" s="114" t="n">
        <f aca="false">CHOOSE(MATCH(Scenario,{"Bear","Base","Bull"},0),$B$72,$C$72,$D$72)</f>
        <v>0.76</v>
      </c>
    </row>
    <row r="19" customFormat="false" ht="18" hidden="false" customHeight="true" outlineLevel="0" collapsed="false">
      <c r="A19" s="109" t="s">
        <v>164</v>
      </c>
      <c r="B19" s="109"/>
      <c r="C19" s="109"/>
      <c r="D19" s="109"/>
      <c r="E19" s="109"/>
      <c r="F19" s="109"/>
      <c r="G19" s="109"/>
      <c r="H19" s="109"/>
      <c r="I19" s="109"/>
      <c r="J19" s="109"/>
    </row>
    <row r="20" customFormat="false" ht="18" hidden="false" customHeight="true" outlineLevel="0" collapsed="false">
      <c r="A20" s="115" t="s">
        <v>165</v>
      </c>
      <c r="B20" s="116" t="str">
        <f aca="false">""</f>
        <v/>
      </c>
      <c r="C20" s="111" t="n">
        <f aca="false">IS!C26/IS!B26-1</f>
        <v>0.197910011864561</v>
      </c>
      <c r="D20" s="111" t="n">
        <f aca="false">IS!D26/IS!C26-1</f>
        <v>0.139575635213897</v>
      </c>
      <c r="E20" s="111" t="n">
        <f aca="false">IS!E26/IS!D26-1</f>
        <v>0.0486378071201739</v>
      </c>
      <c r="F20" s="111" t="n">
        <f aca="false">IS!F26/IS!E26-1</f>
        <v>0.10137073637233</v>
      </c>
      <c r="G20" s="114" t="n">
        <f aca="false">CHOOSE(MATCH(Scenario,{"Bear","Base","Bull"},0),$B$73,$C$73,$D$73)</f>
        <v>0.075</v>
      </c>
      <c r="H20" s="114" t="n">
        <f aca="false">CHOOSE(MATCH(Scenario,{"Bear","Base","Bull"},0),$B$73,$C$73,$D$73)</f>
        <v>0.075</v>
      </c>
      <c r="I20" s="114" t="n">
        <f aca="false">CHOOSE(MATCH(Scenario,{"Bear","Base","Bull"},0),$B$73,$C$73,$D$73)</f>
        <v>0.075</v>
      </c>
      <c r="J20" s="114" t="n">
        <f aca="false">CHOOSE(MATCH(Scenario,{"Bear","Base","Bull"},0),$B$73,$C$73,$D$73)</f>
        <v>0.075</v>
      </c>
    </row>
    <row r="21" customFormat="false" ht="18" hidden="false" customHeight="true" outlineLevel="0" collapsed="false">
      <c r="A21" s="115" t="s">
        <v>166</v>
      </c>
      <c r="B21" s="116" t="str">
        <f aca="false">""</f>
        <v/>
      </c>
      <c r="C21" s="111" t="n">
        <f aca="false">IS!C27/IS!B27-1</f>
        <v>0.142037955672871</v>
      </c>
      <c r="D21" s="111" t="n">
        <f aca="false">IS!D27/IS!C27-1</f>
        <v>-0.00645572646847847</v>
      </c>
      <c r="E21" s="111" t="n">
        <f aca="false">IS!E27/IS!D27-1</f>
        <v>0.0467270977057597</v>
      </c>
      <c r="F21" s="111" t="n">
        <f aca="false">IS!F27/IS!E27-1</f>
        <v>0.0576311453423766</v>
      </c>
      <c r="G21" s="114" t="n">
        <f aca="false">CHOOSE(MATCH(Scenario,{"Bear","Base","Bull"},0),$B$74,$C$74,$D$74)</f>
        <v>0.045</v>
      </c>
      <c r="H21" s="114" t="n">
        <f aca="false">CHOOSE(MATCH(Scenario,{"Bear","Base","Bull"},0),$B$74,$C$74,$D$74)</f>
        <v>0.045</v>
      </c>
      <c r="I21" s="114" t="n">
        <f aca="false">CHOOSE(MATCH(Scenario,{"Bear","Base","Bull"},0),$B$74,$C$74,$D$74)</f>
        <v>0.045</v>
      </c>
      <c r="J21" s="114" t="n">
        <f aca="false">CHOOSE(MATCH(Scenario,{"Bear","Base","Bull"},0),$B$74,$C$74,$D$74)</f>
        <v>0.045</v>
      </c>
    </row>
    <row r="23" customFormat="false" ht="18" hidden="false" customHeight="true" outlineLevel="0" collapsed="false">
      <c r="A23" s="109" t="s">
        <v>167</v>
      </c>
      <c r="B23" s="109"/>
      <c r="C23" s="109"/>
      <c r="D23" s="109"/>
      <c r="E23" s="109"/>
      <c r="F23" s="109"/>
      <c r="G23" s="109"/>
      <c r="H23" s="109"/>
      <c r="I23" s="109"/>
      <c r="J23" s="109"/>
    </row>
    <row r="24" customFormat="false" ht="18" hidden="false" customHeight="true" outlineLevel="0" collapsed="false">
      <c r="A24" s="115" t="s">
        <v>168</v>
      </c>
      <c r="B24" s="117" t="n">
        <f aca="false">IS!B35</f>
        <v>258</v>
      </c>
      <c r="C24" s="117" t="n">
        <f aca="false">IS!C35</f>
        <v>-334</v>
      </c>
      <c r="D24" s="117" t="n">
        <f aca="false">IS!D35</f>
        <v>-565</v>
      </c>
      <c r="E24" s="117" t="n">
        <f aca="false">IS!E35</f>
        <v>269</v>
      </c>
      <c r="F24" s="117" t="n">
        <f aca="false">IS!F35</f>
        <v>-321</v>
      </c>
      <c r="G24" s="118" t="n">
        <f aca="false">CHOOSE(MATCH(Scenario,{"Bear","Base","Bull"},0),$B$83,$C$83,$D$83)</f>
        <v>0</v>
      </c>
      <c r="H24" s="118" t="n">
        <f aca="false">CHOOSE(MATCH(Scenario,{"Bear","Base","Bull"},0),$B$83,$C$83,$D$83)</f>
        <v>0</v>
      </c>
      <c r="I24" s="118" t="n">
        <f aca="false">CHOOSE(MATCH(Scenario,{"Bear","Base","Bull"},0),$B$83,$C$83,$D$83)</f>
        <v>0</v>
      </c>
      <c r="J24" s="118" t="n">
        <f aca="false">CHOOSE(MATCH(Scenario,{"Bear","Base","Bull"},0),$B$83,$C$83,$D$83)</f>
        <v>0</v>
      </c>
    </row>
    <row r="25" customFormat="false" ht="18" hidden="false" customHeight="true" outlineLevel="0" collapsed="false">
      <c r="A25" s="115" t="s">
        <v>169</v>
      </c>
      <c r="B25" s="111" t="n">
        <f aca="false">IS!B37/IS!B36</f>
        <v>0.133022608440851</v>
      </c>
      <c r="C25" s="111" t="n">
        <f aca="false">IS!C37/IS!C36</f>
        <v>0.162044616844244</v>
      </c>
      <c r="D25" s="111" t="n">
        <f aca="false">IS!D37/IS!D36</f>
        <v>0.147191742280369</v>
      </c>
      <c r="E25" s="111" t="n">
        <f aca="false">IS!E37/IS!E36</f>
        <v>0.2409118516419</v>
      </c>
      <c r="F25" s="111" t="n">
        <f aca="false">IS!F37/IS!F36</f>
        <v>0.15610002335586</v>
      </c>
      <c r="G25" s="114" t="n">
        <f aca="false">CHOOSE(MATCH(Scenario,{"Bear","Base","Bull"},0),$B$75,$C$75,$D$75)</f>
        <v>0.15</v>
      </c>
      <c r="H25" s="114" t="n">
        <f aca="false">CHOOSE(MATCH(Scenario,{"Bear","Base","Bull"},0),$B$75,$C$75,$D$75)</f>
        <v>0.15</v>
      </c>
      <c r="I25" s="114" t="n">
        <f aca="false">CHOOSE(MATCH(Scenario,{"Bear","Base","Bull"},0),$B$75,$C$75,$D$75)</f>
        <v>0.15</v>
      </c>
      <c r="J25" s="114" t="n">
        <f aca="false">CHOOSE(MATCH(Scenario,{"Bear","Base","Bull"},0),$B$75,$C$75,$D$75)</f>
        <v>0.15</v>
      </c>
    </row>
    <row r="27" customFormat="false" ht="18" hidden="false" customHeight="true" outlineLevel="0" collapsed="false">
      <c r="A27" s="109" t="s">
        <v>170</v>
      </c>
      <c r="B27" s="109"/>
      <c r="C27" s="109"/>
      <c r="D27" s="109"/>
      <c r="E27" s="109"/>
      <c r="F27" s="109"/>
      <c r="G27" s="109"/>
      <c r="H27" s="109"/>
      <c r="I27" s="109"/>
      <c r="J27" s="109"/>
    </row>
    <row r="28" customFormat="false" ht="18" hidden="false" customHeight="true" outlineLevel="0" collapsed="false">
      <c r="A28" s="115" t="s">
        <v>171</v>
      </c>
      <c r="B28" s="119" t="n">
        <f aca="false">BS!C7/IS!B14*365</f>
        <v>26.2193118417132</v>
      </c>
      <c r="C28" s="119" t="n">
        <f aca="false">BS!D7/IS!C14*365</f>
        <v>26.0878253636567</v>
      </c>
      <c r="D28" s="119" t="n">
        <f aca="false">BS!E7/IS!D14*365</f>
        <v>28.1002909062447</v>
      </c>
      <c r="E28" s="119" t="n">
        <f aca="false">BS!F7/IS!E14*365</f>
        <v>31.1855716240234</v>
      </c>
      <c r="F28" s="119" t="n">
        <f aca="false">BS!G7/IS!F14*365</f>
        <v>34.8869908520981</v>
      </c>
      <c r="G28" s="120" t="n">
        <v>30</v>
      </c>
      <c r="H28" s="120" t="n">
        <v>30</v>
      </c>
      <c r="I28" s="120" t="n">
        <v>30</v>
      </c>
      <c r="J28" s="120" t="n">
        <v>30</v>
      </c>
    </row>
    <row r="29" customFormat="false" ht="18" hidden="false" customHeight="true" outlineLevel="0" collapsed="false">
      <c r="A29" s="115" t="s">
        <v>172</v>
      </c>
      <c r="B29" s="119" t="n">
        <f aca="false">BS!C8/IS!B21*365</f>
        <v>11.2765927477099</v>
      </c>
      <c r="C29" s="119" t="n">
        <f aca="false">BS!D8/IS!C21*365</f>
        <v>8.07569806661716</v>
      </c>
      <c r="D29" s="119" t="n">
        <f aca="false">BS!E8/IS!D21*365</f>
        <v>10.7912924903216</v>
      </c>
      <c r="E29" s="119" t="n">
        <f aca="false">BS!F8/IS!E21*365</f>
        <v>12.6425705484141</v>
      </c>
      <c r="F29" s="119" t="n">
        <f aca="false">BS!G8/IS!F21*365</f>
        <v>9.44546524257784</v>
      </c>
      <c r="G29" s="120" t="n">
        <v>10</v>
      </c>
      <c r="H29" s="120" t="n">
        <v>10</v>
      </c>
      <c r="I29" s="120" t="n">
        <v>10</v>
      </c>
      <c r="J29" s="120" t="n">
        <v>10</v>
      </c>
    </row>
    <row r="30" customFormat="false" ht="18" hidden="false" customHeight="true" outlineLevel="0" collapsed="false">
      <c r="A30" s="115" t="s">
        <v>173</v>
      </c>
      <c r="B30" s="119" t="n">
        <f aca="false">BS!C21/IS!B21*365</f>
        <v>93.8510712223156</v>
      </c>
      <c r="C30" s="119" t="n">
        <f aca="false">BS!D21/IS!C21*365</f>
        <v>104.685277303105</v>
      </c>
      <c r="D30" s="119" t="n">
        <f aca="false">BS!E21/IS!D21*365</f>
        <v>106.721468032148</v>
      </c>
      <c r="E30" s="119" t="n">
        <f aca="false">BS!F21/IS!E21*365</f>
        <v>119.658477219137</v>
      </c>
      <c r="F30" s="119" t="n">
        <f aca="false">BS!G21/IS!F21*365</f>
        <v>115.400524981897</v>
      </c>
      <c r="G30" s="120" t="n">
        <v>115</v>
      </c>
      <c r="H30" s="120" t="n">
        <v>115</v>
      </c>
      <c r="I30" s="120" t="n">
        <v>115</v>
      </c>
      <c r="J30" s="120" t="n">
        <v>115</v>
      </c>
    </row>
    <row r="31" customFormat="false" ht="14.25" hidden="false" customHeight="false" outlineLevel="0" collapsed="false">
      <c r="B31" s="121"/>
      <c r="C31" s="121"/>
      <c r="D31" s="121"/>
      <c r="E31" s="121"/>
      <c r="F31" s="121"/>
      <c r="G31" s="121"/>
      <c r="H31" s="121"/>
      <c r="I31" s="121"/>
      <c r="J31" s="121"/>
    </row>
    <row r="32" customFormat="false" ht="14.25" hidden="false" customHeight="false" outlineLevel="0" collapsed="false">
      <c r="A32" s="122" t="s">
        <v>174</v>
      </c>
      <c r="B32" s="123" t="n">
        <f aca="false">CFS!B12/IS!B14</f>
        <v>0.0216118988455977</v>
      </c>
      <c r="C32" s="123" t="n">
        <f aca="false">CFS!C12/IS!C14</f>
        <v>0.0229200056805502</v>
      </c>
      <c r="D32" s="123" t="n">
        <f aca="false">CFS!D12/IS!D14</f>
        <v>0.0282635636667232</v>
      </c>
      <c r="E32" s="123" t="n">
        <f aca="false">CFS!E12/IS!E14</f>
        <v>0.0298899075530323</v>
      </c>
      <c r="F32" s="123" t="n">
        <f aca="false">CFS!F12/IS!F14</f>
        <v>0.0309087108114408</v>
      </c>
      <c r="G32" s="124" t="n">
        <v>0.031</v>
      </c>
      <c r="H32" s="124" t="n">
        <v>0.031</v>
      </c>
      <c r="I32" s="124" t="n">
        <v>0.031</v>
      </c>
      <c r="J32" s="124" t="n">
        <v>0.031</v>
      </c>
    </row>
    <row r="33" customFormat="false" ht="14.25" hidden="false" customHeight="false" outlineLevel="0" collapsed="false">
      <c r="A33" s="122" t="s">
        <v>175</v>
      </c>
      <c r="B33" s="123" t="n">
        <f aca="false">BS!C22/IS!B14</f>
        <v>0.12982720868631</v>
      </c>
      <c r="C33" s="123" t="n">
        <f aca="false">BS!D22/IS!C14</f>
        <v>0.154300480817999</v>
      </c>
      <c r="D33" s="123" t="n">
        <f aca="false">BS!E22/IS!D14</f>
        <v>0.153486309143327</v>
      </c>
      <c r="E33" s="123" t="n">
        <f aca="false">BS!F22/IS!E14</f>
        <v>0.200248059636605</v>
      </c>
      <c r="F33" s="123" t="n">
        <f aca="false">BS!G22/IS!F14</f>
        <v>0.159522396380247</v>
      </c>
      <c r="G33" s="124" t="n">
        <v>0.17</v>
      </c>
      <c r="H33" s="124" t="n">
        <v>0.17</v>
      </c>
      <c r="I33" s="124" t="n">
        <v>0.17</v>
      </c>
      <c r="J33" s="124" t="n">
        <v>0.17</v>
      </c>
    </row>
    <row r="34" customFormat="false" ht="14.25" hidden="false" customHeight="false" outlineLevel="0" collapsed="false">
      <c r="A34" s="122" t="s">
        <v>176</v>
      </c>
      <c r="B34" s="123" t="n">
        <f aca="false">BS!C23/IS!B13</f>
        <v>0.111245889660212</v>
      </c>
      <c r="C34" s="123" t="n">
        <f aca="false">BS!D23/IS!C13</f>
        <v>0.101268415057149</v>
      </c>
      <c r="D34" s="123" t="n">
        <f aca="false">BS!E23/IS!D13</f>
        <v>0.094612676056338</v>
      </c>
      <c r="E34" s="123" t="n">
        <f aca="false">BS!F23/IS!E13</f>
        <v>0.0857760816895257</v>
      </c>
      <c r="F34" s="123" t="n">
        <f aca="false">BS!G23/IS!F13</f>
        <v>0.082953150479122</v>
      </c>
      <c r="G34" s="125" t="n">
        <v>0.078</v>
      </c>
      <c r="H34" s="125" t="n">
        <v>0.078</v>
      </c>
      <c r="I34" s="125" t="n">
        <v>0.078</v>
      </c>
      <c r="J34" s="125" t="n">
        <v>0.078</v>
      </c>
    </row>
    <row r="35" customFormat="false" ht="14.25" hidden="false" customHeight="false" outlineLevel="0" collapsed="false">
      <c r="A35" s="122" t="s">
        <v>177</v>
      </c>
      <c r="B35" s="123" t="n">
        <f aca="false">BS!C9/IS!B21</f>
        <v>0.118451880684192</v>
      </c>
      <c r="C35" s="123" t="n">
        <f aca="false">BS!D9/IS!C21</f>
        <v>0.146493339178514</v>
      </c>
      <c r="D35" s="123" t="n">
        <f aca="false">BS!E9/IS!D21</f>
        <v>0.146994680975264</v>
      </c>
      <c r="E35" s="123" t="n">
        <f aca="false">BS!F9/IS!E21</f>
        <v>0.156085989199057</v>
      </c>
      <c r="F35" s="123" t="n">
        <f aca="false">BS!G9/IS!F21</f>
        <v>0.150162925416365</v>
      </c>
      <c r="G35" s="125" t="n">
        <v>0.135</v>
      </c>
      <c r="H35" s="125" t="n">
        <v>0.135</v>
      </c>
      <c r="I35" s="125" t="n">
        <v>0.135</v>
      </c>
      <c r="J35" s="125" t="n">
        <v>0.135</v>
      </c>
    </row>
    <row r="36" customFormat="false" ht="18" hidden="false" customHeight="true" outlineLevel="0" collapsed="false">
      <c r="A36" s="109" t="s">
        <v>178</v>
      </c>
      <c r="B36" s="109"/>
      <c r="C36" s="109"/>
      <c r="D36" s="109"/>
      <c r="E36" s="109"/>
      <c r="F36" s="109"/>
      <c r="G36" s="109"/>
      <c r="H36" s="109"/>
      <c r="I36" s="109"/>
      <c r="J36" s="109"/>
    </row>
    <row r="37" customFormat="false" ht="18" hidden="false" customHeight="true" outlineLevel="0" collapsed="false">
      <c r="A37" s="115" t="s">
        <v>179</v>
      </c>
      <c r="B37" s="126" t="n">
        <f aca="false">-CFS!B19/IS!B14</f>
        <v>0.0303020362640337</v>
      </c>
      <c r="C37" s="126" t="n">
        <f aca="false">-CFS!C19/IS!C14</f>
        <v>0.0271550587328316</v>
      </c>
      <c r="D37" s="126" t="n">
        <f aca="false">-CFS!D19/IS!D14</f>
        <v>0.0285923007683578</v>
      </c>
      <c r="E37" s="126" t="n">
        <f aca="false">-CFS!E19/IS!E14</f>
        <v>0.0241589627526948</v>
      </c>
      <c r="F37" s="126" t="n">
        <f aca="false">-CFS!F19/IS!F14</f>
        <v>0.0305530792169377</v>
      </c>
      <c r="G37" s="124" t="n">
        <f aca="false">CHOOSE(MATCH(Scenario,{"Bear","Base","Bull"},0),$B$76,$C$76,$D$76)</f>
        <v>0.028</v>
      </c>
      <c r="H37" s="124" t="n">
        <f aca="false">CHOOSE(MATCH(Scenario,{"Bear","Base","Bull"},0),$B$76,$C$76,$D$76)</f>
        <v>0.028</v>
      </c>
      <c r="I37" s="124" t="n">
        <f aca="false">CHOOSE(MATCH(Scenario,{"Bear","Base","Bull"},0),$B$76,$C$76,$D$76)</f>
        <v>0.028</v>
      </c>
      <c r="J37" s="124" t="n">
        <f aca="false">CHOOSE(MATCH(Scenario,{"Bear","Base","Bull"},0),$B$76,$C$76,$D$76)</f>
        <v>0.028</v>
      </c>
    </row>
    <row r="38" customFormat="false" ht="18" hidden="false" customHeight="true" outlineLevel="0" collapsed="false">
      <c r="A38" s="115" t="s">
        <v>180</v>
      </c>
      <c r="B38" s="117" t="n">
        <f aca="false">CFS!B10</f>
        <v>11284</v>
      </c>
      <c r="C38" s="117" t="n">
        <f aca="false">CFS!C10</f>
        <v>11104</v>
      </c>
      <c r="D38" s="117" t="n">
        <f aca="false">CFS!D10</f>
        <v>11519</v>
      </c>
      <c r="E38" s="117" t="n">
        <f aca="false">CFS!E10</f>
        <v>11445</v>
      </c>
      <c r="F38" s="117" t="n">
        <f aca="false">CFS!F10</f>
        <v>11698</v>
      </c>
      <c r="G38" s="118" t="n">
        <f aca="false">CHOOSE(MATCH(Scenario,{"Bear","Base","Bull"},0),$B$84,$C$84,$D$84)*IS!H14</f>
        <v>12232.353</v>
      </c>
      <c r="H38" s="118" t="n">
        <f aca="false">CHOOSE(MATCH(Scenario,{"Bear","Base","Bull"},0),$B$84,$C$84,$D$84)*IS!I14</f>
        <v>12854.2497426</v>
      </c>
      <c r="I38" s="118" t="n">
        <f aca="false">CHOOSE(MATCH(Scenario,{"Bear","Base","Bull"},0),$B$84,$C$84,$D$84)*IS!J14</f>
        <v>13522.027116465</v>
      </c>
      <c r="J38" s="118" t="n">
        <f aca="false">CHOOSE(MATCH(Scenario,{"Bear","Base","Bull"},0),$B$84,$C$84,$D$84)*IS!K14</f>
        <v>14239.8964582343</v>
      </c>
    </row>
    <row r="40" customFormat="false" ht="18" hidden="false" customHeight="true" outlineLevel="0" collapsed="false">
      <c r="A40" s="109" t="s">
        <v>181</v>
      </c>
      <c r="B40" s="109"/>
      <c r="C40" s="109"/>
      <c r="D40" s="109"/>
      <c r="E40" s="109"/>
      <c r="F40" s="109"/>
      <c r="G40" s="109"/>
      <c r="H40" s="109"/>
      <c r="I40" s="109"/>
      <c r="J40" s="109"/>
    </row>
    <row r="41" customFormat="false" ht="18" hidden="false" customHeight="true" outlineLevel="0" collapsed="false">
      <c r="A41" s="115" t="s">
        <v>182</v>
      </c>
      <c r="B41" s="111" t="n">
        <f aca="false">(-CFS!B24-CFS!B25)/CFS!B21</f>
        <v>1.08052456617861</v>
      </c>
      <c r="C41" s="111" t="n">
        <f aca="false">(-CFS!C24-CFS!C25)/CFS!C21</f>
        <v>0.935392981165259</v>
      </c>
      <c r="D41" s="111" t="n">
        <f aca="false">(-CFS!D24-CFS!D25)/CFS!D21</f>
        <v>0.929617207583548</v>
      </c>
      <c r="E41" s="111" t="n">
        <f aca="false">(-CFS!E24-CFS!E25)/CFS!E21</f>
        <v>1.01264624518643</v>
      </c>
      <c r="F41" s="111" t="n">
        <f aca="false">(-CFS!F24-CFS!F25)/CFS!F21</f>
        <v>1.07456944121012</v>
      </c>
      <c r="G41" s="127" t="n">
        <f aca="false">CHOOSE(MATCH(Scenario,{"Bear","Base","Bull"},0),$B$81,$C$81,$D$81)</f>
        <v>0.95</v>
      </c>
      <c r="H41" s="127" t="n">
        <f aca="false">CHOOSE(MATCH(Scenario,{"Bear","Base","Bull"},0),$B$81,$C$81,$D$81)</f>
        <v>0.95</v>
      </c>
      <c r="I41" s="127" t="n">
        <f aca="false">CHOOSE(MATCH(Scenario,{"Bear","Base","Bull"},0),$B$81,$C$81,$D$81)</f>
        <v>0.95</v>
      </c>
      <c r="J41" s="127" t="n">
        <f aca="false">CHOOSE(MATCH(Scenario,{"Bear","Base","Bull"},0),$B$81,$C$81,$D$81)</f>
        <v>0.95</v>
      </c>
      <c r="N41" s="0" t="s">
        <v>183</v>
      </c>
    </row>
    <row r="42" customFormat="false" ht="18" hidden="false" customHeight="true" outlineLevel="0" collapsed="false">
      <c r="A42" s="115" t="s">
        <v>184</v>
      </c>
      <c r="B42" s="111" t="n">
        <f aca="false">-CFS!B24/(-CFS!B24-CFS!B25)</f>
        <v>0.144039108703877</v>
      </c>
      <c r="C42" s="111" t="n">
        <f aca="false">-CFS!C24/(-CFS!C24-CFS!C25)</f>
        <v>0.142369271797627</v>
      </c>
      <c r="D42" s="111" t="n">
        <f aca="false">-CFS!D24/(-CFS!D24-CFS!D25)</f>
        <v>0.16230083715906</v>
      </c>
      <c r="E42" s="111" t="n">
        <f aca="false">-CFS!E24/(-CFS!E24-CFS!E25)</f>
        <v>0.138260893241244</v>
      </c>
      <c r="F42" s="111" t="n">
        <f aca="false">-CFS!F24/(-CFS!F24-CFS!F25)</f>
        <v>0.14530019221347</v>
      </c>
      <c r="G42" s="127" t="n">
        <f aca="false">CHOOSE(MATCH(Scenario,{"Bear","Base","Bull"},0),$B$82,$C$82,$D$82)</f>
        <v>0.15</v>
      </c>
      <c r="H42" s="127" t="n">
        <f aca="false">CHOOSE(MATCH(Scenario,{"Bear","Base","Bull"},0),$B$82,$C$82,$D$82)</f>
        <v>0.15</v>
      </c>
      <c r="I42" s="127" t="n">
        <f aca="false">CHOOSE(MATCH(Scenario,{"Bear","Base","Bull"},0),$B$82,$C$82,$D$82)</f>
        <v>0.15</v>
      </c>
      <c r="J42" s="127" t="n">
        <f aca="false">CHOOSE(MATCH(Scenario,{"Bear","Base","Bull"},0),$B$82,$C$82,$D$82)</f>
        <v>0.15</v>
      </c>
    </row>
    <row r="44" customFormat="false" ht="18" hidden="false" customHeight="true" outlineLevel="0" collapsed="false">
      <c r="A44" s="109" t="s">
        <v>185</v>
      </c>
      <c r="B44" s="109"/>
      <c r="C44" s="109"/>
      <c r="D44" s="109"/>
    </row>
    <row r="45" customFormat="false" ht="18" hidden="false" customHeight="true" outlineLevel="0" collapsed="false">
      <c r="A45" s="115" t="s">
        <v>186</v>
      </c>
      <c r="B45" s="128" t="n">
        <f aca="false">CHOOSE(MATCH(Scenario,{"Bear","Base","Bull"},0),$B$79,$C$79,$D$79)</f>
        <v>0.045</v>
      </c>
    </row>
    <row r="46" customFormat="false" ht="18" hidden="false" customHeight="true" outlineLevel="0" collapsed="false">
      <c r="A46" s="115" t="s">
        <v>187</v>
      </c>
      <c r="B46" s="128" t="n">
        <f aca="false">CHOOSE(MATCH(Scenario,{"Bear","Base","Bull"},0),$B$80,$C$80,$D$80)</f>
        <v>0.05</v>
      </c>
    </row>
    <row r="47" customFormat="false" ht="18" hidden="false" customHeight="true" outlineLevel="0" collapsed="false">
      <c r="A47" s="115" t="s">
        <v>188</v>
      </c>
      <c r="B47" s="129" t="n">
        <f aca="false">CHOOSE(MATCH(Scenario,{"Bear","Base","Bull"},0),$B$77,$C$77,$D$77)</f>
        <v>1.1</v>
      </c>
    </row>
    <row r="48" customFormat="false" ht="18" hidden="false" customHeight="true" outlineLevel="0" collapsed="false">
      <c r="A48" s="115" t="s">
        <v>189</v>
      </c>
      <c r="B48" s="130" t="n">
        <f aca="false">B45+B47*B46</f>
        <v>0.1</v>
      </c>
    </row>
    <row r="49" customFormat="false" ht="18" hidden="false" customHeight="true" outlineLevel="0" collapsed="false">
      <c r="A49" s="115" t="s">
        <v>190</v>
      </c>
      <c r="B49" s="131" t="n">
        <v>0.04</v>
      </c>
    </row>
    <row r="50" customFormat="false" ht="18" hidden="false" customHeight="true" outlineLevel="0" collapsed="false">
      <c r="A50" s="115" t="s">
        <v>191</v>
      </c>
      <c r="B50" s="128" t="n">
        <f aca="false">G25</f>
        <v>0.15</v>
      </c>
    </row>
    <row r="51" customFormat="false" ht="18" hidden="false" customHeight="true" outlineLevel="0" collapsed="false">
      <c r="A51" s="115" t="s">
        <v>192</v>
      </c>
      <c r="B51" s="130" t="n">
        <f aca="false">B49*(1-B50)</f>
        <v>0.034</v>
      </c>
    </row>
    <row r="52" customFormat="false" ht="18" hidden="false" customHeight="true" outlineLevel="0" collapsed="false">
      <c r="A52" s="115" t="s">
        <v>193</v>
      </c>
      <c r="B52" s="132" t="n">
        <v>0.1</v>
      </c>
    </row>
    <row r="53" customFormat="false" ht="18" hidden="false" customHeight="true" outlineLevel="0" collapsed="false">
      <c r="A53" s="115" t="s">
        <v>194</v>
      </c>
      <c r="B53" s="133" t="n">
        <f aca="false">1-B52</f>
        <v>0.9</v>
      </c>
    </row>
    <row r="54" customFormat="false" ht="18" hidden="false" customHeight="true" outlineLevel="0" collapsed="false">
      <c r="A54" s="115" t="s">
        <v>195</v>
      </c>
      <c r="B54" s="130" t="n">
        <f aca="false">B48*B53+B51*B52</f>
        <v>0.0934</v>
      </c>
    </row>
    <row r="55" customFormat="false" ht="18" hidden="false" customHeight="true" outlineLevel="0" collapsed="false">
      <c r="A55" s="115" t="s">
        <v>196</v>
      </c>
      <c r="B55" s="128" t="n">
        <f aca="false">CHOOSE(MATCH(Scenario,{"Bear","Base","Bull"},0),$B$78,$C$78,$D$78)</f>
        <v>0.025</v>
      </c>
    </row>
    <row r="57" customFormat="false" ht="18" hidden="false" customHeight="true" outlineLevel="0" collapsed="false">
      <c r="A57" s="109" t="s">
        <v>197</v>
      </c>
      <c r="B57" s="109"/>
      <c r="C57" s="109"/>
      <c r="D57" s="109"/>
    </row>
    <row r="58" customFormat="false" ht="15" hidden="false" customHeight="true" outlineLevel="0" collapsed="false">
      <c r="A58" s="115" t="s">
        <v>198</v>
      </c>
      <c r="B58" s="134" t="n">
        <v>15004.7</v>
      </c>
    </row>
    <row r="59" customFormat="false" ht="15" hidden="false" customHeight="true" outlineLevel="0" collapsed="false">
      <c r="A59" s="115" t="s">
        <v>199</v>
      </c>
      <c r="B59" s="135" t="n">
        <v>338.4</v>
      </c>
      <c r="C59" s="0" t="s">
        <v>200</v>
      </c>
    </row>
    <row r="60" customFormat="false" ht="14.25" hidden="false" customHeight="false" outlineLevel="0" collapsed="false">
      <c r="A60" s="0" t="s">
        <v>201</v>
      </c>
      <c r="B60" s="136" t="n">
        <f aca="false">DATE(2026,9,28)</f>
        <v>46293</v>
      </c>
      <c r="C60" s="0" t="s">
        <v>202</v>
      </c>
    </row>
    <row r="61" customFormat="false" ht="14.25" hidden="false" customHeight="false" outlineLevel="0" collapsed="false">
      <c r="A61" s="137" t="s">
        <v>203</v>
      </c>
      <c r="B61" s="138"/>
      <c r="C61" s="138"/>
      <c r="D61" s="138"/>
      <c r="E61" s="138"/>
      <c r="F61" s="138"/>
      <c r="G61" s="138"/>
      <c r="H61" s="138"/>
      <c r="I61" s="138"/>
      <c r="J61" s="138"/>
    </row>
    <row r="62" customFormat="false" ht="15" hidden="false" customHeight="false" outlineLevel="0" collapsed="false">
      <c r="A62" s="139" t="s">
        <v>204</v>
      </c>
      <c r="B62" s="140" t="s">
        <v>205</v>
      </c>
      <c r="C62" s="141" t="s">
        <v>206</v>
      </c>
    </row>
    <row r="64" customFormat="false" ht="14.25" hidden="false" customHeight="false" outlineLevel="0" collapsed="false">
      <c r="A64" s="142" t="s">
        <v>207</v>
      </c>
      <c r="B64" s="143" t="s">
        <v>208</v>
      </c>
      <c r="C64" s="144" t="s">
        <v>205</v>
      </c>
      <c r="D64" s="145" t="s">
        <v>209</v>
      </c>
      <c r="E64" s="142" t="s">
        <v>210</v>
      </c>
      <c r="F64" s="142" t="s">
        <v>211</v>
      </c>
    </row>
    <row r="65" customFormat="false" ht="14.25" hidden="false" customHeight="false" outlineLevel="0" collapsed="false">
      <c r="A65" s="146" t="s">
        <v>212</v>
      </c>
      <c r="B65" s="147" t="n">
        <f aca="false">(IS!$F$9*(1+B66)+IS!$F$10*(1+B67)+IS!$F$11*(1+B68)+IS!$F$12*(1+B69))/IS!$F$8-1</f>
        <v>-0.00427924157092929</v>
      </c>
      <c r="C65" s="148" t="n">
        <f aca="false">(IS!$F$9*(1+C66)+IS!$F$10*(1+C67)+IS!$F$11*(1+C68)+IS!$F$12*(1+C69))/IS!$F$8-1</f>
        <v>0.03012074800572</v>
      </c>
      <c r="D65" s="149" t="n">
        <f aca="false">(IS!$F$9*(1+D66)+IS!$F$10*(1+D67)+IS!$F$11*(1+D68)+IS!$F$12*(1+D69))/IS!$F$8-1</f>
        <v>0.061283147070224</v>
      </c>
      <c r="E65" s="150" t="s">
        <v>213</v>
      </c>
      <c r="F65" s="141" t="s">
        <v>214</v>
      </c>
    </row>
    <row r="66" customFormat="false" ht="14.25" hidden="false" customHeight="false" outlineLevel="0" collapsed="false">
      <c r="A66" s="151" t="s">
        <v>215</v>
      </c>
      <c r="B66" s="152" t="n">
        <v>0</v>
      </c>
      <c r="C66" s="153" t="n">
        <v>0.03</v>
      </c>
      <c r="D66" s="154" t="n">
        <v>0.06</v>
      </c>
      <c r="E66" s="150" t="s">
        <v>213</v>
      </c>
      <c r="F66" s="141"/>
    </row>
    <row r="67" customFormat="false" ht="14.25" hidden="false" customHeight="false" outlineLevel="0" collapsed="false">
      <c r="A67" s="151" t="s">
        <v>216</v>
      </c>
      <c r="B67" s="152" t="n">
        <v>0.02</v>
      </c>
      <c r="C67" s="153" t="n">
        <v>0.05</v>
      </c>
      <c r="D67" s="154" t="n">
        <v>0.08</v>
      </c>
      <c r="E67" s="150" t="s">
        <v>213</v>
      </c>
      <c r="F67" s="141"/>
    </row>
    <row r="68" customFormat="false" ht="14.25" hidden="false" customHeight="false" outlineLevel="0" collapsed="false">
      <c r="A68" s="151" t="s">
        <v>217</v>
      </c>
      <c r="B68" s="152" t="n">
        <v>-0.02</v>
      </c>
      <c r="C68" s="153" t="n">
        <v>0.02</v>
      </c>
      <c r="D68" s="154" t="n">
        <v>0.05</v>
      </c>
      <c r="E68" s="150" t="s">
        <v>213</v>
      </c>
      <c r="F68" s="141"/>
    </row>
    <row r="69" customFormat="false" ht="14.25" hidden="false" customHeight="false" outlineLevel="0" collapsed="false">
      <c r="A69" s="151" t="s">
        <v>218</v>
      </c>
      <c r="B69" s="152" t="n">
        <v>-0.04</v>
      </c>
      <c r="C69" s="153" t="n">
        <v>0.02</v>
      </c>
      <c r="D69" s="154" t="n">
        <v>0.06</v>
      </c>
      <c r="E69" s="150" t="s">
        <v>213</v>
      </c>
      <c r="F69" s="141"/>
    </row>
    <row r="70" customFormat="false" ht="14.25" hidden="false" customHeight="false" outlineLevel="0" collapsed="false">
      <c r="A70" s="151" t="s">
        <v>219</v>
      </c>
      <c r="B70" s="155" t="n">
        <v>0.06</v>
      </c>
      <c r="C70" s="156" t="n">
        <v>0.105</v>
      </c>
      <c r="D70" s="157" t="n">
        <v>0.14</v>
      </c>
      <c r="E70" s="150" t="s">
        <v>213</v>
      </c>
      <c r="F70" s="141" t="s">
        <v>220</v>
      </c>
    </row>
    <row r="71" customFormat="false" ht="14.25" hidden="false" customHeight="false" outlineLevel="0" collapsed="false">
      <c r="A71" s="151" t="s">
        <v>221</v>
      </c>
      <c r="B71" s="155" t="n">
        <v>0.36</v>
      </c>
      <c r="C71" s="156" t="n">
        <v>0.37</v>
      </c>
      <c r="D71" s="157" t="n">
        <v>0.405</v>
      </c>
      <c r="E71" s="150" t="s">
        <v>213</v>
      </c>
      <c r="F71" s="141" t="s">
        <v>222</v>
      </c>
    </row>
    <row r="72" customFormat="false" ht="14.25" hidden="false" customHeight="false" outlineLevel="0" collapsed="false">
      <c r="A72" s="151" t="s">
        <v>223</v>
      </c>
      <c r="B72" s="155" t="n">
        <v>0.74</v>
      </c>
      <c r="C72" s="156" t="n">
        <v>0.76</v>
      </c>
      <c r="D72" s="157" t="n">
        <v>0.78</v>
      </c>
      <c r="E72" s="150" t="s">
        <v>213</v>
      </c>
      <c r="F72" s="141" t="s">
        <v>224</v>
      </c>
    </row>
    <row r="73" customFormat="false" ht="14.25" hidden="false" customHeight="false" outlineLevel="0" collapsed="false">
      <c r="A73" s="151" t="s">
        <v>225</v>
      </c>
      <c r="B73" s="155" t="n">
        <v>0.1</v>
      </c>
      <c r="C73" s="156" t="n">
        <v>0.075</v>
      </c>
      <c r="D73" s="157" t="n">
        <v>0.05</v>
      </c>
      <c r="E73" s="150" t="s">
        <v>213</v>
      </c>
      <c r="F73" s="141" t="s">
        <v>226</v>
      </c>
    </row>
    <row r="74" customFormat="false" ht="14.25" hidden="false" customHeight="false" outlineLevel="0" collapsed="false">
      <c r="A74" s="151" t="s">
        <v>227</v>
      </c>
      <c r="B74" s="155" t="n">
        <v>0.07</v>
      </c>
      <c r="C74" s="156" t="n">
        <v>0.045</v>
      </c>
      <c r="D74" s="157" t="n">
        <v>0.03</v>
      </c>
      <c r="E74" s="150" t="s">
        <v>213</v>
      </c>
      <c r="F74" s="141" t="s">
        <v>228</v>
      </c>
    </row>
    <row r="75" customFormat="false" ht="14.25" hidden="false" customHeight="false" outlineLevel="0" collapsed="false">
      <c r="A75" s="151" t="s">
        <v>169</v>
      </c>
      <c r="B75" s="155" t="n">
        <v>0.18</v>
      </c>
      <c r="C75" s="156" t="n">
        <v>0.15</v>
      </c>
      <c r="D75" s="157" t="n">
        <v>0.13</v>
      </c>
      <c r="E75" s="150" t="s">
        <v>213</v>
      </c>
      <c r="F75" s="141" t="s">
        <v>229</v>
      </c>
    </row>
    <row r="76" customFormat="false" ht="14.25" hidden="false" customHeight="false" outlineLevel="0" collapsed="false">
      <c r="A76" s="151" t="s">
        <v>230</v>
      </c>
      <c r="B76" s="155" t="n">
        <v>0.035</v>
      </c>
      <c r="C76" s="156" t="n">
        <v>0.028</v>
      </c>
      <c r="D76" s="157" t="n">
        <v>0.022</v>
      </c>
      <c r="E76" s="150" t="s">
        <v>213</v>
      </c>
      <c r="F76" s="141" t="s">
        <v>231</v>
      </c>
    </row>
    <row r="77" customFormat="false" ht="14.25" hidden="false" customHeight="false" outlineLevel="0" collapsed="false">
      <c r="A77" s="151" t="s">
        <v>232</v>
      </c>
      <c r="B77" s="158" t="n">
        <v>1.25</v>
      </c>
      <c r="C77" s="159" t="n">
        <v>1.1</v>
      </c>
      <c r="D77" s="160" t="n">
        <v>0.95</v>
      </c>
      <c r="E77" s="150" t="s">
        <v>233</v>
      </c>
      <c r="F77" s="141" t="s">
        <v>234</v>
      </c>
    </row>
    <row r="78" customFormat="false" ht="14.25" hidden="false" customHeight="false" outlineLevel="0" collapsed="false">
      <c r="A78" s="151" t="s">
        <v>196</v>
      </c>
      <c r="B78" s="155" t="n">
        <v>0.02</v>
      </c>
      <c r="C78" s="156" t="n">
        <v>0.025</v>
      </c>
      <c r="D78" s="157" t="n">
        <v>0.03</v>
      </c>
      <c r="E78" s="150" t="s">
        <v>213</v>
      </c>
      <c r="F78" s="141" t="s">
        <v>235</v>
      </c>
    </row>
    <row r="79" customFormat="false" ht="14.25" hidden="false" customHeight="false" outlineLevel="0" collapsed="false">
      <c r="A79" s="151" t="s">
        <v>186</v>
      </c>
      <c r="B79" s="155" t="n">
        <v>0.05</v>
      </c>
      <c r="C79" s="156" t="n">
        <v>0.045</v>
      </c>
      <c r="D79" s="157" t="n">
        <v>0.04</v>
      </c>
      <c r="E79" s="150" t="s">
        <v>213</v>
      </c>
      <c r="F79" s="141" t="s">
        <v>236</v>
      </c>
    </row>
    <row r="80" customFormat="false" ht="14.25" hidden="false" customHeight="false" outlineLevel="0" collapsed="false">
      <c r="A80" s="151" t="s">
        <v>187</v>
      </c>
      <c r="B80" s="155" t="n">
        <v>0.055</v>
      </c>
      <c r="C80" s="156" t="n">
        <v>0.05</v>
      </c>
      <c r="D80" s="157" t="n">
        <v>0.045</v>
      </c>
      <c r="E80" s="150" t="s">
        <v>213</v>
      </c>
      <c r="F80" s="141" t="s">
        <v>237</v>
      </c>
    </row>
    <row r="81" customFormat="false" ht="14.25" hidden="false" customHeight="false" outlineLevel="0" collapsed="false">
      <c r="A81" s="151" t="s">
        <v>182</v>
      </c>
      <c r="B81" s="155" t="n">
        <v>0.85</v>
      </c>
      <c r="C81" s="156" t="n">
        <v>0.95</v>
      </c>
      <c r="D81" s="157" t="n">
        <v>1.05</v>
      </c>
      <c r="E81" s="150" t="s">
        <v>213</v>
      </c>
    </row>
    <row r="82" customFormat="false" ht="14.25" hidden="false" customHeight="false" outlineLevel="0" collapsed="false">
      <c r="A82" s="151" t="s">
        <v>184</v>
      </c>
      <c r="B82" s="155" t="n">
        <v>0.18</v>
      </c>
      <c r="C82" s="156" t="n">
        <v>0.15</v>
      </c>
      <c r="D82" s="157" t="n">
        <v>0.12</v>
      </c>
      <c r="E82" s="150" t="s">
        <v>213</v>
      </c>
    </row>
    <row r="83" customFormat="false" ht="14.25" hidden="false" customHeight="false" outlineLevel="0" collapsed="false">
      <c r="A83" s="151" t="s">
        <v>238</v>
      </c>
      <c r="B83" s="161" t="n">
        <v>-500</v>
      </c>
      <c r="C83" s="162" t="n">
        <v>0</v>
      </c>
      <c r="D83" s="163" t="n">
        <v>500</v>
      </c>
      <c r="E83" s="150" t="s">
        <v>85</v>
      </c>
    </row>
    <row r="84" customFormat="false" ht="14.25" hidden="false" customHeight="false" outlineLevel="0" collapsed="false">
      <c r="A84" s="151" t="s">
        <v>239</v>
      </c>
      <c r="B84" s="155" t="n">
        <v>0.032</v>
      </c>
      <c r="C84" s="156" t="n">
        <v>0.028</v>
      </c>
      <c r="D84" s="157" t="n">
        <v>0.025</v>
      </c>
      <c r="E84" s="150" t="s">
        <v>213</v>
      </c>
    </row>
    <row r="86" customFormat="false" ht="14.25" hidden="false" customHeight="false" outlineLevel="0" collapsed="false">
      <c r="A86" s="164" t="s">
        <v>240</v>
      </c>
    </row>
    <row r="87" customFormat="false" ht="14.25" hidden="false" customHeight="false" outlineLevel="0" collapsed="false">
      <c r="A87" s="165" t="s">
        <v>207</v>
      </c>
      <c r="B87" s="166" t="s">
        <v>241</v>
      </c>
      <c r="C87" s="166" t="s">
        <v>242</v>
      </c>
      <c r="D87" s="166" t="s">
        <v>243</v>
      </c>
      <c r="E87" s="166" t="s">
        <v>244</v>
      </c>
      <c r="F87" s="166" t="s">
        <v>245</v>
      </c>
      <c r="G87" s="166" t="s">
        <v>246</v>
      </c>
      <c r="H87" s="166" t="s">
        <v>247</v>
      </c>
      <c r="I87" s="166" t="s">
        <v>248</v>
      </c>
      <c r="J87" s="166" t="s">
        <v>249</v>
      </c>
      <c r="K87" s="166" t="s">
        <v>250</v>
      </c>
      <c r="L87" s="166" t="s">
        <v>251</v>
      </c>
      <c r="M87" s="166" t="s">
        <v>252</v>
      </c>
      <c r="N87" s="0" t="s">
        <v>253</v>
      </c>
    </row>
    <row r="88" customFormat="false" ht="14.25" hidden="false" customHeight="false" outlineLevel="0" collapsed="false">
      <c r="A88" s="0" t="s">
        <v>254</v>
      </c>
      <c r="B88" s="167" t="n">
        <v>0</v>
      </c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0" t="s">
        <v>255</v>
      </c>
    </row>
    <row r="89" customFormat="false" ht="14.25" hidden="false" customHeight="false" outlineLevel="0" collapsed="false">
      <c r="A89" s="0" t="s">
        <v>256</v>
      </c>
      <c r="B89" s="169" t="n">
        <f aca="false">AVERAGE(BS!F10/IS!E14,BS!G10/IS!F14)</f>
        <v>0.0357914519481803</v>
      </c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0" t="s">
        <v>257</v>
      </c>
    </row>
    <row r="90" customFormat="false" ht="14.25" hidden="false" customHeight="false" outlineLevel="0" collapsed="false">
      <c r="A90" s="0" t="s">
        <v>258</v>
      </c>
      <c r="B90" s="169" t="n">
        <f aca="false">AVERAGE(BS!F16/IS!E14,BS!G16/IS!F14)</f>
        <v>0.196281568296363</v>
      </c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0" t="s">
        <v>257</v>
      </c>
    </row>
    <row r="91" customFormat="false" ht="14.25" hidden="false" customHeight="false" outlineLevel="0" collapsed="false">
      <c r="A91" s="0" t="s">
        <v>259</v>
      </c>
      <c r="B91" s="167" t="n">
        <v>0</v>
      </c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0" t="s">
        <v>260</v>
      </c>
    </row>
    <row r="92" customFormat="false" ht="14.25" hidden="false" customHeight="false" outlineLevel="0" collapsed="false">
      <c r="A92" s="0" t="s">
        <v>261</v>
      </c>
      <c r="B92" s="168" t="n">
        <v>2500</v>
      </c>
      <c r="C92" s="168" t="n">
        <v>2000</v>
      </c>
      <c r="D92" s="168" t="n">
        <v>1500</v>
      </c>
      <c r="E92" s="168" t="n">
        <v>500</v>
      </c>
      <c r="F92" s="168" t="n">
        <v>0</v>
      </c>
      <c r="G92" s="168" t="n">
        <v>0</v>
      </c>
      <c r="H92" s="168" t="n">
        <v>500</v>
      </c>
      <c r="I92" s="168" t="n">
        <v>0</v>
      </c>
      <c r="J92" s="168" t="n">
        <v>0</v>
      </c>
      <c r="K92" s="168" t="n">
        <v>500</v>
      </c>
      <c r="L92" s="168" t="n">
        <v>0</v>
      </c>
      <c r="M92" s="168" t="n">
        <v>0</v>
      </c>
      <c r="N92" s="0" t="s">
        <v>262</v>
      </c>
    </row>
    <row r="93" customFormat="false" ht="14.25" hidden="false" customHeight="false" outlineLevel="0" collapsed="false">
      <c r="A93" s="0" t="s">
        <v>263</v>
      </c>
      <c r="B93" s="168" t="n">
        <v>70000</v>
      </c>
      <c r="C93" s="168" t="n">
        <v>65000</v>
      </c>
      <c r="D93" s="168" t="n">
        <v>60000</v>
      </c>
      <c r="E93" s="168" t="n">
        <v>60000</v>
      </c>
      <c r="F93" s="168" t="n">
        <v>55000</v>
      </c>
      <c r="G93" s="168" t="n">
        <v>50000</v>
      </c>
      <c r="H93" s="168" t="n">
        <v>50000</v>
      </c>
      <c r="I93" s="168" t="n">
        <v>45000</v>
      </c>
      <c r="J93" s="168" t="n">
        <v>40000</v>
      </c>
      <c r="K93" s="168" t="n">
        <v>50000</v>
      </c>
      <c r="L93" s="168" t="n">
        <v>45000</v>
      </c>
      <c r="M93" s="168" t="n">
        <v>40000</v>
      </c>
      <c r="N93" s="0" t="s">
        <v>264</v>
      </c>
    </row>
    <row r="94" customFormat="false" ht="14.25" hidden="false" customHeight="false" outlineLevel="0" collapsed="false">
      <c r="A94" s="0" t="s">
        <v>265</v>
      </c>
      <c r="B94" s="169" t="n">
        <f aca="false">AVERAGE(BS!F30/IS!E14,BS!G30/IS!F14)</f>
        <v>0.108594436824818</v>
      </c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0" t="s">
        <v>257</v>
      </c>
    </row>
    <row r="95" customFormat="false" ht="14.25" hidden="false" customHeight="false" outlineLevel="0" collapsed="false">
      <c r="A95" s="0" t="s">
        <v>266</v>
      </c>
      <c r="B95" s="170" t="n">
        <v>0</v>
      </c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0" t="s">
        <v>267</v>
      </c>
    </row>
    <row r="96" customFormat="false" ht="14.25" hidden="false" customHeight="false" outlineLevel="0" collapsed="false">
      <c r="A96" s="0" t="s">
        <v>268</v>
      </c>
      <c r="B96" s="171" t="n">
        <f aca="false">MIN(BS!C5:G5)</f>
        <v>23646</v>
      </c>
      <c r="N96" s="0" t="s">
        <v>269</v>
      </c>
    </row>
    <row r="97" customFormat="false" ht="14.25" hidden="false" customHeight="false" outlineLevel="0" collapsed="false">
      <c r="A97" s="0" t="s">
        <v>270</v>
      </c>
      <c r="B97" s="172" t="n">
        <v>22</v>
      </c>
      <c r="C97" s="172" t="n">
        <v>26</v>
      </c>
      <c r="D97" s="172" t="n">
        <v>30</v>
      </c>
      <c r="N97" s="0" t="s">
        <v>271</v>
      </c>
    </row>
    <row r="98" customFormat="false" ht="14.25" hidden="false" customHeight="false" outlineLevel="0" collapsed="false">
      <c r="A98" s="0" t="s">
        <v>272</v>
      </c>
      <c r="B98" s="172" t="n">
        <v>16</v>
      </c>
      <c r="C98" s="172" t="n">
        <v>19</v>
      </c>
      <c r="D98" s="172" t="n">
        <v>22</v>
      </c>
    </row>
  </sheetData>
  <mergeCells count="11">
    <mergeCell ref="A1:J1"/>
    <mergeCell ref="A2:J2"/>
    <mergeCell ref="A7:J7"/>
    <mergeCell ref="A15:J15"/>
    <mergeCell ref="A19:J19"/>
    <mergeCell ref="A23:J23"/>
    <mergeCell ref="A27:J27"/>
    <mergeCell ref="A36:J36"/>
    <mergeCell ref="A40:J40"/>
    <mergeCell ref="A44:D44"/>
    <mergeCell ref="A57:D57"/>
  </mergeCells>
  <conditionalFormatting sqref="B62">
    <cfRule type="expression" priority="2" aboveAverage="0" equalAverage="0" bottom="0" percent="0" rank="0" text="" dxfId="0">
      <formula>UPPER(B62)="BEAR"</formula>
    </cfRule>
    <cfRule type="expression" priority="3" aboveAverage="0" equalAverage="0" bottom="0" percent="0" rank="0" text="" dxfId="1">
      <formula>UPPER(B62)="BASE"</formula>
    </cfRule>
    <cfRule type="expression" priority="4" aboveAverage="0" equalAverage="0" bottom="0" percent="0" rank="0" text="" dxfId="2">
      <formula>UPPER(B62)="BULL"</formula>
    </cfRule>
  </conditionalFormatting>
  <dataValidations count="1">
    <dataValidation allowBlank="true" errorStyle="stop" operator="between" showDropDown="false" showErrorMessage="true" showInputMessage="true" sqref="B62" type="list">
      <formula1>"Bear,Base,Bull"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E3"/>
    <pageSetUpPr fitToPage="true"/>
  </sheetPr>
  <dimension ref="A1:M1048576"/>
  <sheetViews>
    <sheetView showFormulas="false" showGridLines="fals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D16" activeCellId="0" sqref="D16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10" min="2" style="0" width="13"/>
    <col collapsed="false" customWidth="true" hidden="false" outlineLevel="0" max="11" min="11" style="0" width="13.63"/>
  </cols>
  <sheetData>
    <row r="1" customFormat="false" ht="31.5" hidden="false" customHeight="true" outlineLevel="0" collapsed="false">
      <c r="A1" s="103" t="s">
        <v>273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</row>
    <row r="2" customFormat="false" ht="19.5" hidden="false" customHeight="true" outlineLevel="0" collapsed="false">
      <c r="A2" s="104" t="s">
        <v>274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</row>
    <row r="3" customFormat="false" ht="6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15" hidden="false" customHeight="true" outlineLevel="0" collapsed="false">
      <c r="A4" s="105" t="s">
        <v>138</v>
      </c>
      <c r="B4" s="106" t="s">
        <v>139</v>
      </c>
      <c r="C4" s="106" t="s">
        <v>140</v>
      </c>
      <c r="D4" s="106" t="s">
        <v>141</v>
      </c>
      <c r="E4" s="106" t="s">
        <v>142</v>
      </c>
      <c r="F4" s="106" t="s">
        <v>143</v>
      </c>
      <c r="G4" s="106" t="s">
        <v>275</v>
      </c>
      <c r="H4" s="107" t="s">
        <v>144</v>
      </c>
      <c r="I4" s="107" t="s">
        <v>145</v>
      </c>
      <c r="J4" s="107" t="s">
        <v>146</v>
      </c>
      <c r="K4" s="107" t="s">
        <v>147</v>
      </c>
    </row>
    <row r="5" customFormat="false" ht="15" hidden="false" customHeight="true" outlineLevel="0" collapsed="false">
      <c r="B5" s="108" t="s">
        <v>148</v>
      </c>
      <c r="C5" s="108" t="s">
        <v>149</v>
      </c>
      <c r="D5" s="108" t="s">
        <v>150</v>
      </c>
      <c r="E5" s="108" t="s">
        <v>151</v>
      </c>
      <c r="F5" s="108" t="s">
        <v>152</v>
      </c>
      <c r="G5" s="173" t="s">
        <v>276</v>
      </c>
      <c r="H5" s="108" t="s">
        <v>153</v>
      </c>
      <c r="I5" s="108" t="s">
        <v>154</v>
      </c>
      <c r="J5" s="108" t="s">
        <v>155</v>
      </c>
      <c r="K5" s="108" t="s">
        <v>156</v>
      </c>
    </row>
    <row r="7" customFormat="false" ht="18" hidden="false" customHeight="true" outlineLevel="0" collapsed="false">
      <c r="A7" s="109" t="s">
        <v>76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</row>
    <row r="8" customFormat="false" ht="15" hidden="false" customHeight="true" outlineLevel="0" collapsed="false">
      <c r="A8" s="110" t="s">
        <v>277</v>
      </c>
      <c r="B8" s="174" t="n">
        <f aca="false">SUM(B9:B12)</f>
        <v>297392</v>
      </c>
      <c r="C8" s="174" t="n">
        <f aca="false">SUM(C9:C12)</f>
        <v>316199</v>
      </c>
      <c r="D8" s="174" t="n">
        <f aca="false">SUM(D9:D12)</f>
        <v>298085</v>
      </c>
      <c r="E8" s="174" t="n">
        <f aca="false">SUM(E9:E12)</f>
        <v>294866</v>
      </c>
      <c r="F8" s="174" t="n">
        <f aca="false">SUM(F9:F12)</f>
        <v>307003</v>
      </c>
      <c r="G8" s="174" t="n">
        <f aca="false">SUM(G9:G12)</f>
        <v>113743</v>
      </c>
      <c r="H8" s="175" t="n">
        <f aca="false">SUM(H9:H12)</f>
        <v>316250.16</v>
      </c>
      <c r="I8" s="175" t="n">
        <f aca="false">SUM(I9:I12)</f>
        <v>325795.701</v>
      </c>
      <c r="J8" s="175" t="n">
        <f aca="false">SUM(J9:J12)</f>
        <v>335650.004994</v>
      </c>
      <c r="K8" s="175" t="n">
        <f aca="false">SUM(K9:K12)</f>
        <v>345823.8446091</v>
      </c>
    </row>
    <row r="9" customFormat="false" ht="15" hidden="false" customHeight="true" outlineLevel="0" collapsed="false">
      <c r="A9" s="113" t="s">
        <v>119</v>
      </c>
      <c r="B9" s="176" t="n">
        <v>191973</v>
      </c>
      <c r="C9" s="176" t="n">
        <v>205489</v>
      </c>
      <c r="D9" s="176" t="n">
        <v>200583</v>
      </c>
      <c r="E9" s="176" t="n">
        <v>201183</v>
      </c>
      <c r="F9" s="176" t="n">
        <v>209586</v>
      </c>
      <c r="G9" s="176" t="n">
        <v>85269</v>
      </c>
      <c r="H9" s="175" t="n">
        <f aca="false">F9*(1+Assumptions!G9)</f>
        <v>215873.58</v>
      </c>
      <c r="I9" s="175" t="n">
        <f aca="false">H9*(1+Assumptions!H9)</f>
        <v>222349.7874</v>
      </c>
      <c r="J9" s="175" t="n">
        <f aca="false">I9*(1+Assumptions!I9)</f>
        <v>229020.281022</v>
      </c>
      <c r="K9" s="175" t="n">
        <f aca="false">J9*(1+Assumptions!J9)</f>
        <v>235890.88945266</v>
      </c>
    </row>
    <row r="10" customFormat="false" ht="15" hidden="false" customHeight="true" outlineLevel="0" collapsed="false">
      <c r="A10" s="113" t="s">
        <v>120</v>
      </c>
      <c r="B10" s="176" t="n">
        <v>35190</v>
      </c>
      <c r="C10" s="176" t="n">
        <v>40177</v>
      </c>
      <c r="D10" s="176" t="n">
        <v>29357</v>
      </c>
      <c r="E10" s="176" t="n">
        <v>29984</v>
      </c>
      <c r="F10" s="176" t="n">
        <v>33708</v>
      </c>
      <c r="G10" s="176" t="n">
        <v>8386</v>
      </c>
      <c r="H10" s="175" t="n">
        <f aca="false">F10*(1+Assumptions!G10)</f>
        <v>35393.4</v>
      </c>
      <c r="I10" s="175" t="n">
        <f aca="false">H10*(1+Assumptions!H10)</f>
        <v>37163.07</v>
      </c>
      <c r="J10" s="175" t="n">
        <f aca="false">I10*(1+Assumptions!I10)</f>
        <v>39021.2235</v>
      </c>
      <c r="K10" s="175" t="n">
        <f aca="false">J10*(1+Assumptions!J10)</f>
        <v>40972.284675</v>
      </c>
    </row>
    <row r="11" customFormat="false" ht="15" hidden="false" customHeight="true" outlineLevel="0" collapsed="false">
      <c r="A11" s="113" t="s">
        <v>121</v>
      </c>
      <c r="B11" s="176" t="n">
        <v>31862</v>
      </c>
      <c r="C11" s="176" t="n">
        <v>29292</v>
      </c>
      <c r="D11" s="176" t="n">
        <v>28300</v>
      </c>
      <c r="E11" s="176" t="n">
        <v>26694</v>
      </c>
      <c r="F11" s="176" t="n">
        <v>28023</v>
      </c>
      <c r="G11" s="176" t="n">
        <v>8595</v>
      </c>
      <c r="H11" s="175" t="n">
        <f aca="false">F11*(1+Assumptions!G11)</f>
        <v>28583.46</v>
      </c>
      <c r="I11" s="175" t="n">
        <f aca="false">H11*(1+Assumptions!H11)</f>
        <v>29155.1292</v>
      </c>
      <c r="J11" s="175" t="n">
        <f aca="false">I11*(1+Assumptions!I11)</f>
        <v>29738.231784</v>
      </c>
      <c r="K11" s="175" t="n">
        <f aca="false">J11*(1+Assumptions!J11)</f>
        <v>30332.99641968</v>
      </c>
    </row>
    <row r="12" customFormat="false" ht="15" hidden="false" customHeight="true" outlineLevel="0" collapsed="false">
      <c r="A12" s="113" t="s">
        <v>159</v>
      </c>
      <c r="B12" s="176" t="n">
        <v>38367</v>
      </c>
      <c r="C12" s="176" t="n">
        <v>41241</v>
      </c>
      <c r="D12" s="176" t="n">
        <v>39845</v>
      </c>
      <c r="E12" s="176" t="n">
        <v>37005</v>
      </c>
      <c r="F12" s="176" t="n">
        <v>35686</v>
      </c>
      <c r="G12" s="176" t="n">
        <v>11493</v>
      </c>
      <c r="H12" s="175" t="n">
        <f aca="false">F12*(1+Assumptions!G12)</f>
        <v>36399.72</v>
      </c>
      <c r="I12" s="175" t="n">
        <f aca="false">H12*(1+Assumptions!H12)</f>
        <v>37127.7144</v>
      </c>
      <c r="J12" s="175" t="n">
        <f aca="false">I12*(1+Assumptions!I12)</f>
        <v>37870.268688</v>
      </c>
      <c r="K12" s="175" t="n">
        <f aca="false">J12*(1+Assumptions!J12)</f>
        <v>38627.67406176</v>
      </c>
    </row>
    <row r="13" customFormat="false" ht="15" hidden="false" customHeight="true" outlineLevel="0" collapsed="false">
      <c r="A13" s="110" t="s">
        <v>278</v>
      </c>
      <c r="B13" s="176" t="n">
        <v>68425</v>
      </c>
      <c r="C13" s="176" t="n">
        <v>78129</v>
      </c>
      <c r="D13" s="176" t="n">
        <v>85200</v>
      </c>
      <c r="E13" s="176" t="n">
        <v>96169</v>
      </c>
      <c r="F13" s="176" t="n">
        <v>109158</v>
      </c>
      <c r="G13" s="176" t="n">
        <v>30013</v>
      </c>
      <c r="H13" s="175" t="n">
        <f aca="false">F13*(1+Assumptions!G13)</f>
        <v>120619.59</v>
      </c>
      <c r="I13" s="175" t="n">
        <f aca="false">H13*(1+Assumptions!H13)</f>
        <v>133284.64695</v>
      </c>
      <c r="J13" s="175" t="n">
        <f aca="false">I13*(1+Assumptions!I13)</f>
        <v>147279.53487975</v>
      </c>
      <c r="K13" s="175" t="n">
        <f aca="false">J13*(1+Assumptions!J13)</f>
        <v>162743.886042124</v>
      </c>
    </row>
    <row r="14" customFormat="false" ht="15" hidden="false" customHeight="true" outlineLevel="0" collapsed="false">
      <c r="A14" s="177" t="s">
        <v>279</v>
      </c>
      <c r="B14" s="178" t="n">
        <f aca="false">SUM(B9:B13)</f>
        <v>365817</v>
      </c>
      <c r="C14" s="178" t="n">
        <f aca="false">SUM(C9:C13)</f>
        <v>394328</v>
      </c>
      <c r="D14" s="178" t="n">
        <f aca="false">SUM(D9:D13)</f>
        <v>383285</v>
      </c>
      <c r="E14" s="178" t="n">
        <f aca="false">SUM(E9:E13)</f>
        <v>391035</v>
      </c>
      <c r="F14" s="178" t="n">
        <f aca="false">SUM(F9:F13)</f>
        <v>416161</v>
      </c>
      <c r="G14" s="178" t="n">
        <f aca="false">SUM(G9:G13)</f>
        <v>143756</v>
      </c>
      <c r="H14" s="179" t="n">
        <f aca="false">SUM(H9:H13)</f>
        <v>436869.75</v>
      </c>
      <c r="I14" s="179" t="n">
        <f aca="false">SUM(I9:I13)</f>
        <v>459080.34795</v>
      </c>
      <c r="J14" s="179" t="n">
        <f aca="false">SUM(J9:J13)</f>
        <v>482929.53987375</v>
      </c>
      <c r="K14" s="179" t="n">
        <f aca="false">SUM(K9:K13)</f>
        <v>508567.730651224</v>
      </c>
    </row>
    <row r="15" customFormat="false" ht="15" hidden="false" customHeight="true" outlineLevel="0" collapsed="false">
      <c r="A15" s="177" t="s">
        <v>280</v>
      </c>
      <c r="B15" s="180" t="s">
        <v>281</v>
      </c>
      <c r="C15" s="181" t="n">
        <f aca="false">(C14-B14)/B14</f>
        <v>0.0779378760418461</v>
      </c>
      <c r="D15" s="181" t="n">
        <f aca="false">(D14-C14)/C14</f>
        <v>-0.0280046053031994</v>
      </c>
      <c r="E15" s="181" t="n">
        <f aca="false">(E14-D14)/D14</f>
        <v>0.0202199407751412</v>
      </c>
      <c r="F15" s="181" t="n">
        <f aca="false">(F14-E14)/E14</f>
        <v>0.0642551178283274</v>
      </c>
      <c r="G15" s="181"/>
      <c r="H15" s="182" t="n">
        <f aca="false">(H14-F14)/F14</f>
        <v>0.0497613904234179</v>
      </c>
      <c r="I15" s="182" t="n">
        <f aca="false">(I14-H14)/H14</f>
        <v>0.0508403201411863</v>
      </c>
      <c r="J15" s="182" t="n">
        <f aca="false">(J14-I14)/I14</f>
        <v>0.0519499299637794</v>
      </c>
      <c r="K15" s="182" t="n">
        <f aca="false">(K14-J14)/J14</f>
        <v>0.0530888849420482</v>
      </c>
    </row>
    <row r="16" customFormat="false" ht="15" hidden="false" customHeight="true" outlineLevel="0" collapsed="false">
      <c r="A16" s="177" t="s">
        <v>282</v>
      </c>
      <c r="B16" s="180" t="n">
        <f aca="false">B13/B14</f>
        <v>0.187047075450293</v>
      </c>
      <c r="C16" s="181" t="n">
        <f aca="false">C13/C14</f>
        <v>0.198132011929155</v>
      </c>
      <c r="D16" s="181" t="n">
        <f aca="false">D13/D14</f>
        <v>0.222288897295746</v>
      </c>
      <c r="E16" s="181" t="n">
        <f aca="false">E13/E14</f>
        <v>0.245934507141305</v>
      </c>
      <c r="F16" s="181" t="n">
        <f aca="false">F13/F14</f>
        <v>0.262297524275461</v>
      </c>
      <c r="G16" s="181" t="n">
        <f aca="false">G13/G14</f>
        <v>0.208777372770528</v>
      </c>
      <c r="H16" s="182" t="n">
        <f aca="false">H13/H14</f>
        <v>0.276099661283483</v>
      </c>
      <c r="I16" s="182" t="n">
        <f aca="false">I13/I14</f>
        <v>0.29032967223532</v>
      </c>
      <c r="J16" s="182" t="n">
        <f aca="false">J13/J14</f>
        <v>0.304971062483054</v>
      </c>
      <c r="K16" s="182" t="n">
        <f aca="false">K13/K14</f>
        <v>0.320004349929417</v>
      </c>
    </row>
    <row r="17" customFormat="false" ht="15" hidden="false" customHeight="true" outlineLevel="0" collapsed="false"/>
    <row r="18" customFormat="false" ht="18" hidden="false" customHeight="true" outlineLevel="0" collapsed="false">
      <c r="A18" s="109" t="s">
        <v>283</v>
      </c>
      <c r="B18" s="109"/>
      <c r="C18" s="109"/>
      <c r="D18" s="109"/>
      <c r="E18" s="109"/>
      <c r="F18" s="109"/>
      <c r="G18" s="109"/>
      <c r="H18" s="109"/>
      <c r="I18" s="109"/>
      <c r="J18" s="109"/>
      <c r="K18" s="109"/>
    </row>
    <row r="19" customFormat="false" ht="15" hidden="false" customHeight="true" outlineLevel="0" collapsed="false">
      <c r="A19" s="115" t="s">
        <v>284</v>
      </c>
      <c r="B19" s="183" t="n">
        <v>192266</v>
      </c>
      <c r="C19" s="183" t="n">
        <v>201471</v>
      </c>
      <c r="D19" s="183" t="n">
        <v>189282</v>
      </c>
      <c r="E19" s="183" t="n">
        <v>185233</v>
      </c>
      <c r="F19" s="183" t="n">
        <v>194116</v>
      </c>
      <c r="G19" s="183" t="n">
        <v>67478</v>
      </c>
      <c r="H19" s="184" t="n">
        <f aca="false">H8*(1-Assumptions!G16)</f>
        <v>199237.6008</v>
      </c>
      <c r="I19" s="184" t="n">
        <f aca="false">I8*(1-Assumptions!H16)</f>
        <v>205251.29163</v>
      </c>
      <c r="J19" s="184" t="n">
        <f aca="false">J8*(1-Assumptions!I16)</f>
        <v>211459.50314622</v>
      </c>
      <c r="K19" s="184" t="n">
        <f aca="false">K8*(1-Assumptions!J16)</f>
        <v>217869.022103733</v>
      </c>
    </row>
    <row r="20" customFormat="false" ht="15" hidden="false" customHeight="true" outlineLevel="0" collapsed="false">
      <c r="A20" s="115" t="s">
        <v>285</v>
      </c>
      <c r="B20" s="183" t="n">
        <v>20715</v>
      </c>
      <c r="C20" s="183" t="n">
        <v>22075</v>
      </c>
      <c r="D20" s="183" t="n">
        <v>24855</v>
      </c>
      <c r="E20" s="183" t="n">
        <v>25119</v>
      </c>
      <c r="F20" s="183" t="n">
        <v>26844</v>
      </c>
      <c r="G20" s="183" t="n">
        <v>7047</v>
      </c>
      <c r="H20" s="184" t="n">
        <f aca="false">H13*(1-Assumptions!G17)</f>
        <v>28948.7016</v>
      </c>
      <c r="I20" s="184" t="n">
        <f aca="false">I13*(1-Assumptions!H17)</f>
        <v>31988.315268</v>
      </c>
      <c r="J20" s="184" t="n">
        <f aca="false">J13*(1-Assumptions!I17)</f>
        <v>35347.08837114</v>
      </c>
      <c r="K20" s="184" t="n">
        <f aca="false">K13*(1-Assumptions!J17)</f>
        <v>39058.5326501097</v>
      </c>
    </row>
    <row r="21" customFormat="false" ht="15" hidden="false" customHeight="true" outlineLevel="0" collapsed="false">
      <c r="A21" s="177" t="s">
        <v>286</v>
      </c>
      <c r="B21" s="178" t="n">
        <f aca="false">SUM(B19:B20)</f>
        <v>212981</v>
      </c>
      <c r="C21" s="178" t="n">
        <f aca="false">SUM(C19:C20)</f>
        <v>223546</v>
      </c>
      <c r="D21" s="178" t="n">
        <f aca="false">SUM(D19:D20)</f>
        <v>214137</v>
      </c>
      <c r="E21" s="178" t="n">
        <f aca="false">SUM(E19:E20)</f>
        <v>210352</v>
      </c>
      <c r="F21" s="178" t="n">
        <f aca="false">SUM(F19:F20)</f>
        <v>220960</v>
      </c>
      <c r="G21" s="178" t="n">
        <f aca="false">SUM(G19:G20)</f>
        <v>74525</v>
      </c>
      <c r="H21" s="185" t="n">
        <f aca="false">SUM(H19:H20)</f>
        <v>228186.3024</v>
      </c>
      <c r="I21" s="185" t="n">
        <f aca="false">SUM(I19:I20)</f>
        <v>237239.606898</v>
      </c>
      <c r="J21" s="185" t="n">
        <f aca="false">SUM(J19:J20)</f>
        <v>246806.59151736</v>
      </c>
      <c r="K21" s="185" t="n">
        <f aca="false">SUM(K19:K20)</f>
        <v>256927.554753843</v>
      </c>
    </row>
    <row r="22" customFormat="false" ht="15" hidden="false" customHeight="true" outlineLevel="0" collapsed="false">
      <c r="A22" s="177" t="s">
        <v>287</v>
      </c>
      <c r="B22" s="178" t="n">
        <f aca="false">B14-B21</f>
        <v>152836</v>
      </c>
      <c r="C22" s="178" t="n">
        <f aca="false">C14-C21</f>
        <v>170782</v>
      </c>
      <c r="D22" s="178" t="n">
        <f aca="false">D14-D21</f>
        <v>169148</v>
      </c>
      <c r="E22" s="178" t="n">
        <f aca="false">E14-E21</f>
        <v>180683</v>
      </c>
      <c r="F22" s="178" t="n">
        <f aca="false">F14-F21</f>
        <v>195201</v>
      </c>
      <c r="G22" s="178" t="n">
        <f aca="false">G14-G21</f>
        <v>69231</v>
      </c>
      <c r="H22" s="185" t="n">
        <f aca="false">H14-H21</f>
        <v>208683.4476</v>
      </c>
      <c r="I22" s="185" t="n">
        <f aca="false">I14-I21</f>
        <v>221840.741052</v>
      </c>
      <c r="J22" s="185" t="n">
        <f aca="false">J14-J21</f>
        <v>236122.94835639</v>
      </c>
      <c r="K22" s="185" t="n">
        <f aca="false">K14-K21</f>
        <v>251640.175897381</v>
      </c>
    </row>
    <row r="23" customFormat="false" ht="15" hidden="false" customHeight="true" outlineLevel="0" collapsed="false">
      <c r="A23" s="186" t="s">
        <v>288</v>
      </c>
      <c r="B23" s="187" t="n">
        <f aca="false">B22/B14</f>
        <v>0.417793596251678</v>
      </c>
      <c r="C23" s="187" t="n">
        <f aca="false">C22/C14</f>
        <v>0.433096305613601</v>
      </c>
      <c r="D23" s="187" t="n">
        <f aca="false">D22/D14</f>
        <v>0.441311295772076</v>
      </c>
      <c r="E23" s="187" t="n">
        <f aca="false">E22/E14</f>
        <v>0.462063498152339</v>
      </c>
      <c r="F23" s="187" t="n">
        <f aca="false">F22/F14</f>
        <v>0.469051641071605</v>
      </c>
      <c r="G23" s="187" t="n">
        <f aca="false">G22/G14</f>
        <v>0.481586855505162</v>
      </c>
      <c r="H23" s="182" t="n">
        <f aca="false">H22/H14</f>
        <v>0.477678867900558</v>
      </c>
      <c r="I23" s="182" t="n">
        <f aca="false">I22/I14</f>
        <v>0.483228572171775</v>
      </c>
      <c r="J23" s="182" t="n">
        <f aca="false">J22/J14</f>
        <v>0.488938714368391</v>
      </c>
      <c r="K23" s="182" t="n">
        <f aca="false">K22/K14</f>
        <v>0.494801696472473</v>
      </c>
    </row>
    <row r="25" customFormat="false" ht="18" hidden="false" customHeight="true" outlineLevel="0" collapsed="false">
      <c r="A25" s="109" t="s">
        <v>289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09"/>
    </row>
    <row r="26" customFormat="false" ht="15" hidden="false" customHeight="true" outlineLevel="0" collapsed="false">
      <c r="A26" s="115" t="s">
        <v>290</v>
      </c>
      <c r="B26" s="183" t="n">
        <v>21914</v>
      </c>
      <c r="C26" s="183" t="n">
        <v>26251</v>
      </c>
      <c r="D26" s="183" t="n">
        <v>29915</v>
      </c>
      <c r="E26" s="183" t="n">
        <v>31370</v>
      </c>
      <c r="F26" s="183" t="n">
        <v>34550</v>
      </c>
      <c r="G26" s="183" t="n">
        <v>10887</v>
      </c>
      <c r="H26" s="184" t="n">
        <f aca="false">F26*(1+Assumptions!G20)</f>
        <v>37141.25</v>
      </c>
      <c r="I26" s="184" t="n">
        <f aca="false">H26*(1+Assumptions!H20)</f>
        <v>39926.84375</v>
      </c>
      <c r="J26" s="184" t="n">
        <f aca="false">I26*(1+Assumptions!I20)</f>
        <v>42921.35703125</v>
      </c>
      <c r="K26" s="184" t="n">
        <f aca="false">J26*(1+Assumptions!J20)</f>
        <v>46140.4588085938</v>
      </c>
    </row>
    <row r="27" customFormat="false" ht="15" hidden="false" customHeight="true" outlineLevel="0" collapsed="false">
      <c r="A27" s="115" t="s">
        <v>291</v>
      </c>
      <c r="B27" s="183" t="n">
        <v>21973</v>
      </c>
      <c r="C27" s="183" t="n">
        <v>25094</v>
      </c>
      <c r="D27" s="183" t="n">
        <v>24932</v>
      </c>
      <c r="E27" s="183" t="n">
        <v>26097</v>
      </c>
      <c r="F27" s="183" t="n">
        <v>27601</v>
      </c>
      <c r="G27" s="183" t="n">
        <v>7492</v>
      </c>
      <c r="H27" s="184" t="n">
        <f aca="false">F27*(1+Assumptions!G21)</f>
        <v>28843.045</v>
      </c>
      <c r="I27" s="184" t="n">
        <f aca="false">H27*(1+Assumptions!H21)</f>
        <v>30140.982025</v>
      </c>
      <c r="J27" s="184" t="n">
        <f aca="false">I27*(1+Assumptions!I21)</f>
        <v>31497.326216125</v>
      </c>
      <c r="K27" s="184" t="n">
        <f aca="false">J27*(1+Assumptions!J21)</f>
        <v>32914.7058958506</v>
      </c>
    </row>
    <row r="28" customFormat="false" ht="15" hidden="false" customHeight="true" outlineLevel="0" collapsed="false">
      <c r="A28" s="188" t="s">
        <v>292</v>
      </c>
      <c r="B28" s="178" t="n">
        <f aca="false">SUM(B26:B27)</f>
        <v>43887</v>
      </c>
      <c r="C28" s="178" t="n">
        <f aca="false">SUM(C26:C27)</f>
        <v>51345</v>
      </c>
      <c r="D28" s="178" t="n">
        <f aca="false">SUM(D26:D27)</f>
        <v>54847</v>
      </c>
      <c r="E28" s="178" t="n">
        <f aca="false">SUM(E26:E27)</f>
        <v>57467</v>
      </c>
      <c r="F28" s="178" t="n">
        <f aca="false">SUM(F26:F27)</f>
        <v>62151</v>
      </c>
      <c r="G28" s="178" t="n">
        <f aca="false">SUM(G26:G27)</f>
        <v>18379</v>
      </c>
      <c r="H28" s="185" t="n">
        <f aca="false">SUM(H26:H27)</f>
        <v>65984.295</v>
      </c>
      <c r="I28" s="185" t="n">
        <f aca="false">SUM(I26:I27)</f>
        <v>70067.825775</v>
      </c>
      <c r="J28" s="185" t="n">
        <f aca="false">SUM(J26:J27)</f>
        <v>74418.683247375</v>
      </c>
      <c r="K28" s="185" t="n">
        <f aca="false">SUM(K26:K27)</f>
        <v>79055.1647044444</v>
      </c>
    </row>
    <row r="29" customFormat="false" ht="15" hidden="false" customHeight="true" outlineLevel="0" collapsed="false">
      <c r="A29" s="177" t="s">
        <v>293</v>
      </c>
      <c r="B29" s="189" t="n">
        <f aca="false">B22-B28</f>
        <v>108949</v>
      </c>
      <c r="C29" s="189" t="n">
        <f aca="false">C22-C28</f>
        <v>119437</v>
      </c>
      <c r="D29" s="189" t="n">
        <f aca="false">D22-D28</f>
        <v>114301</v>
      </c>
      <c r="E29" s="189" t="n">
        <f aca="false">E22-E28</f>
        <v>123216</v>
      </c>
      <c r="F29" s="189" t="n">
        <f aca="false">F22-F28</f>
        <v>133050</v>
      </c>
      <c r="G29" s="189" t="n">
        <f aca="false">G22-G28</f>
        <v>50852</v>
      </c>
      <c r="H29" s="190" t="n">
        <f aca="false">H22-H28</f>
        <v>142699.1526</v>
      </c>
      <c r="I29" s="190" t="n">
        <f aca="false">I22-I28</f>
        <v>151772.915277</v>
      </c>
      <c r="J29" s="190" t="n">
        <f aca="false">J22-J28</f>
        <v>161704.265109015</v>
      </c>
      <c r="K29" s="190" t="n">
        <f aca="false">K22-K28</f>
        <v>172585.011192937</v>
      </c>
    </row>
    <row r="30" customFormat="false" ht="15" hidden="false" customHeight="true" outlineLevel="0" collapsed="false">
      <c r="A30" s="186" t="s">
        <v>294</v>
      </c>
      <c r="B30" s="187" t="n">
        <f aca="false">B29/B14</f>
        <v>0.297823775275616</v>
      </c>
      <c r="C30" s="187" t="n">
        <f aca="false">C29/C14</f>
        <v>0.302887443955286</v>
      </c>
      <c r="D30" s="187" t="n">
        <f aca="false">D29/D14</f>
        <v>0.298214122650247</v>
      </c>
      <c r="E30" s="187" t="n">
        <f aca="false">E29/E14</f>
        <v>0.315102228700756</v>
      </c>
      <c r="F30" s="187" t="n">
        <f aca="false">F29/F14</f>
        <v>0.319707997625919</v>
      </c>
      <c r="G30" s="187" t="n">
        <f aca="false">G29/G14</f>
        <v>0.353738278750104</v>
      </c>
      <c r="H30" s="182" t="n">
        <f aca="false">H29/H14</f>
        <v>0.326640039966145</v>
      </c>
      <c r="I30" s="182" t="n">
        <f aca="false">I29/I14</f>
        <v>0.330602074244158</v>
      </c>
      <c r="J30" s="182" t="n">
        <f aca="false">J29/J14</f>
        <v>0.334840285709772</v>
      </c>
      <c r="K30" s="182" t="n">
        <f aca="false">K29/K14</f>
        <v>0.339355017613761</v>
      </c>
    </row>
    <row r="31" customFormat="false" ht="15" hidden="false" customHeight="true" outlineLevel="0" collapsed="false">
      <c r="A31" s="186" t="s">
        <v>295</v>
      </c>
      <c r="B31" s="183" t="n">
        <v>11284</v>
      </c>
      <c r="C31" s="183" t="n">
        <v>11104</v>
      </c>
      <c r="D31" s="183" t="n">
        <v>11519</v>
      </c>
      <c r="E31" s="183" t="n">
        <v>11445</v>
      </c>
      <c r="F31" s="183" t="n">
        <v>11698</v>
      </c>
      <c r="G31" s="183" t="n">
        <v>3214</v>
      </c>
      <c r="H31" s="184" t="n">
        <f aca="false">Assumptions!G38</f>
        <v>12232.353</v>
      </c>
      <c r="I31" s="184" t="n">
        <f aca="false">Assumptions!H38</f>
        <v>12854.2497426</v>
      </c>
      <c r="J31" s="184" t="n">
        <f aca="false">Assumptions!I38</f>
        <v>13522.027116465</v>
      </c>
      <c r="K31" s="184" t="n">
        <f aca="false">Assumptions!J38</f>
        <v>14239.8964582343</v>
      </c>
    </row>
    <row r="32" customFormat="false" ht="15" hidden="false" customHeight="true" outlineLevel="0" collapsed="false">
      <c r="A32" s="186" t="s">
        <v>296</v>
      </c>
      <c r="B32" s="189" t="n">
        <f aca="false">B29+B31</f>
        <v>120233</v>
      </c>
      <c r="C32" s="189" t="n">
        <f aca="false">C29+C31</f>
        <v>130541</v>
      </c>
      <c r="D32" s="189" t="n">
        <f aca="false">D29+D31</f>
        <v>125820</v>
      </c>
      <c r="E32" s="189" t="n">
        <f aca="false">E29+E31</f>
        <v>134661</v>
      </c>
      <c r="F32" s="189" t="n">
        <f aca="false">F29+F31</f>
        <v>144748</v>
      </c>
      <c r="G32" s="189" t="n">
        <f aca="false">G29+G31</f>
        <v>54066</v>
      </c>
      <c r="H32" s="190" t="n">
        <f aca="false">H29+H31</f>
        <v>154931.5056</v>
      </c>
      <c r="I32" s="190" t="n">
        <f aca="false">I29+I31</f>
        <v>164627.1650196</v>
      </c>
      <c r="J32" s="190" t="n">
        <f aca="false">J29+J31</f>
        <v>175226.29222548</v>
      </c>
      <c r="K32" s="190" t="n">
        <f aca="false">K29+K31</f>
        <v>186824.907651171</v>
      </c>
    </row>
    <row r="33" customFormat="false" ht="14.25" hidden="false" customHeight="false" outlineLevel="0" collapsed="false">
      <c r="A33" s="0" t="s">
        <v>297</v>
      </c>
      <c r="B33" s="187" t="n">
        <f aca="false">B32/B14</f>
        <v>0.328669799380565</v>
      </c>
      <c r="C33" s="187" t="n">
        <f aca="false">C32/C14</f>
        <v>0.33104674281309</v>
      </c>
      <c r="D33" s="187" t="n">
        <f aca="false">D32/D14</f>
        <v>0.328267477203647</v>
      </c>
      <c r="E33" s="187" t="n">
        <f aca="false">E32/E14</f>
        <v>0.344370708504354</v>
      </c>
      <c r="F33" s="187" t="n">
        <f aca="false">F32/F14</f>
        <v>0.347817311088737</v>
      </c>
      <c r="G33" s="187" t="n">
        <f aca="false">G32/G14</f>
        <v>0.376095606444253</v>
      </c>
      <c r="H33" s="182" t="n">
        <f aca="false">H32/H14</f>
        <v>0.354640039966145</v>
      </c>
      <c r="I33" s="182" t="n">
        <f aca="false">I32/I14</f>
        <v>0.358602074244158</v>
      </c>
      <c r="J33" s="182" t="n">
        <f aca="false">J32/J14</f>
        <v>0.362840285709772</v>
      </c>
      <c r="K33" s="182" t="n">
        <f aca="false">K32/K14</f>
        <v>0.367355017613761</v>
      </c>
    </row>
    <row r="34" customFormat="false" ht="18" hidden="false" customHeight="true" outlineLevel="0" collapsed="false">
      <c r="A34" s="109" t="s">
        <v>298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</row>
    <row r="35" customFormat="false" ht="15" hidden="false" customHeight="true" outlineLevel="0" collapsed="false">
      <c r="A35" s="115" t="s">
        <v>299</v>
      </c>
      <c r="B35" s="183" t="n">
        <v>258</v>
      </c>
      <c r="C35" s="183" t="n">
        <v>-334</v>
      </c>
      <c r="D35" s="183" t="n">
        <v>-565</v>
      </c>
      <c r="E35" s="183" t="n">
        <v>269</v>
      </c>
      <c r="F35" s="183" t="n">
        <v>-321</v>
      </c>
      <c r="G35" s="183" t="n">
        <v>150</v>
      </c>
      <c r="H35" s="184" t="n">
        <f aca="false">Assumptions!G24</f>
        <v>0</v>
      </c>
      <c r="I35" s="184" t="n">
        <f aca="false">Assumptions!H24</f>
        <v>0</v>
      </c>
      <c r="J35" s="184" t="n">
        <f aca="false">Assumptions!I24</f>
        <v>0</v>
      </c>
      <c r="K35" s="184" t="n">
        <f aca="false">Assumptions!J24</f>
        <v>0</v>
      </c>
    </row>
    <row r="36" customFormat="false" ht="15" hidden="false" customHeight="true" outlineLevel="0" collapsed="false">
      <c r="A36" s="188" t="s">
        <v>300</v>
      </c>
      <c r="B36" s="178" t="n">
        <f aca="false">B29+B35</f>
        <v>109207</v>
      </c>
      <c r="C36" s="178" t="n">
        <f aca="false">C29+C35</f>
        <v>119103</v>
      </c>
      <c r="D36" s="178" t="n">
        <f aca="false">D29+D35</f>
        <v>113736</v>
      </c>
      <c r="E36" s="178" t="n">
        <f aca="false">E29+E35</f>
        <v>123485</v>
      </c>
      <c r="F36" s="178" t="n">
        <f aca="false">F29+F35</f>
        <v>132729</v>
      </c>
      <c r="G36" s="178" t="n">
        <f aca="false">G29+G35</f>
        <v>51002</v>
      </c>
      <c r="H36" s="185" t="n">
        <f aca="false">H29+H35</f>
        <v>142699.1526</v>
      </c>
      <c r="I36" s="185" t="n">
        <f aca="false">I29+I35</f>
        <v>151772.915277</v>
      </c>
      <c r="J36" s="185" t="n">
        <f aca="false">J29+J35</f>
        <v>161704.265109015</v>
      </c>
      <c r="K36" s="185" t="n">
        <f aca="false">K29+K35</f>
        <v>172585.011192937</v>
      </c>
    </row>
    <row r="37" customFormat="false" ht="15" hidden="false" customHeight="true" outlineLevel="0" collapsed="false">
      <c r="A37" s="115" t="s">
        <v>301</v>
      </c>
      <c r="B37" s="183" t="n">
        <v>14527</v>
      </c>
      <c r="C37" s="183" t="n">
        <v>19300</v>
      </c>
      <c r="D37" s="183" t="n">
        <v>16741</v>
      </c>
      <c r="E37" s="183" t="n">
        <v>29749</v>
      </c>
      <c r="F37" s="183" t="n">
        <v>20719</v>
      </c>
      <c r="G37" s="183" t="n">
        <v>8905</v>
      </c>
      <c r="H37" s="184" t="n">
        <f aca="false">H36*Assumptions!G25</f>
        <v>21404.87289</v>
      </c>
      <c r="I37" s="184" t="n">
        <f aca="false">I36*Assumptions!H25</f>
        <v>22765.93729155</v>
      </c>
      <c r="J37" s="184" t="n">
        <f aca="false">J36*Assumptions!I25</f>
        <v>24255.6397663522</v>
      </c>
      <c r="K37" s="184" t="n">
        <f aca="false">K36*Assumptions!J25</f>
        <v>25887.7516789405</v>
      </c>
    </row>
    <row r="38" customFormat="false" ht="15" hidden="false" customHeight="true" outlineLevel="0" collapsed="false">
      <c r="A38" s="186" t="s">
        <v>302</v>
      </c>
      <c r="B38" s="187" t="n">
        <f aca="false">B37/B36</f>
        <v>0.133022608440851</v>
      </c>
      <c r="C38" s="187" t="n">
        <f aca="false">C37/C36</f>
        <v>0.162044616844244</v>
      </c>
      <c r="D38" s="187" t="n">
        <f aca="false">D37/D36</f>
        <v>0.147191742280369</v>
      </c>
      <c r="E38" s="187" t="n">
        <f aca="false">E37/E36</f>
        <v>0.2409118516419</v>
      </c>
      <c r="F38" s="187" t="n">
        <f aca="false">F37/F36</f>
        <v>0.15610002335586</v>
      </c>
      <c r="G38" s="187" t="n">
        <f aca="false">G37/G36</f>
        <v>0.174600996039371</v>
      </c>
      <c r="H38" s="182" t="n">
        <f aca="false">H37/H36</f>
        <v>0.15</v>
      </c>
      <c r="I38" s="182" t="n">
        <f aca="false">I37/I36</f>
        <v>0.15</v>
      </c>
      <c r="J38" s="182" t="n">
        <f aca="false">J37/J36</f>
        <v>0.15</v>
      </c>
      <c r="K38" s="191" t="n">
        <f aca="false">K37/K36</f>
        <v>0.15</v>
      </c>
    </row>
    <row r="39" customFormat="false" ht="15" hidden="false" customHeight="true" outlineLevel="0" collapsed="false">
      <c r="A39" s="177" t="s">
        <v>303</v>
      </c>
      <c r="B39" s="192" t="n">
        <f aca="false">B36-B37</f>
        <v>94680</v>
      </c>
      <c r="C39" s="192" t="n">
        <f aca="false">C36-C37</f>
        <v>99803</v>
      </c>
      <c r="D39" s="192" t="n">
        <f aca="false">D36-D37</f>
        <v>96995</v>
      </c>
      <c r="E39" s="192" t="n">
        <f aca="false">E36-E37</f>
        <v>93736</v>
      </c>
      <c r="F39" s="192" t="n">
        <f aca="false">F36-F37</f>
        <v>112010</v>
      </c>
      <c r="G39" s="192" t="n">
        <f aca="false">G36-G37</f>
        <v>42097</v>
      </c>
      <c r="H39" s="193" t="n">
        <f aca="false">H36-H37</f>
        <v>121294.27971</v>
      </c>
      <c r="I39" s="193" t="n">
        <f aca="false">I36-I37</f>
        <v>129006.97798545</v>
      </c>
      <c r="J39" s="193" t="n">
        <f aca="false">J36-J37</f>
        <v>137448.625342663</v>
      </c>
      <c r="K39" s="193" t="n">
        <f aca="false">K36-K37</f>
        <v>146697.259513996</v>
      </c>
    </row>
    <row r="40" customFormat="false" ht="15" hidden="false" customHeight="true" outlineLevel="0" collapsed="false">
      <c r="A40" s="186" t="s">
        <v>304</v>
      </c>
      <c r="B40" s="187" t="n">
        <f aca="false">B39/B14</f>
        <v>0.258817933556942</v>
      </c>
      <c r="C40" s="187" t="n">
        <f aca="false">C39/C14</f>
        <v>0.253096407051997</v>
      </c>
      <c r="D40" s="187" t="n">
        <f aca="false">D39/D14</f>
        <v>0.253062342643203</v>
      </c>
      <c r="E40" s="187" t="n">
        <f aca="false">E39/E14</f>
        <v>0.239712557699439</v>
      </c>
      <c r="F40" s="187" t="n">
        <f aca="false">F39/F14</f>
        <v>0.269150641218182</v>
      </c>
      <c r="G40" s="187" t="n">
        <f aca="false">G39/G14</f>
        <v>0.292836472912435</v>
      </c>
      <c r="H40" s="182" t="n">
        <f aca="false">H39/H14</f>
        <v>0.277644033971224</v>
      </c>
      <c r="I40" s="182" t="n">
        <f aca="false">I39/I14</f>
        <v>0.281011763107535</v>
      </c>
      <c r="J40" s="182" t="n">
        <f aca="false">J39/J14</f>
        <v>0.284614242853306</v>
      </c>
      <c r="K40" s="191" t="n">
        <f aca="false">K39/K14</f>
        <v>0.288451764971697</v>
      </c>
    </row>
    <row r="41" customFormat="false" ht="15" hidden="false" customHeight="true" outlineLevel="0" collapsed="false">
      <c r="A41" s="186"/>
      <c r="B41" s="187"/>
      <c r="C41" s="187"/>
      <c r="D41" s="187"/>
      <c r="E41" s="187"/>
      <c r="F41" s="187"/>
      <c r="G41" s="187"/>
      <c r="H41" s="182"/>
      <c r="I41" s="182"/>
      <c r="J41" s="182"/>
      <c r="K41" s="182"/>
    </row>
    <row r="42" customFormat="false" ht="15" hidden="false" customHeight="true" outlineLevel="0" collapsed="false">
      <c r="A42" s="109" t="s">
        <v>305</v>
      </c>
      <c r="B42" s="109"/>
      <c r="C42" s="109"/>
      <c r="D42" s="109"/>
      <c r="E42" s="109"/>
      <c r="F42" s="109"/>
      <c r="G42" s="109"/>
      <c r="H42" s="109"/>
      <c r="I42" s="109"/>
      <c r="J42" s="109"/>
      <c r="K42" s="109"/>
    </row>
    <row r="43" customFormat="false" ht="13.5" hidden="false" customHeight="true" outlineLevel="0" collapsed="false">
      <c r="A43" s="0" t="s">
        <v>306</v>
      </c>
      <c r="B43" s="194" t="n">
        <v>5.67</v>
      </c>
      <c r="C43" s="194" t="n">
        <v>6.15</v>
      </c>
      <c r="D43" s="194" t="n">
        <v>6.16</v>
      </c>
      <c r="E43" s="194" t="n">
        <v>6.11</v>
      </c>
      <c r="F43" s="194" t="n">
        <v>7.5</v>
      </c>
      <c r="G43" s="194" t="n">
        <v>2.85</v>
      </c>
      <c r="H43" s="195" t="n">
        <f aca="false">H39/H45</f>
        <v>8.28660579584062</v>
      </c>
      <c r="I43" s="195" t="n">
        <f aca="false">I39/I45</f>
        <v>9.02662728310586</v>
      </c>
      <c r="J43" s="195" t="n">
        <f aca="false">J39/J45</f>
        <v>9.87130573759259</v>
      </c>
      <c r="K43" s="195" t="n">
        <f aca="false">K39/K45</f>
        <v>10.840766780671</v>
      </c>
    </row>
    <row r="44" customFormat="false" ht="15" hidden="false" customHeight="true" outlineLevel="0" collapsed="false">
      <c r="A44" s="177" t="s">
        <v>104</v>
      </c>
      <c r="B44" s="196" t="n">
        <v>5.61</v>
      </c>
      <c r="C44" s="196" t="n">
        <v>6.11</v>
      </c>
      <c r="D44" s="196" t="n">
        <v>6.13</v>
      </c>
      <c r="E44" s="196" t="n">
        <v>6.08</v>
      </c>
      <c r="F44" s="196" t="n">
        <v>7.46</v>
      </c>
      <c r="G44" s="196" t="n">
        <v>2.84</v>
      </c>
      <c r="H44" s="197" t="n">
        <f aca="false">H39/H45</f>
        <v>8.28660579584062</v>
      </c>
      <c r="I44" s="197" t="n">
        <f aca="false">I39/I45</f>
        <v>9.02662728310586</v>
      </c>
      <c r="J44" s="197" t="n">
        <f aca="false">J39/J45</f>
        <v>9.87130573759259</v>
      </c>
      <c r="K44" s="197" t="n">
        <f aca="false">K39/K45</f>
        <v>10.840766780671</v>
      </c>
    </row>
    <row r="45" customFormat="false" ht="14.25" hidden="false" customHeight="false" outlineLevel="0" collapsed="false">
      <c r="A45" s="0" t="s">
        <v>198</v>
      </c>
      <c r="B45" s="198" t="n">
        <v>16864</v>
      </c>
      <c r="C45" s="198" t="n">
        <v>16326</v>
      </c>
      <c r="D45" s="198" t="n">
        <v>15813</v>
      </c>
      <c r="E45" s="198" t="n">
        <v>15409</v>
      </c>
      <c r="F45" s="198" t="n">
        <v>15004</v>
      </c>
      <c r="G45" s="198" t="n">
        <v>14810</v>
      </c>
      <c r="H45" s="199" t="n">
        <f aca="false">F45+CFS!G25/Assumptions!$B$59</f>
        <v>14637.3898672581</v>
      </c>
      <c r="I45" s="200" t="n">
        <f aca="false">H45+CFS!H25/Assumptions!$B$59</f>
        <v>14291.8250570618</v>
      </c>
      <c r="J45" s="200" t="n">
        <f aca="false">I45+CFS!I25/Assumptions!$B$59</f>
        <v>13924.05716087</v>
      </c>
      <c r="K45" s="200" t="n">
        <f aca="false">J45+CFS!J25/Assumptions!$B$59</f>
        <v>13532.0003171321</v>
      </c>
    </row>
    <row r="46" customFormat="false" ht="15" hidden="false" customHeight="true" outlineLevel="0" collapsed="false">
      <c r="A46" s="201" t="s">
        <v>307</v>
      </c>
      <c r="B46" s="194" t="n">
        <v>0.85</v>
      </c>
      <c r="C46" s="194" t="n">
        <v>0.91</v>
      </c>
      <c r="D46" s="194" t="n">
        <v>0.95</v>
      </c>
      <c r="E46" s="194" t="n">
        <v>0.99</v>
      </c>
      <c r="F46" s="194" t="n">
        <v>1.06</v>
      </c>
      <c r="G46" s="194"/>
      <c r="H46" s="202" t="n">
        <f aca="false">-CFS!G24/H45</f>
        <v>1.49569661762163</v>
      </c>
      <c r="I46" s="202" t="n">
        <f aca="false">-CFS!H24/I45</f>
        <v>1.44392457148485</v>
      </c>
      <c r="J46" s="202" t="n">
        <f aca="false">-CFS!I24/J45</f>
        <v>1.57728693373004</v>
      </c>
      <c r="K46" s="202" t="n">
        <f aca="false">-CFS!J24/K45</f>
        <v>1.73017378603587</v>
      </c>
    </row>
    <row r="49" customFormat="false" ht="14.25" hidden="false" customHeight="false" outlineLevel="0" collapsed="false">
      <c r="B49" s="203"/>
      <c r="C49" s="203"/>
      <c r="D49" s="203"/>
      <c r="E49" s="203"/>
      <c r="F49" s="203"/>
      <c r="G49" s="203"/>
      <c r="H49" s="204"/>
      <c r="I49" s="204"/>
      <c r="J49" s="204"/>
      <c r="K49" s="204"/>
    </row>
    <row r="50" customFormat="false" ht="14.25" hidden="false" customHeight="false" outlineLevel="0" collapsed="false">
      <c r="B50" s="203"/>
      <c r="C50" s="203"/>
      <c r="D50" s="203"/>
      <c r="E50" s="203"/>
      <c r="F50" s="203"/>
      <c r="G50" s="203"/>
      <c r="H50" s="204"/>
      <c r="I50" s="204"/>
      <c r="J50" s="204"/>
      <c r="K50" s="204"/>
    </row>
    <row r="51" s="205" customFormat="true" ht="14.25" hidden="false" customHeight="false" outlineLevel="0" collapsed="false">
      <c r="B51" s="206"/>
      <c r="C51" s="206"/>
      <c r="D51" s="206"/>
      <c r="E51" s="206"/>
      <c r="F51" s="206"/>
      <c r="G51" s="206"/>
      <c r="H51" s="207"/>
      <c r="I51" s="207"/>
      <c r="J51" s="207"/>
      <c r="K51" s="207"/>
    </row>
    <row r="52" customFormat="false" ht="14.25" hidden="false" customHeight="false" outlineLevel="0" collapsed="false">
      <c r="A52" s="208" t="s">
        <v>308</v>
      </c>
      <c r="B52" s="1"/>
      <c r="C52" s="1"/>
      <c r="D52" s="1"/>
      <c r="E52" s="1"/>
      <c r="F52" s="1"/>
      <c r="G52" s="1"/>
      <c r="H52" s="1"/>
      <c r="I52" s="1"/>
      <c r="J52" s="1"/>
      <c r="K52" s="1"/>
    </row>
    <row r="53" customFormat="false" ht="14.25" hidden="false" customHeight="false" outlineLevel="0" collapsed="false">
      <c r="B53" s="203"/>
      <c r="C53" s="203"/>
      <c r="D53" s="203"/>
      <c r="E53" s="203"/>
      <c r="F53" s="203"/>
      <c r="G53" s="203"/>
      <c r="H53" s="204"/>
      <c r="I53" s="204"/>
      <c r="J53" s="204"/>
      <c r="K53" s="204"/>
    </row>
    <row r="54" customFormat="false" ht="14.25" hidden="false" customHeight="false" outlineLevel="0" collapsed="false">
      <c r="A54" s="209" t="s">
        <v>309</v>
      </c>
      <c r="B54" s="210" t="n">
        <f aca="false">B8-B19</f>
        <v>105126</v>
      </c>
      <c r="C54" s="210" t="n">
        <f aca="false">C8-C19</f>
        <v>114728</v>
      </c>
      <c r="D54" s="210" t="n">
        <f aca="false">D8-D19</f>
        <v>108803</v>
      </c>
      <c r="E54" s="210" t="n">
        <f aca="false">E8-E19</f>
        <v>109633</v>
      </c>
      <c r="F54" s="210" t="n">
        <f aca="false">F8-F19</f>
        <v>112887</v>
      </c>
      <c r="G54" s="210" t="n">
        <f aca="false">G8-G19</f>
        <v>46265</v>
      </c>
      <c r="H54" s="211" t="n">
        <f aca="false">H8-H19</f>
        <v>117012.5592</v>
      </c>
      <c r="I54" s="211" t="n">
        <f aca="false">I8-I19</f>
        <v>120544.40937</v>
      </c>
      <c r="J54" s="211" t="n">
        <f aca="false">J8-J19</f>
        <v>124190.50184778</v>
      </c>
      <c r="K54" s="211" t="n">
        <f aca="false">K8-K19</f>
        <v>127954.822505367</v>
      </c>
    </row>
    <row r="55" customFormat="false" ht="14.25" hidden="false" customHeight="false" outlineLevel="0" collapsed="false">
      <c r="A55" s="212" t="s">
        <v>310</v>
      </c>
      <c r="B55" s="213" t="n">
        <f aca="false">B54/B8</f>
        <v>0.353493032764836</v>
      </c>
      <c r="C55" s="213" t="n">
        <f aca="false">C54/C8</f>
        <v>0.362834797073995</v>
      </c>
      <c r="D55" s="213" t="n">
        <f aca="false">D54/D8</f>
        <v>0.365006625626919</v>
      </c>
      <c r="E55" s="213" t="n">
        <f aca="false">E54/E8</f>
        <v>0.371806176364857</v>
      </c>
      <c r="F55" s="213" t="n">
        <f aca="false">F54/F8</f>
        <v>0.367706504496699</v>
      </c>
      <c r="G55" s="213" t="n">
        <f aca="false">G54/G8</f>
        <v>0.406750305513306</v>
      </c>
      <c r="H55" s="214" t="n">
        <f aca="false">H54/H8</f>
        <v>0.37</v>
      </c>
      <c r="I55" s="214" t="n">
        <f aca="false">I54/I8</f>
        <v>0.37</v>
      </c>
      <c r="J55" s="214" t="n">
        <f aca="false">J54/J8</f>
        <v>0.37</v>
      </c>
      <c r="K55" s="214" t="n">
        <f aca="false">K54/K8</f>
        <v>0.37</v>
      </c>
    </row>
    <row r="56" customFormat="false" ht="14.25" hidden="false" customHeight="false" outlineLevel="0" collapsed="false">
      <c r="A56" s="209" t="s">
        <v>311</v>
      </c>
      <c r="B56" s="210" t="n">
        <f aca="false">B13-B20</f>
        <v>47710</v>
      </c>
      <c r="C56" s="210" t="n">
        <f aca="false">C13-C20</f>
        <v>56054</v>
      </c>
      <c r="D56" s="210" t="n">
        <f aca="false">D13-D20</f>
        <v>60345</v>
      </c>
      <c r="E56" s="210" t="n">
        <f aca="false">E13-E20</f>
        <v>71050</v>
      </c>
      <c r="F56" s="210" t="n">
        <f aca="false">F13-F20</f>
        <v>82314</v>
      </c>
      <c r="G56" s="210" t="n">
        <f aca="false">G13-G20</f>
        <v>22966</v>
      </c>
      <c r="H56" s="211" t="n">
        <f aca="false">H13-H20</f>
        <v>91670.8884</v>
      </c>
      <c r="I56" s="211" t="n">
        <f aca="false">I13-I20</f>
        <v>101296.331682</v>
      </c>
      <c r="J56" s="211" t="n">
        <f aca="false">J13-J20</f>
        <v>111932.44650861</v>
      </c>
      <c r="K56" s="211" t="n">
        <f aca="false">K13-K20</f>
        <v>123685.353392014</v>
      </c>
    </row>
    <row r="57" customFormat="false" ht="14.25" hidden="false" customHeight="false" outlineLevel="0" collapsed="false">
      <c r="A57" s="212" t="s">
        <v>312</v>
      </c>
      <c r="B57" s="213" t="n">
        <f aca="false">B56/B13</f>
        <v>0.697259773474607</v>
      </c>
      <c r="C57" s="213" t="n">
        <f aca="false">C56/C13</f>
        <v>0.717454466331324</v>
      </c>
      <c r="D57" s="213" t="n">
        <f aca="false">D56/D13</f>
        <v>0.708274647887324</v>
      </c>
      <c r="E57" s="213" t="n">
        <f aca="false">E56/E13</f>
        <v>0.738803564558226</v>
      </c>
      <c r="F57" s="213" t="n">
        <f aca="false">F56/F13</f>
        <v>0.754081240037377</v>
      </c>
      <c r="G57" s="213" t="n">
        <f aca="false">G56/G13</f>
        <v>0.765201745910106</v>
      </c>
      <c r="H57" s="214" t="n">
        <f aca="false">H56/H13</f>
        <v>0.76</v>
      </c>
      <c r="I57" s="214" t="n">
        <f aca="false">I56/I13</f>
        <v>0.76</v>
      </c>
      <c r="J57" s="214" t="n">
        <f aca="false">J56/J13</f>
        <v>0.76</v>
      </c>
      <c r="K57" s="214" t="n">
        <f aca="false">K56/K13</f>
        <v>0.76</v>
      </c>
    </row>
    <row r="58" customFormat="false" ht="14.25" hidden="false" customHeight="false" outlineLevel="0" collapsed="false">
      <c r="A58" s="215" t="s">
        <v>313</v>
      </c>
      <c r="B58" s="216" t="n">
        <f aca="false">B54+B56</f>
        <v>152836</v>
      </c>
      <c r="C58" s="216" t="n">
        <f aca="false">C54+C56</f>
        <v>170782</v>
      </c>
      <c r="D58" s="216" t="n">
        <f aca="false">D54+D56</f>
        <v>169148</v>
      </c>
      <c r="E58" s="216" t="n">
        <f aca="false">E54+E56</f>
        <v>180683</v>
      </c>
      <c r="F58" s="216" t="n">
        <f aca="false">F54+F56</f>
        <v>195201</v>
      </c>
      <c r="G58" s="216" t="n">
        <f aca="false">G54+G56</f>
        <v>69231</v>
      </c>
      <c r="H58" s="217" t="n">
        <f aca="false">H54+H56</f>
        <v>208683.4476</v>
      </c>
      <c r="I58" s="217" t="n">
        <f aca="false">I54+I56</f>
        <v>221840.741052</v>
      </c>
      <c r="J58" s="217" t="n">
        <f aca="false">J54+J56</f>
        <v>236122.94835639</v>
      </c>
      <c r="K58" s="217" t="n">
        <f aca="false">K54+K56</f>
        <v>251640.175897381</v>
      </c>
    </row>
    <row r="59" customFormat="false" ht="14.25" hidden="false" customHeight="false" outlineLevel="0" collapsed="false">
      <c r="A59" s="212" t="s">
        <v>314</v>
      </c>
      <c r="B59" s="213" t="n">
        <f aca="false">B58/B14</f>
        <v>0.417793596251678</v>
      </c>
      <c r="C59" s="213" t="n">
        <f aca="false">C58/C14</f>
        <v>0.433096305613601</v>
      </c>
      <c r="D59" s="213" t="n">
        <f aca="false">D58/D14</f>
        <v>0.441311295772076</v>
      </c>
      <c r="E59" s="213" t="n">
        <f aca="false">E58/E14</f>
        <v>0.462063498152339</v>
      </c>
      <c r="F59" s="213" t="n">
        <f aca="false">F58/F14</f>
        <v>0.469051641071605</v>
      </c>
      <c r="G59" s="213" t="n">
        <f aca="false">G58/G14</f>
        <v>0.481586855505162</v>
      </c>
      <c r="H59" s="214" t="n">
        <f aca="false">H58/H14</f>
        <v>0.477678867900558</v>
      </c>
      <c r="I59" s="214" t="n">
        <f aca="false">I58/I14</f>
        <v>0.483228572171775</v>
      </c>
      <c r="J59" s="214" t="n">
        <f aca="false">J58/J14</f>
        <v>0.488938714368391</v>
      </c>
      <c r="K59" s="214" t="n">
        <f aca="false">K58/K14</f>
        <v>0.494801696472473</v>
      </c>
    </row>
    <row r="61" customFormat="false" ht="14.25" hidden="false" customHeight="false" outlineLevel="0" collapsed="false">
      <c r="A61" s="212" t="s">
        <v>315</v>
      </c>
    </row>
    <row r="64" customFormat="false" ht="14.25" hidden="false" customHeight="false" outlineLevel="0" collapsed="false">
      <c r="A64" s="208" t="s">
        <v>316</v>
      </c>
      <c r="B64" s="1"/>
      <c r="C64" s="1"/>
      <c r="D64" s="1"/>
      <c r="E64" s="1"/>
      <c r="F64" s="1"/>
      <c r="G64" s="1"/>
      <c r="H64" s="1"/>
      <c r="I64" s="1"/>
      <c r="J64" s="1"/>
      <c r="K64" s="1"/>
      <c r="M64" s="218" t="s">
        <v>317</v>
      </c>
    </row>
    <row r="65" customFormat="false" ht="14.25" hidden="false" customHeight="false" outlineLevel="0" collapsed="false">
      <c r="B65" s="203"/>
      <c r="C65" s="203"/>
      <c r="D65" s="203"/>
      <c r="E65" s="203"/>
      <c r="F65" s="203"/>
      <c r="G65" s="203"/>
      <c r="H65" s="204"/>
      <c r="I65" s="204"/>
      <c r="J65" s="204"/>
      <c r="K65" s="204"/>
    </row>
    <row r="66" customFormat="false" ht="14.25" hidden="false" customHeight="false" outlineLevel="0" collapsed="false">
      <c r="A66" s="209" t="s">
        <v>78</v>
      </c>
      <c r="B66" s="176" t="n">
        <v>153306</v>
      </c>
      <c r="C66" s="176" t="n">
        <v>169658</v>
      </c>
      <c r="D66" s="176" t="n">
        <v>162560</v>
      </c>
      <c r="E66" s="176" t="n">
        <v>167045</v>
      </c>
      <c r="F66" s="176" t="n">
        <v>178353</v>
      </c>
      <c r="G66" s="176" t="n">
        <v>58529</v>
      </c>
      <c r="H66" s="211" t="n">
        <f aca="false">$F66*(1+$M66)*IS!H$14/($F66*(1+$M66)+$F67*(1+$M67)+$F68*(1+$M68)+$F69*(1+$M69)+$F70*(1+$M70))</f>
        <v>187912.113576454</v>
      </c>
      <c r="I66" s="211" t="n">
        <f aca="false">H66*(1+$M66)*IS!I$14/(H66*(1+$M66)+H67*(1+$M67)+H68*(1+$M68)+H69*(1+$M69)+H70*(1+$M70))</f>
        <v>198053.158644659</v>
      </c>
      <c r="J66" s="211" t="n">
        <f aca="false">I66*(1+$M66)*IS!J$14/(I66*(1+$M66)+I67*(1+$M67)+I68*(1+$M68)+I69*(1+$M69)+I70*(1+$M70))</f>
        <v>208827.047827621</v>
      </c>
      <c r="K66" s="211" t="n">
        <f aca="false">J66*(1+$M66)*IS!K$14/(J66*(1+$M66)+J67*(1+$M67)+J68*(1+$M68)+J69*(1+$M69)+J70*(1+$M70))</f>
        <v>220289.669566892</v>
      </c>
      <c r="L66" s="219"/>
      <c r="M66" s="167" t="n">
        <v>0.045</v>
      </c>
    </row>
    <row r="67" customFormat="false" ht="14.25" hidden="false" customHeight="false" outlineLevel="0" collapsed="false">
      <c r="A67" s="209" t="s">
        <v>79</v>
      </c>
      <c r="B67" s="176" t="n">
        <v>89307</v>
      </c>
      <c r="C67" s="176" t="n">
        <v>95118</v>
      </c>
      <c r="D67" s="176" t="n">
        <v>94294</v>
      </c>
      <c r="E67" s="176" t="n">
        <v>101328</v>
      </c>
      <c r="F67" s="176" t="n">
        <v>111032</v>
      </c>
      <c r="G67" s="176" t="n">
        <v>38146</v>
      </c>
      <c r="H67" s="211" t="n">
        <f aca="false">$F67*(1+$M67)*IS!H$14/($F66*(1+$M66)+$F67*(1+$M67)+$F68*(1+$M68)+$F69*(1+$M69)+$F70*(1+$M70))</f>
        <v>118662.118095073</v>
      </c>
      <c r="I67" s="211" t="n">
        <f aca="false">H67*(1+$M67)*IS!I$14/(H66*(1+$M66)+H67*(1+$M67)+H68*(1+$M68)+H69*(1+$M69)+H70*(1+$M70))</f>
        <v>126861.15663927</v>
      </c>
      <c r="J67" s="211" t="n">
        <f aca="false">I67*(1+$M67)*IS!J$14/(I66*(1+$M66)+I67*(1+$M67)+I68*(1+$M68)+I69*(1+$M69)+I70*(1+$M70))</f>
        <v>135682.306394203</v>
      </c>
      <c r="K67" s="211" t="n">
        <f aca="false">J67*(1+$M67)*IS!K$14/(J66*(1+$M66)+J67*(1+$M67)+J68*(1+$M68)+J69*(1+$M69)+J70*(1+$M70))</f>
        <v>145184.473738864</v>
      </c>
      <c r="L67" s="219"/>
      <c r="M67" s="167" t="n">
        <v>0.06</v>
      </c>
    </row>
    <row r="68" customFormat="false" ht="14.25" hidden="false" customHeight="false" outlineLevel="0" collapsed="false">
      <c r="A68" s="209" t="s">
        <v>80</v>
      </c>
      <c r="B68" s="176" t="n">
        <v>68366</v>
      </c>
      <c r="C68" s="176" t="n">
        <v>74200</v>
      </c>
      <c r="D68" s="176" t="n">
        <v>72559</v>
      </c>
      <c r="E68" s="176" t="n">
        <v>66952</v>
      </c>
      <c r="F68" s="176" t="n">
        <v>64377</v>
      </c>
      <c r="G68" s="176" t="n">
        <v>25526</v>
      </c>
      <c r="H68" s="211" t="n">
        <f aca="false">$F68*(1+$M68)*IS!H$14/($F66*(1+$M66)+$F67*(1+$M67)+$F68*(1+$M68)+$F69*(1+$M69)+$F70*(1+$M70))</f>
        <v>63608.4595795128</v>
      </c>
      <c r="I68" s="211" t="n">
        <f aca="false">H68*(1+$M68)*IS!I$14/(H66*(1+$M66)+H67*(1+$M67)+H68*(1+$M68)+H69*(1+$M69)+H70*(1+$M70))</f>
        <v>62871.1869176948</v>
      </c>
      <c r="J68" s="211" t="n">
        <f aca="false">I68*(1+$M68)*IS!J$14/(I66*(1+$M66)+I67*(1+$M67)+I68*(1+$M68)+I69*(1+$M69)+I70*(1+$M70))</f>
        <v>62167.9319170407</v>
      </c>
      <c r="K68" s="211" t="n">
        <f aca="false">J68*(1+$M68)*IS!K$14/(J66*(1+$M66)+J67*(1+$M67)+J68*(1+$M68)+J69*(1+$M69)+J70*(1+$M70))</f>
        <v>61501.1997740356</v>
      </c>
      <c r="L68" s="219"/>
      <c r="M68" s="167" t="n">
        <v>-0.02</v>
      </c>
    </row>
    <row r="69" customFormat="false" ht="14.25" hidden="false" customHeight="false" outlineLevel="0" collapsed="false">
      <c r="A69" s="209" t="s">
        <v>82</v>
      </c>
      <c r="B69" s="176" t="n">
        <v>28482</v>
      </c>
      <c r="C69" s="176" t="n">
        <v>25977</v>
      </c>
      <c r="D69" s="176" t="n">
        <v>24257</v>
      </c>
      <c r="E69" s="176" t="n">
        <v>25052</v>
      </c>
      <c r="F69" s="176" t="n">
        <v>28703</v>
      </c>
      <c r="G69" s="176" t="n">
        <v>9413</v>
      </c>
      <c r="H69" s="211" t="n">
        <f aca="false">$F69*(1+$M69)*IS!H$14/($F66*(1+$M66)+$F67*(1+$M67)+$F68*(1+$M68)+$F69*(1+$M69)+$F70*(1+$M70))</f>
        <v>30675.469915726</v>
      </c>
      <c r="I69" s="211" t="n">
        <f aca="false">H69*(1+$M69)*IS!I$14/(H66*(1+$M66)+H67*(1+$M67)+H68*(1+$M68)+H69*(1+$M69)+H70*(1+$M70))</f>
        <v>32795.0120597391</v>
      </c>
      <c r="J69" s="211" t="n">
        <f aca="false">I69*(1+$M69)*IS!J$14/(I66*(1+$M66)+I67*(1+$M67)+I68*(1+$M68)+I69*(1+$M69)+I70*(1+$M70))</f>
        <v>35075.3768321997</v>
      </c>
      <c r="K69" s="211" t="n">
        <f aca="false">J69*(1+$M69)*IS!K$14/(J66*(1+$M66)+J67*(1+$M67)+J68*(1+$M68)+J69*(1+$M69)+J70*(1+$M70))</f>
        <v>37531.7921835741</v>
      </c>
      <c r="L69" s="219"/>
      <c r="M69" s="167" t="n">
        <v>0.06</v>
      </c>
    </row>
    <row r="70" customFormat="false" ht="14.25" hidden="false" customHeight="false" outlineLevel="0" collapsed="false">
      <c r="A70" s="209" t="s">
        <v>318</v>
      </c>
      <c r="B70" s="176" t="n">
        <v>26356</v>
      </c>
      <c r="C70" s="176" t="n">
        <v>29375</v>
      </c>
      <c r="D70" s="176" t="n">
        <v>29615</v>
      </c>
      <c r="E70" s="176" t="n">
        <v>30658</v>
      </c>
      <c r="F70" s="176" t="n">
        <v>33696</v>
      </c>
      <c r="G70" s="176" t="n">
        <v>12142</v>
      </c>
      <c r="H70" s="211" t="n">
        <f aca="false">$F70*(1+$M70)*IS!H$14/($F66*(1+$M66)+$F67*(1+$M67)+$F68*(1+$M68)+$F69*(1+$M69)+$F70*(1+$M70))</f>
        <v>36011.5888332336</v>
      </c>
      <c r="I70" s="211" t="n">
        <f aca="false">H70*(1+$M70)*IS!I$14/(H66*(1+$M66)+H67*(1+$M67)+H68*(1+$M68)+H69*(1+$M69)+H70*(1+$M70))</f>
        <v>38499.8336886378</v>
      </c>
      <c r="J70" s="211" t="n">
        <f aca="false">I70*(1+$M70)*IS!J$14/(I66*(1+$M66)+I67*(1+$M67)+I68*(1+$M68)+I69*(1+$M69)+I70*(1+$M70))</f>
        <v>41176.8769026862</v>
      </c>
      <c r="K70" s="211" t="n">
        <f aca="false">J70*(1+$M70)*IS!K$14/(J66*(1+$M66)+J67*(1+$M67)+J68*(1+$M68)+J69*(1+$M69)+J70*(1+$M70))</f>
        <v>44060.5953878589</v>
      </c>
      <c r="L70" s="219"/>
      <c r="M70" s="167" t="n">
        <v>0.06</v>
      </c>
    </row>
    <row r="71" customFormat="false" ht="14.25" hidden="false" customHeight="false" outlineLevel="0" collapsed="false">
      <c r="A71" s="215" t="s">
        <v>279</v>
      </c>
      <c r="B71" s="216" t="n">
        <f aca="false">SUM(B66:B70)</f>
        <v>365817</v>
      </c>
      <c r="C71" s="216" t="n">
        <f aca="false">SUM(C66:C70)</f>
        <v>394328</v>
      </c>
      <c r="D71" s="216" t="n">
        <f aca="false">SUM(D66:D70)</f>
        <v>383285</v>
      </c>
      <c r="E71" s="216" t="n">
        <f aca="false">SUM(E66:E70)</f>
        <v>391035</v>
      </c>
      <c r="F71" s="216" t="n">
        <f aca="false">SUM(F66:F70)</f>
        <v>416161</v>
      </c>
      <c r="G71" s="216" t="n">
        <f aca="false">SUM(G66:G70)</f>
        <v>143756</v>
      </c>
      <c r="H71" s="217" t="n">
        <f aca="false">SUM(H66:H70)</f>
        <v>436869.75</v>
      </c>
      <c r="I71" s="217" t="n">
        <f aca="false">SUM(I66:I70)</f>
        <v>459080.34795</v>
      </c>
      <c r="J71" s="217" t="n">
        <f aca="false">SUM(J66:J70)</f>
        <v>482929.53987375</v>
      </c>
      <c r="K71" s="217" t="n">
        <f aca="false">SUM(K66:K70)</f>
        <v>508567.730651224</v>
      </c>
      <c r="L71" s="219"/>
    </row>
    <row r="72" customFormat="false" ht="14.25" hidden="false" customHeight="false" outlineLevel="0" collapsed="false">
      <c r="A72" s="220" t="s">
        <v>319</v>
      </c>
      <c r="B72" s="221" t="n">
        <f aca="false">B71-B14</f>
        <v>0</v>
      </c>
      <c r="C72" s="221" t="n">
        <f aca="false">C71-C14</f>
        <v>0</v>
      </c>
      <c r="D72" s="221" t="n">
        <f aca="false">D71-D14</f>
        <v>0</v>
      </c>
      <c r="E72" s="221" t="n">
        <f aca="false">E71-E14</f>
        <v>0</v>
      </c>
      <c r="F72" s="221" t="n">
        <f aca="false">F71-F14</f>
        <v>0</v>
      </c>
      <c r="G72" s="221" t="n">
        <f aca="false">G71-G14</f>
        <v>0</v>
      </c>
      <c r="H72" s="222" t="n">
        <f aca="false">H71-H14</f>
        <v>0</v>
      </c>
      <c r="I72" s="222" t="n">
        <f aca="false">I71-I14</f>
        <v>0</v>
      </c>
      <c r="J72" s="222" t="n">
        <f aca="false">J71-J14</f>
        <v>0</v>
      </c>
      <c r="K72" s="223" t="n">
        <f aca="false">K71-K14</f>
        <v>0</v>
      </c>
      <c r="L72" s="224"/>
      <c r="M72" s="205"/>
    </row>
    <row r="73" customFormat="false" ht="14.25" hidden="false" customHeight="false" outlineLevel="0" collapsed="false">
      <c r="A73" s="205"/>
      <c r="B73" s="206"/>
      <c r="C73" s="206"/>
      <c r="D73" s="206"/>
      <c r="E73" s="206"/>
      <c r="F73" s="206"/>
      <c r="G73" s="206"/>
      <c r="H73" s="207"/>
      <c r="I73" s="207"/>
      <c r="J73" s="207"/>
      <c r="K73" s="207"/>
      <c r="L73" s="205"/>
      <c r="M73" s="205"/>
    </row>
    <row r="74" customFormat="false" ht="14.25" hidden="false" customHeight="false" outlineLevel="0" collapsed="false">
      <c r="A74" s="220" t="s">
        <v>320</v>
      </c>
      <c r="B74" s="206"/>
      <c r="C74" s="206"/>
      <c r="D74" s="206"/>
      <c r="E74" s="206"/>
      <c r="F74" s="206"/>
      <c r="G74" s="206"/>
      <c r="H74" s="207"/>
      <c r="I74" s="207"/>
      <c r="J74" s="207"/>
      <c r="K74" s="207"/>
      <c r="L74" s="205"/>
      <c r="M74" s="205"/>
    </row>
    <row r="75" customFormat="false" ht="14.25" hidden="false" customHeight="false" outlineLevel="0" collapsed="false">
      <c r="A75" s="225" t="s">
        <v>321</v>
      </c>
      <c r="B75" s="226" t="n">
        <f aca="false">B66/B71</f>
        <v>0.419078391654844</v>
      </c>
      <c r="C75" s="226" t="n">
        <f aca="false">C66/C71</f>
        <v>0.430245886673024</v>
      </c>
      <c r="D75" s="226" t="n">
        <f aca="false">D66/D71</f>
        <v>0.424123041600898</v>
      </c>
      <c r="E75" s="226" t="n">
        <f aca="false">E66/E71</f>
        <v>0.427186824708786</v>
      </c>
      <c r="F75" s="226" t="n">
        <f aca="false">F66/F71</f>
        <v>0.42856730928655</v>
      </c>
      <c r="G75" s="226" t="n">
        <f aca="false">G66/G71</f>
        <v>0.40714126714711</v>
      </c>
      <c r="H75" s="227" t="n">
        <f aca="false">H66/H71</f>
        <v>0.430133039828128</v>
      </c>
      <c r="I75" s="227" t="n">
        <f aca="false">I66/I71</f>
        <v>0.431412844241874</v>
      </c>
      <c r="J75" s="227" t="n">
        <f aca="false">J66/J71</f>
        <v>0.43241721738996</v>
      </c>
      <c r="K75" s="227" t="n">
        <f aca="false">K66/K71</f>
        <v>0.433156994221418</v>
      </c>
      <c r="L75" s="205"/>
      <c r="M75" s="205"/>
    </row>
    <row r="76" customFormat="false" ht="14.25" hidden="false" customHeight="false" outlineLevel="0" collapsed="false">
      <c r="A76" s="225" t="s">
        <v>322</v>
      </c>
      <c r="B76" s="226" t="n">
        <f aca="false">B67/B71</f>
        <v>0.244130261852238</v>
      </c>
      <c r="C76" s="226" t="n">
        <f aca="false">C67/C71</f>
        <v>0.241215434866406</v>
      </c>
      <c r="D76" s="226" t="n">
        <f aca="false">D67/D71</f>
        <v>0.246015367154989</v>
      </c>
      <c r="E76" s="226" t="n">
        <f aca="false">E67/E71</f>
        <v>0.259127699566535</v>
      </c>
      <c r="F76" s="226" t="n">
        <f aca="false">F67/F71</f>
        <v>0.266800589195047</v>
      </c>
      <c r="G76" s="226" t="n">
        <f aca="false">G67/G71</f>
        <v>0.265352402682323</v>
      </c>
      <c r="H76" s="227" t="n">
        <f aca="false">H67/H71</f>
        <v>0.271618985052349</v>
      </c>
      <c r="I76" s="227" t="n">
        <f aca="false">I67/I71</f>
        <v>0.276337589282054</v>
      </c>
      <c r="J76" s="227" t="n">
        <f aca="false">J67/J71</f>
        <v>0.280956734246726</v>
      </c>
      <c r="K76" s="227" t="n">
        <f aca="false">K67/K71</f>
        <v>0.28547716457148</v>
      </c>
      <c r="L76" s="205"/>
      <c r="M76" s="205"/>
    </row>
    <row r="77" customFormat="false" ht="14.25" hidden="false" customHeight="false" outlineLevel="0" collapsed="false">
      <c r="A77" s="225" t="s">
        <v>323</v>
      </c>
      <c r="B77" s="226" t="n">
        <f aca="false">B68/B71</f>
        <v>0.186885792623088</v>
      </c>
      <c r="C77" s="226" t="n">
        <f aca="false">C68/C71</f>
        <v>0.188168225436692</v>
      </c>
      <c r="D77" s="226" t="n">
        <f aca="false">D68/D71</f>
        <v>0.189308217123029</v>
      </c>
      <c r="E77" s="226" t="n">
        <f aca="false">E68/E71</f>
        <v>0.171217410206248</v>
      </c>
      <c r="F77" s="226" t="n">
        <f aca="false">F68/F71</f>
        <v>0.154692534860306</v>
      </c>
      <c r="G77" s="226" t="n">
        <f aca="false">G68/G71</f>
        <v>0.17756476251426</v>
      </c>
      <c r="H77" s="227" t="n">
        <f aca="false">H68/H71</f>
        <v>0.145600512691741</v>
      </c>
      <c r="I77" s="227" t="n">
        <f aca="false">I68/I71</f>
        <v>0.136950290288929</v>
      </c>
      <c r="J77" s="227" t="n">
        <f aca="false">J68/J71</f>
        <v>0.12873085364232</v>
      </c>
      <c r="K77" s="227" t="n">
        <f aca="false">K68/K71</f>
        <v>0.120930204705051</v>
      </c>
      <c r="L77" s="205"/>
      <c r="M77" s="205"/>
    </row>
    <row r="78" customFormat="false" ht="14.25" hidden="false" customHeight="false" outlineLevel="0" collapsed="false">
      <c r="A78" s="225" t="s">
        <v>324</v>
      </c>
      <c r="B78" s="226" t="n">
        <f aca="false">B69/B71</f>
        <v>0.0778586014318635</v>
      </c>
      <c r="C78" s="226" t="n">
        <f aca="false">C69/C71</f>
        <v>0.0658766306222231</v>
      </c>
      <c r="D78" s="226" t="n">
        <f aca="false">D69/D71</f>
        <v>0.0632871101138839</v>
      </c>
      <c r="E78" s="226" t="n">
        <f aca="false">E69/E71</f>
        <v>0.0640658764560717</v>
      </c>
      <c r="F78" s="226" t="n">
        <f aca="false">F69/F71</f>
        <v>0.0689709030879876</v>
      </c>
      <c r="G78" s="226" t="n">
        <f aca="false">G69/G71</f>
        <v>0.0654790060936587</v>
      </c>
      <c r="H78" s="227" t="n">
        <f aca="false">H69/H71</f>
        <v>0.0702165117079542</v>
      </c>
      <c r="I78" s="227" t="n">
        <f aca="false">I69/I71</f>
        <v>0.0714363230885042</v>
      </c>
      <c r="J78" s="227" t="n">
        <f aca="false">J69/J71</f>
        <v>0.072630423149036</v>
      </c>
      <c r="K78" s="227" t="n">
        <f aca="false">K69/K71</f>
        <v>0.0737990043833777</v>
      </c>
      <c r="L78" s="205"/>
      <c r="M78" s="205"/>
    </row>
    <row r="79" customFormat="false" ht="14.25" hidden="false" customHeight="false" outlineLevel="0" collapsed="false">
      <c r="A79" s="225" t="s">
        <v>325</v>
      </c>
      <c r="B79" s="226" t="n">
        <f aca="false">B70/B71</f>
        <v>0.0720469524379676</v>
      </c>
      <c r="C79" s="226" t="n">
        <f aca="false">C70/C71</f>
        <v>0.0744938224016555</v>
      </c>
      <c r="D79" s="226" t="n">
        <f aca="false">D70/D71</f>
        <v>0.0772662640072009</v>
      </c>
      <c r="E79" s="226" t="n">
        <f aca="false">E70/E71</f>
        <v>0.0784021890623601</v>
      </c>
      <c r="F79" s="226" t="n">
        <f aca="false">F70/F71</f>
        <v>0.0809686635701087</v>
      </c>
      <c r="G79" s="226" t="n">
        <f aca="false">G70/G71</f>
        <v>0.0844625615626478</v>
      </c>
      <c r="H79" s="227" t="n">
        <f aca="false">H70/H71</f>
        <v>0.0824309507198281</v>
      </c>
      <c r="I79" s="227" t="n">
        <f aca="false">I70/I71</f>
        <v>0.0838629530986391</v>
      </c>
      <c r="J79" s="227" t="n">
        <f aca="false">J70/J71</f>
        <v>0.0852647715719582</v>
      </c>
      <c r="K79" s="227" t="n">
        <f aca="false">K70/K71</f>
        <v>0.0866366321186738</v>
      </c>
      <c r="L79" s="205"/>
      <c r="M79" s="205"/>
    </row>
    <row r="80" customFormat="false" ht="14.25" hidden="false" customHeight="false" outlineLevel="0" collapsed="false">
      <c r="A80" s="205"/>
      <c r="B80" s="206"/>
      <c r="C80" s="206"/>
      <c r="D80" s="206"/>
      <c r="E80" s="206"/>
      <c r="F80" s="206"/>
      <c r="G80" s="206"/>
      <c r="H80" s="207"/>
      <c r="I80" s="207"/>
      <c r="J80" s="207"/>
      <c r="K80" s="207"/>
      <c r="L80" s="205"/>
      <c r="M80" s="205"/>
    </row>
    <row r="81" customFormat="false" ht="14.25" hidden="false" customHeight="false" outlineLevel="0" collapsed="false">
      <c r="A81" s="220" t="s">
        <v>326</v>
      </c>
      <c r="B81" s="206"/>
      <c r="C81" s="206"/>
      <c r="D81" s="206"/>
      <c r="E81" s="206"/>
      <c r="F81" s="206"/>
      <c r="G81" s="206"/>
      <c r="H81" s="207"/>
      <c r="I81" s="207"/>
      <c r="J81" s="207"/>
      <c r="K81" s="207"/>
      <c r="L81" s="205"/>
      <c r="M81" s="205"/>
    </row>
    <row r="82" customFormat="false" ht="14.25" hidden="false" customHeight="false" outlineLevel="0" collapsed="false">
      <c r="A82" s="225" t="s">
        <v>321</v>
      </c>
      <c r="B82" s="206"/>
      <c r="C82" s="228" t="n">
        <f aca="false">C66/B66-1</f>
        <v>0.106662492009445</v>
      </c>
      <c r="D82" s="228" t="n">
        <f aca="false">D66/C66-1</f>
        <v>-0.0418371075929223</v>
      </c>
      <c r="E82" s="228" t="n">
        <f aca="false">E66/D66-1</f>
        <v>0.0275898129921259</v>
      </c>
      <c r="F82" s="228" t="n">
        <f aca="false">F66/E66-1</f>
        <v>0.067694333862133</v>
      </c>
      <c r="G82" s="228"/>
      <c r="H82" s="229" t="n">
        <f aca="false">H66/F66-1</f>
        <v>0.0535965953836164</v>
      </c>
      <c r="I82" s="229" t="n">
        <f aca="false">I66/H66-1</f>
        <v>0.0539669576122275</v>
      </c>
      <c r="J82" s="229" t="n">
        <f aca="false">J66/I66-1</f>
        <v>0.0543989768034565</v>
      </c>
      <c r="K82" s="229" t="n">
        <f aca="false">K66/J66-1</f>
        <v>0.0548905032107379</v>
      </c>
      <c r="L82" s="205"/>
      <c r="M82" s="205"/>
    </row>
    <row r="83" customFormat="false" ht="14.25" hidden="false" customHeight="false" outlineLevel="0" collapsed="false">
      <c r="A83" s="225" t="s">
        <v>322</v>
      </c>
      <c r="B83" s="206"/>
      <c r="C83" s="228" t="n">
        <f aca="false">C67/B67-1</f>
        <v>0.0650676878632135</v>
      </c>
      <c r="D83" s="228" t="n">
        <f aca="false">D67/C67-1</f>
        <v>-0.00866292394709733</v>
      </c>
      <c r="E83" s="228" t="n">
        <f aca="false">E67/D67-1</f>
        <v>0.0745964748552399</v>
      </c>
      <c r="F83" s="228" t="n">
        <f aca="false">F67/E67-1</f>
        <v>0.0957681983262277</v>
      </c>
      <c r="G83" s="228"/>
      <c r="H83" s="229" t="n">
        <f aca="false">H67/F67-1</f>
        <v>0.0687199914896015</v>
      </c>
      <c r="I83" s="229" t="n">
        <f aca="false">I67/H67-1</f>
        <v>0.0690956699224512</v>
      </c>
      <c r="J83" s="229" t="n">
        <f aca="false">J67/I67-1</f>
        <v>0.0695338903460898</v>
      </c>
      <c r="K83" s="229" t="n">
        <f aca="false">K67/J67-1</f>
        <v>0.0700324721563466</v>
      </c>
      <c r="L83" s="205"/>
      <c r="M83" s="205"/>
    </row>
    <row r="84" customFormat="false" ht="14.25" hidden="false" customHeight="false" outlineLevel="0" collapsed="false">
      <c r="A84" s="225" t="s">
        <v>323</v>
      </c>
      <c r="B84" s="206"/>
      <c r="C84" s="228" t="n">
        <f aca="false">C68/B68-1</f>
        <v>0.0853348155515901</v>
      </c>
      <c r="D84" s="228" t="n">
        <f aca="false">D68/C68-1</f>
        <v>-0.0221159029649596</v>
      </c>
      <c r="E84" s="228" t="n">
        <f aca="false">E68/D68-1</f>
        <v>-0.0772750451356827</v>
      </c>
      <c r="F84" s="228" t="n">
        <f aca="false">F68/E68-1</f>
        <v>-0.0384603895327996</v>
      </c>
      <c r="G84" s="228"/>
      <c r="H84" s="229" t="n">
        <f aca="false">H68/F68-1</f>
        <v>-0.0119381210756516</v>
      </c>
      <c r="I84" s="229" t="n">
        <f aca="false">I68/H68-1</f>
        <v>-0.0115907957320736</v>
      </c>
      <c r="J84" s="229" t="n">
        <f aca="false">J68/I68-1</f>
        <v>-0.0111856485479548</v>
      </c>
      <c r="K84" s="229" t="n">
        <f aca="false">K68/J68-1</f>
        <v>-0.0107246955535665</v>
      </c>
      <c r="L84" s="205"/>
      <c r="M84" s="205"/>
    </row>
    <row r="85" customFormat="false" ht="14.25" hidden="false" customHeight="false" outlineLevel="0" collapsed="false">
      <c r="A85" s="225" t="s">
        <v>324</v>
      </c>
      <c r="B85" s="206"/>
      <c r="C85" s="228" t="n">
        <f aca="false">C69/B69-1</f>
        <v>-0.0879502843901412</v>
      </c>
      <c r="D85" s="228" t="n">
        <f aca="false">D69/C69-1</f>
        <v>-0.0662124186780614</v>
      </c>
      <c r="E85" s="228" t="n">
        <f aca="false">E69/D69-1</f>
        <v>0.0327740446056808</v>
      </c>
      <c r="F85" s="228" t="n">
        <f aca="false">F69/E69-1</f>
        <v>0.145736867315983</v>
      </c>
      <c r="G85" s="228"/>
      <c r="H85" s="229" t="n">
        <f aca="false">H69/F69-1</f>
        <v>0.0687199914896015</v>
      </c>
      <c r="I85" s="229" t="n">
        <f aca="false">I69/H69-1</f>
        <v>0.0690956699224512</v>
      </c>
      <c r="J85" s="229" t="n">
        <f aca="false">J69/I69-1</f>
        <v>0.06953389034609</v>
      </c>
      <c r="K85" s="229" t="n">
        <f aca="false">K69/J69-1</f>
        <v>0.0700324721563466</v>
      </c>
      <c r="L85" s="205"/>
      <c r="M85" s="205"/>
    </row>
    <row r="86" customFormat="false" ht="14.25" hidden="false" customHeight="false" outlineLevel="0" collapsed="false">
      <c r="A86" s="225" t="s">
        <v>325</v>
      </c>
      <c r="B86" s="206"/>
      <c r="C86" s="228" t="n">
        <f aca="false">C70/B70-1</f>
        <v>0.114546972226438</v>
      </c>
      <c r="D86" s="228" t="n">
        <f aca="false">D70/C70-1</f>
        <v>0.00817021276595753</v>
      </c>
      <c r="E86" s="228" t="n">
        <f aca="false">E70/D70-1</f>
        <v>0.0352186392031066</v>
      </c>
      <c r="F86" s="228" t="n">
        <f aca="false">F70/E70-1</f>
        <v>0.0990932219975211</v>
      </c>
      <c r="G86" s="228"/>
      <c r="H86" s="229" t="n">
        <f aca="false">H70/F70-1</f>
        <v>0.0687199914896015</v>
      </c>
      <c r="I86" s="229" t="n">
        <f aca="false">I70/H70-1</f>
        <v>0.0690956699224512</v>
      </c>
      <c r="J86" s="229" t="n">
        <f aca="false">J70/I70-1</f>
        <v>0.06953389034609</v>
      </c>
      <c r="K86" s="229" t="n">
        <f aca="false">K70/J70-1</f>
        <v>0.0700324721563468</v>
      </c>
      <c r="L86" s="205"/>
      <c r="M86" s="205"/>
    </row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7">
    <mergeCell ref="A1:K1"/>
    <mergeCell ref="A2:K2"/>
    <mergeCell ref="A7:K7"/>
    <mergeCell ref="A18:K18"/>
    <mergeCell ref="A25:K25"/>
    <mergeCell ref="A34:K34"/>
    <mergeCell ref="A42:K42"/>
  </mergeCells>
  <conditionalFormatting sqref="C82:K86">
    <cfRule type="cellIs" priority="2" operator="greater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25" right="0.25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E3"/>
    <pageSetUpPr fitToPage="true"/>
  </sheetPr>
  <dimension ref="B1:K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11" min="3" style="121" width="13"/>
  </cols>
  <sheetData>
    <row r="1" customFormat="false" ht="19.7" hidden="false" customHeight="false" outlineLevel="0" collapsed="false">
      <c r="B1" s="230" t="s">
        <v>327</v>
      </c>
      <c r="C1" s="230"/>
      <c r="D1" s="230"/>
      <c r="E1" s="230"/>
      <c r="F1" s="230"/>
      <c r="G1" s="230"/>
      <c r="H1" s="230"/>
      <c r="I1" s="230"/>
      <c r="J1" s="230"/>
      <c r="K1" s="230"/>
    </row>
    <row r="2" customFormat="false" ht="7.5" hidden="false" customHeight="true" outlineLevel="0" collapsed="false"/>
    <row r="3" customFormat="false" ht="14.25" hidden="false" customHeight="false" outlineLevel="0" collapsed="false">
      <c r="B3" s="231" t="s">
        <v>328</v>
      </c>
      <c r="C3" s="232" t="s">
        <v>113</v>
      </c>
      <c r="D3" s="232" t="s">
        <v>114</v>
      </c>
      <c r="E3" s="232" t="s">
        <v>89</v>
      </c>
      <c r="F3" s="232" t="s">
        <v>90</v>
      </c>
      <c r="G3" s="232" t="s">
        <v>91</v>
      </c>
      <c r="H3" s="232" t="s">
        <v>92</v>
      </c>
      <c r="I3" s="232" t="s">
        <v>93</v>
      </c>
      <c r="J3" s="232" t="s">
        <v>94</v>
      </c>
      <c r="K3" s="232" t="s">
        <v>95</v>
      </c>
    </row>
    <row r="4" customFormat="false" ht="16.5" hidden="false" customHeight="true" outlineLevel="0" collapsed="false">
      <c r="B4" s="109" t="s">
        <v>329</v>
      </c>
      <c r="C4" s="109"/>
      <c r="D4" s="109"/>
      <c r="E4" s="109"/>
      <c r="F4" s="109"/>
      <c r="G4" s="109"/>
      <c r="H4" s="109"/>
      <c r="I4" s="109"/>
      <c r="J4" s="109"/>
      <c r="K4" s="109"/>
    </row>
    <row r="5" customFormat="false" ht="16.5" hidden="false" customHeight="true" outlineLevel="0" collapsed="false">
      <c r="B5" s="110" t="s">
        <v>330</v>
      </c>
      <c r="C5" s="233" t="n">
        <v>34940</v>
      </c>
      <c r="D5" s="233" t="n">
        <v>23646</v>
      </c>
      <c r="E5" s="233" t="n">
        <v>29965</v>
      </c>
      <c r="F5" s="233" t="n">
        <v>29943</v>
      </c>
      <c r="G5" s="233" t="n">
        <v>35934</v>
      </c>
      <c r="H5" s="234" t="n">
        <f aca="false">CFS!G30</f>
        <v>23646</v>
      </c>
      <c r="I5" s="234" t="n">
        <f aca="false">CFS!H30</f>
        <v>23646</v>
      </c>
      <c r="J5" s="234" t="n">
        <f aca="false">CFS!I30</f>
        <v>23646</v>
      </c>
      <c r="K5" s="234" t="n">
        <f aca="false">CFS!J30</f>
        <v>31860.9867443267</v>
      </c>
    </row>
    <row r="6" customFormat="false" ht="14.25" hidden="false" customHeight="false" outlineLevel="0" collapsed="false">
      <c r="B6" s="235" t="s">
        <v>331</v>
      </c>
      <c r="C6" s="233" t="n">
        <v>27699</v>
      </c>
      <c r="D6" s="233" t="n">
        <v>24658</v>
      </c>
      <c r="E6" s="233" t="n">
        <v>31590</v>
      </c>
      <c r="F6" s="233" t="n">
        <v>35228</v>
      </c>
      <c r="G6" s="233" t="n">
        <v>18763</v>
      </c>
      <c r="H6" s="234" t="n">
        <f aca="false">G6*(1+Assumptions!$B$88)</f>
        <v>18763</v>
      </c>
      <c r="I6" s="234" t="n">
        <f aca="false">H6*(1+Assumptions!$B$88)</f>
        <v>18763</v>
      </c>
      <c r="J6" s="234" t="n">
        <f aca="false">I6*(1+Assumptions!$B$88)</f>
        <v>18763</v>
      </c>
      <c r="K6" s="234" t="n">
        <f aca="false">J6*(1+Assumptions!$B$88)</f>
        <v>18763</v>
      </c>
    </row>
    <row r="7" customFormat="false" ht="16.5" hidden="false" customHeight="true" outlineLevel="0" collapsed="false">
      <c r="B7" s="235" t="s">
        <v>332</v>
      </c>
      <c r="C7" s="233" t="n">
        <v>26278</v>
      </c>
      <c r="D7" s="233" t="n">
        <v>28184</v>
      </c>
      <c r="E7" s="233" t="n">
        <v>29508</v>
      </c>
      <c r="F7" s="233" t="n">
        <v>33410</v>
      </c>
      <c r="G7" s="233" t="n">
        <v>39777</v>
      </c>
      <c r="H7" s="234" t="n">
        <f aca="false">Assumptions!G28*IS!H14/365</f>
        <v>35907.102739726</v>
      </c>
      <c r="I7" s="234" t="n">
        <f aca="false">Assumptions!H28*IS!I14/365</f>
        <v>37732.6313383562</v>
      </c>
      <c r="J7" s="234" t="n">
        <f aca="false">Assumptions!I28*IS!J14/365</f>
        <v>39692.8388937329</v>
      </c>
      <c r="K7" s="234" t="n">
        <f aca="false">Assumptions!J28*IS!K14/365</f>
        <v>41800.0874507855</v>
      </c>
    </row>
    <row r="8" customFormat="false" ht="16.5" hidden="false" customHeight="true" outlineLevel="0" collapsed="false">
      <c r="B8" s="235" t="s">
        <v>333</v>
      </c>
      <c r="C8" s="233" t="n">
        <v>6580</v>
      </c>
      <c r="D8" s="233" t="n">
        <v>4946</v>
      </c>
      <c r="E8" s="233" t="n">
        <v>6331</v>
      </c>
      <c r="F8" s="233" t="n">
        <v>7286</v>
      </c>
      <c r="G8" s="233" t="n">
        <v>5718</v>
      </c>
      <c r="H8" s="234" t="n">
        <f aca="false">Assumptions!G29*IS!H21/365</f>
        <v>6251.67951780822</v>
      </c>
      <c r="I8" s="234" t="n">
        <f aca="false">Assumptions!H29*IS!I21/365</f>
        <v>6499.71525747945</v>
      </c>
      <c r="J8" s="234" t="n">
        <f aca="false">Assumptions!I29*IS!J21/365</f>
        <v>6761.82442513315</v>
      </c>
      <c r="K8" s="234" t="n">
        <f aca="false">Assumptions!J29*IS!K21/365</f>
        <v>7039.11108914638</v>
      </c>
    </row>
    <row r="9" customFormat="false" ht="16.5" hidden="false" customHeight="true" outlineLevel="0" collapsed="false">
      <c r="B9" s="235" t="s">
        <v>334</v>
      </c>
      <c r="C9" s="233" t="n">
        <v>25228</v>
      </c>
      <c r="D9" s="233" t="n">
        <v>32748</v>
      </c>
      <c r="E9" s="233" t="n">
        <v>31477</v>
      </c>
      <c r="F9" s="233" t="n">
        <v>32833</v>
      </c>
      <c r="G9" s="233" t="n">
        <v>33180</v>
      </c>
      <c r="H9" s="234" t="n">
        <f aca="false">Assumptions!G35*IS!H21</f>
        <v>30805.150824</v>
      </c>
      <c r="I9" s="234" t="n">
        <f aca="false">Assumptions!H35*IS!I21</f>
        <v>32027.34693123</v>
      </c>
      <c r="J9" s="234" t="n">
        <f aca="false">Assumptions!I35*IS!J21</f>
        <v>33318.8898548436</v>
      </c>
      <c r="K9" s="234" t="n">
        <f aca="false">Assumptions!J35*IS!K21</f>
        <v>34685.2198917688</v>
      </c>
    </row>
    <row r="10" customFormat="false" ht="16.5" hidden="false" customHeight="true" outlineLevel="0" collapsed="false">
      <c r="B10" s="110" t="s">
        <v>335</v>
      </c>
      <c r="C10" s="233" t="n">
        <v>14111</v>
      </c>
      <c r="D10" s="233" t="n">
        <v>21223</v>
      </c>
      <c r="E10" s="233" t="n">
        <v>14695</v>
      </c>
      <c r="F10" s="233" t="n">
        <v>14287</v>
      </c>
      <c r="G10" s="233" t="n">
        <v>14585</v>
      </c>
      <c r="H10" s="234" t="n">
        <f aca="false">Assumptions!$B$89*IS!H14</f>
        <v>15636.2026647385</v>
      </c>
      <c r="I10" s="234" t="n">
        <f aca="false">Assumptions!$B$89*IS!I14</f>
        <v>16431.1522140063</v>
      </c>
      <c r="J10" s="234" t="n">
        <f aca="false">Assumptions!$B$89*IS!J14</f>
        <v>17284.7494207481</v>
      </c>
      <c r="K10" s="234" t="n">
        <f aca="false">Assumptions!$B$89*IS!K14</f>
        <v>18202.3774939984</v>
      </c>
    </row>
    <row r="11" customFormat="false" ht="16.5" hidden="false" customHeight="true" outlineLevel="0" collapsed="false">
      <c r="B11" s="236" t="s">
        <v>336</v>
      </c>
      <c r="C11" s="237" t="n">
        <f aca="false">SUM(C5:C10)</f>
        <v>134836</v>
      </c>
      <c r="D11" s="237" t="n">
        <f aca="false">SUM(D5:D10)</f>
        <v>135405</v>
      </c>
      <c r="E11" s="237" t="n">
        <f aca="false">SUM(E5:E10)</f>
        <v>143566</v>
      </c>
      <c r="F11" s="237" t="n">
        <f aca="false">SUM(F5:F10)</f>
        <v>152987</v>
      </c>
      <c r="G11" s="237" t="n">
        <f aca="false">SUM(G5:G10)</f>
        <v>147957</v>
      </c>
      <c r="H11" s="238" t="n">
        <f aca="false">SUM(H5:H10)</f>
        <v>131009.135746273</v>
      </c>
      <c r="I11" s="238" t="n">
        <f aca="false">SUM(I5:I10)</f>
        <v>135099.845741072</v>
      </c>
      <c r="J11" s="238" t="n">
        <f aca="false">SUM(J5:J10)</f>
        <v>139467.302594458</v>
      </c>
      <c r="K11" s="238" t="n">
        <f aca="false">SUM(K5:K10)</f>
        <v>152350.782670026</v>
      </c>
    </row>
    <row r="12" customFormat="false" ht="16.5" hidden="false" customHeight="true" outlineLevel="0" collapsed="false">
      <c r="B12" s="239"/>
      <c r="C12" s="240"/>
      <c r="D12" s="240"/>
      <c r="E12" s="240"/>
      <c r="F12" s="240"/>
      <c r="G12" s="240"/>
      <c r="H12" s="241"/>
      <c r="I12" s="241"/>
      <c r="J12" s="241"/>
      <c r="K12" s="241"/>
    </row>
    <row r="13" customFormat="false" ht="16.5" hidden="false" customHeight="true" outlineLevel="0" collapsed="false">
      <c r="B13" s="109" t="s">
        <v>337</v>
      </c>
      <c r="C13" s="109"/>
      <c r="D13" s="109"/>
      <c r="E13" s="109"/>
      <c r="F13" s="109"/>
      <c r="G13" s="109"/>
      <c r="H13" s="109"/>
      <c r="I13" s="109"/>
      <c r="J13" s="109"/>
      <c r="K13" s="109"/>
    </row>
    <row r="14" customFormat="false" ht="16.5" hidden="false" customHeight="true" outlineLevel="0" collapsed="false">
      <c r="B14" s="110" t="s">
        <v>338</v>
      </c>
      <c r="C14" s="242" t="n">
        <v>39440</v>
      </c>
      <c r="D14" s="242" t="n">
        <v>42117</v>
      </c>
      <c r="E14" s="242" t="n">
        <v>43715</v>
      </c>
      <c r="F14" s="242" t="n">
        <v>45680</v>
      </c>
      <c r="G14" s="242" t="n">
        <v>49834</v>
      </c>
      <c r="H14" s="243" t="n">
        <f aca="false">G14+Assumptions!G37*IS!H14-Assumptions!G38</f>
        <v>49834</v>
      </c>
      <c r="I14" s="243" t="n">
        <f aca="false">H14+Assumptions!H37*IS!I14-Assumptions!H38</f>
        <v>49834</v>
      </c>
      <c r="J14" s="243" t="n">
        <f aca="false">I14+Assumptions!I37*IS!J14-Assumptions!I38</f>
        <v>49834</v>
      </c>
      <c r="K14" s="243" t="n">
        <f aca="false">J14+Assumptions!J37*IS!K14-Assumptions!J38</f>
        <v>49834</v>
      </c>
    </row>
    <row r="15" customFormat="false" ht="16.5" hidden="false" customHeight="true" outlineLevel="0" collapsed="false">
      <c r="B15" s="110" t="s">
        <v>339</v>
      </c>
      <c r="C15" s="233" t="n">
        <v>127877</v>
      </c>
      <c r="D15" s="233" t="n">
        <v>120805</v>
      </c>
      <c r="E15" s="233" t="n">
        <v>100544</v>
      </c>
      <c r="F15" s="233" t="n">
        <v>91479</v>
      </c>
      <c r="G15" s="233" t="n">
        <v>77723</v>
      </c>
      <c r="H15" s="211" t="n">
        <f aca="false">G15*(1+Assumptions!$B$88)-MAX(0,Assumptions!$B$96-(CFS!G7+CFS!G14+CFS!G19+CFS!G27))</f>
        <v>74014.7875492166</v>
      </c>
      <c r="I15" s="211" t="n">
        <f aca="false">H15*(1+Assumptions!$B$88)-MAX(0,Assumptions!$B$96-(CFS!H7+CFS!H14+CFS!H19+CFS!H27))</f>
        <v>69255.6006619374</v>
      </c>
      <c r="J15" s="211" t="n">
        <f aca="false">I15*(1+Assumptions!$B$88)-MAX(0,Assumptions!$B$96-(CFS!I7+CFS!I14+CFS!I19+CFS!I27))</f>
        <v>66961.647477499</v>
      </c>
      <c r="K15" s="211" t="n">
        <f aca="false">J15*(1+Assumptions!$B$88)-MAX(0,Assumptions!$B$96-(CFS!J7+CFS!J14+CFS!J19+CFS!J27))</f>
        <v>66961.647477499</v>
      </c>
    </row>
    <row r="16" customFormat="false" ht="16.5" hidden="false" customHeight="true" outlineLevel="0" collapsed="false">
      <c r="B16" s="110" t="s">
        <v>340</v>
      </c>
      <c r="C16" s="233" t="n">
        <v>48849</v>
      </c>
      <c r="D16" s="233" t="n">
        <v>54428</v>
      </c>
      <c r="E16" s="233" t="n">
        <v>64758</v>
      </c>
      <c r="F16" s="233" t="n">
        <v>74834</v>
      </c>
      <c r="G16" s="233" t="n">
        <v>83727</v>
      </c>
      <c r="H16" s="234" t="n">
        <f aca="false">Assumptions!$B$90*IS!H14</f>
        <v>85749.4796712398</v>
      </c>
      <c r="I16" s="234" t="n">
        <f aca="false">Assumptions!$B$90*IS!I14</f>
        <v>90109.0106696658</v>
      </c>
      <c r="J16" s="234" t="n">
        <f aca="false">Assumptions!$B$90*IS!J14</f>
        <v>94790.1674630604</v>
      </c>
      <c r="K16" s="234" t="n">
        <f aca="false">Assumptions!$B$90*IS!K14</f>
        <v>99822.4717571443</v>
      </c>
    </row>
    <row r="17" customFormat="false" ht="16.5" hidden="false" customHeight="true" outlineLevel="0" collapsed="false">
      <c r="B17" s="236" t="s">
        <v>341</v>
      </c>
      <c r="C17" s="237" t="n">
        <f aca="false">SUM(C14:C16)</f>
        <v>216166</v>
      </c>
      <c r="D17" s="237" t="n">
        <f aca="false">SUM(D14:D16)</f>
        <v>217350</v>
      </c>
      <c r="E17" s="237" t="n">
        <f aca="false">SUM(E14:E16)</f>
        <v>209017</v>
      </c>
      <c r="F17" s="237" t="n">
        <f aca="false">SUM(F14:F16)</f>
        <v>211993</v>
      </c>
      <c r="G17" s="237" t="n">
        <f aca="false">SUM(G14:G16)</f>
        <v>211284</v>
      </c>
      <c r="H17" s="238" t="n">
        <f aca="false">SUM(H14:H16)</f>
        <v>209598.267220456</v>
      </c>
      <c r="I17" s="238" t="n">
        <f aca="false">SUM(I14:I16)</f>
        <v>209198.611331603</v>
      </c>
      <c r="J17" s="238" t="n">
        <f aca="false">SUM(J14:J16)</f>
        <v>211585.814940559</v>
      </c>
      <c r="K17" s="238" t="n">
        <f aca="false">SUM(K14:K16)</f>
        <v>216618.119234643</v>
      </c>
    </row>
    <row r="18" customFormat="false" ht="16.5" hidden="false" customHeight="true" outlineLevel="0" collapsed="false">
      <c r="B18" s="236" t="s">
        <v>342</v>
      </c>
      <c r="C18" s="237" t="n">
        <f aca="false">C11+C17</f>
        <v>351002</v>
      </c>
      <c r="D18" s="237" t="n">
        <f aca="false">D11+D17</f>
        <v>352755</v>
      </c>
      <c r="E18" s="237" t="n">
        <f aca="false">E11+E17</f>
        <v>352583</v>
      </c>
      <c r="F18" s="237" t="n">
        <f aca="false">F11+F17</f>
        <v>364980</v>
      </c>
      <c r="G18" s="237" t="n">
        <f aca="false">G11+G17</f>
        <v>359241</v>
      </c>
      <c r="H18" s="238" t="n">
        <f aca="false">H11+H17</f>
        <v>340607.402966729</v>
      </c>
      <c r="I18" s="238" t="n">
        <f aca="false">I11+I17</f>
        <v>344298.457072675</v>
      </c>
      <c r="J18" s="238" t="n">
        <f aca="false">J11+J17</f>
        <v>351053.117535017</v>
      </c>
      <c r="K18" s="238" t="n">
        <f aca="false">K11+K17</f>
        <v>368968.901904669</v>
      </c>
    </row>
    <row r="19" customFormat="false" ht="16.5" hidden="false" customHeight="true" outlineLevel="0" collapsed="false">
      <c r="B19" s="236"/>
      <c r="C19" s="240"/>
      <c r="D19" s="240"/>
      <c r="E19" s="240"/>
      <c r="F19" s="240"/>
      <c r="G19" s="240"/>
      <c r="H19" s="241"/>
      <c r="I19" s="241"/>
      <c r="J19" s="241"/>
      <c r="K19" s="241"/>
    </row>
    <row r="20" customFormat="false" ht="16.5" hidden="false" customHeight="true" outlineLevel="0" collapsed="false">
      <c r="B20" s="109" t="s">
        <v>343</v>
      </c>
      <c r="C20" s="109"/>
      <c r="D20" s="109"/>
      <c r="E20" s="109"/>
      <c r="F20" s="109"/>
      <c r="G20" s="109"/>
      <c r="H20" s="109"/>
      <c r="I20" s="109"/>
      <c r="J20" s="109"/>
      <c r="K20" s="109"/>
    </row>
    <row r="21" customFormat="false" ht="16.5" hidden="false" customHeight="true" outlineLevel="0" collapsed="false">
      <c r="B21" s="110" t="s">
        <v>344</v>
      </c>
      <c r="C21" s="242" t="n">
        <v>54763</v>
      </c>
      <c r="D21" s="242" t="n">
        <v>64115</v>
      </c>
      <c r="E21" s="242" t="n">
        <v>62611</v>
      </c>
      <c r="F21" s="242" t="n">
        <v>68960</v>
      </c>
      <c r="G21" s="242" t="n">
        <v>69860</v>
      </c>
      <c r="H21" s="243" t="n">
        <f aca="false">Assumptions!G30*IS!H21/365</f>
        <v>71894.3144547945</v>
      </c>
      <c r="I21" s="243" t="n">
        <f aca="false">Assumptions!H30*IS!I21/365</f>
        <v>74746.7254610137</v>
      </c>
      <c r="J21" s="243" t="n">
        <f aca="false">Assumptions!I30*IS!J21/365</f>
        <v>77760.9808890312</v>
      </c>
      <c r="K21" s="243" t="n">
        <f aca="false">Assumptions!J30*IS!K21/365</f>
        <v>80949.7775251833</v>
      </c>
    </row>
    <row r="22" customFormat="false" ht="16.5" hidden="false" customHeight="true" outlineLevel="0" collapsed="false">
      <c r="B22" s="110" t="s">
        <v>345</v>
      </c>
      <c r="C22" s="233" t="n">
        <v>47493</v>
      </c>
      <c r="D22" s="233" t="n">
        <v>60845</v>
      </c>
      <c r="E22" s="233" t="n">
        <v>58829</v>
      </c>
      <c r="F22" s="233" t="n">
        <v>78304</v>
      </c>
      <c r="G22" s="233" t="n">
        <v>66387</v>
      </c>
      <c r="H22" s="234" t="n">
        <f aca="false">Assumptions!G33*IS!H14</f>
        <v>74267.8575</v>
      </c>
      <c r="I22" s="234" t="n">
        <f aca="false">Assumptions!H33*IS!I14</f>
        <v>78043.6591515</v>
      </c>
      <c r="J22" s="234" t="n">
        <f aca="false">Assumptions!I33*IS!J14</f>
        <v>82098.0217785375</v>
      </c>
      <c r="K22" s="234" t="n">
        <f aca="false">Assumptions!J33*IS!K14</f>
        <v>86456.5142107081</v>
      </c>
    </row>
    <row r="23" customFormat="false" ht="16.5" hidden="false" customHeight="true" outlineLevel="0" collapsed="false">
      <c r="B23" s="110" t="s">
        <v>346</v>
      </c>
      <c r="C23" s="233" t="n">
        <v>7612</v>
      </c>
      <c r="D23" s="233" t="n">
        <v>7912</v>
      </c>
      <c r="E23" s="233" t="n">
        <v>8061</v>
      </c>
      <c r="F23" s="233" t="n">
        <v>8249</v>
      </c>
      <c r="G23" s="233" t="n">
        <v>9055</v>
      </c>
      <c r="H23" s="234" t="n">
        <f aca="false">Assumptions!G34*IS!H13</f>
        <v>9408.32802</v>
      </c>
      <c r="I23" s="234" t="n">
        <f aca="false">Assumptions!H34*IS!I13</f>
        <v>10396.2024621</v>
      </c>
      <c r="J23" s="234" t="n">
        <f aca="false">Assumptions!I34*IS!J13</f>
        <v>11487.8037206205</v>
      </c>
      <c r="K23" s="234" t="n">
        <f aca="false">Assumptions!J34*IS!K13</f>
        <v>12694.0231112857</v>
      </c>
    </row>
    <row r="24" customFormat="false" ht="16.5" hidden="false" customHeight="true" outlineLevel="0" collapsed="false">
      <c r="B24" s="110" t="s">
        <v>347</v>
      </c>
      <c r="C24" s="242" t="n">
        <v>6000</v>
      </c>
      <c r="D24" s="242" t="n">
        <v>9982</v>
      </c>
      <c r="E24" s="242" t="n">
        <v>5985</v>
      </c>
      <c r="F24" s="242" t="n">
        <v>9967</v>
      </c>
      <c r="G24" s="242" t="n">
        <v>7979</v>
      </c>
      <c r="H24" s="243" t="n">
        <f aca="false">G24*(1+Assumptions!$B$91)</f>
        <v>7979</v>
      </c>
      <c r="I24" s="243" t="n">
        <f aca="false">H24*(1+Assumptions!$B$91)</f>
        <v>7979</v>
      </c>
      <c r="J24" s="243" t="n">
        <f aca="false">I24*(1+Assumptions!$B$91)</f>
        <v>7979</v>
      </c>
      <c r="K24" s="243" t="n">
        <f aca="false">J24*(1+Assumptions!$B$91)</f>
        <v>7979</v>
      </c>
    </row>
    <row r="25" customFormat="false" ht="16.5" hidden="false" customHeight="true" outlineLevel="0" collapsed="false">
      <c r="B25" s="110" t="s">
        <v>261</v>
      </c>
      <c r="C25" s="233" t="n">
        <v>9613</v>
      </c>
      <c r="D25" s="233" t="n">
        <v>11128</v>
      </c>
      <c r="E25" s="233" t="n">
        <v>9822</v>
      </c>
      <c r="F25" s="233" t="n">
        <v>10912</v>
      </c>
      <c r="G25" s="233" t="n">
        <v>12350</v>
      </c>
      <c r="H25" s="234" t="n">
        <f aca="false">CHOOSE(MATCH(Scenario,{"Bear","Base","Bull"},0),Assumptions!$B$92,Assumptions!$C$92,Assumptions!$D$92)</f>
        <v>2000</v>
      </c>
      <c r="I25" s="234" t="n">
        <f aca="false">CHOOSE(MATCH(Scenario,{"Bear","Base","Bull"},0),Assumptions!$E$92,Assumptions!$F$92,Assumptions!$G$92)</f>
        <v>0</v>
      </c>
      <c r="J25" s="234" t="n">
        <f aca="false">CHOOSE(MATCH(Scenario,{"Bear","Base","Bull"},0),Assumptions!$H$92,Assumptions!$I$92,Assumptions!$J$92)</f>
        <v>0</v>
      </c>
      <c r="K25" s="234" t="n">
        <f aca="false">CHOOSE(MATCH(Scenario,{"Bear","Base","Bull"},0),Assumptions!$K$92,Assumptions!$L$92,Assumptions!$M$92)</f>
        <v>0</v>
      </c>
    </row>
    <row r="26" customFormat="false" ht="16.5" hidden="false" customHeight="true" outlineLevel="0" collapsed="false">
      <c r="B26" s="236" t="s">
        <v>348</v>
      </c>
      <c r="C26" s="237" t="n">
        <f aca="false">SUM(C21:C25)</f>
        <v>125481</v>
      </c>
      <c r="D26" s="237" t="n">
        <f aca="false">SUM(D21:D25)</f>
        <v>153982</v>
      </c>
      <c r="E26" s="237" t="n">
        <f aca="false">SUM(E21:E25)</f>
        <v>145308</v>
      </c>
      <c r="F26" s="237" t="n">
        <f aca="false">SUM(F21:F25)</f>
        <v>176392</v>
      </c>
      <c r="G26" s="237" t="n">
        <f aca="false">SUM(G21:G25)</f>
        <v>165631</v>
      </c>
      <c r="H26" s="238" t="n">
        <f aca="false">SUM(H21:H25)</f>
        <v>165549.499974795</v>
      </c>
      <c r="I26" s="238" t="n">
        <f aca="false">SUM(I21:I25)</f>
        <v>171165.587074614</v>
      </c>
      <c r="J26" s="238" t="n">
        <f aca="false">SUM(J21:J25)</f>
        <v>179325.806388189</v>
      </c>
      <c r="K26" s="238" t="n">
        <f aca="false">SUM(K21:K25)</f>
        <v>188079.314847177</v>
      </c>
    </row>
    <row r="27" customFormat="false" ht="16.5" hidden="false" customHeight="true" outlineLevel="0" collapsed="false">
      <c r="B27" s="236"/>
      <c r="C27" s="240"/>
      <c r="D27" s="240"/>
      <c r="E27" s="240"/>
      <c r="F27" s="240"/>
      <c r="G27" s="240"/>
      <c r="H27" s="241"/>
      <c r="I27" s="241"/>
      <c r="J27" s="241"/>
      <c r="K27" s="241"/>
    </row>
    <row r="28" customFormat="false" ht="16.5" hidden="false" customHeight="true" outlineLevel="0" collapsed="false">
      <c r="B28" s="109" t="s">
        <v>349</v>
      </c>
      <c r="C28" s="109"/>
      <c r="D28" s="109"/>
      <c r="E28" s="109"/>
      <c r="F28" s="109"/>
      <c r="G28" s="109"/>
      <c r="H28" s="109"/>
      <c r="I28" s="109"/>
      <c r="J28" s="109"/>
      <c r="K28" s="109"/>
    </row>
    <row r="29" customFormat="false" ht="16.5" hidden="false" customHeight="true" outlineLevel="0" collapsed="false">
      <c r="B29" s="110" t="s">
        <v>263</v>
      </c>
      <c r="C29" s="242" t="n">
        <v>109106</v>
      </c>
      <c r="D29" s="242" t="n">
        <v>98959</v>
      </c>
      <c r="E29" s="242" t="n">
        <v>95281</v>
      </c>
      <c r="F29" s="242" t="n">
        <v>85750</v>
      </c>
      <c r="G29" s="242" t="n">
        <v>78328</v>
      </c>
      <c r="H29" s="243" t="n">
        <f aca="false">CHOOSE(MATCH(Scenario,{"Bear","Base","Bull"},0),Assumptions!$B$93,Assumptions!$C$93,Assumptions!$D$93)</f>
        <v>65000</v>
      </c>
      <c r="I29" s="243" t="n">
        <f aca="false">CHOOSE(MATCH(Scenario,{"Bear","Base","Bull"},0),Assumptions!$E$93,Assumptions!$F$93,Assumptions!$G$93)</f>
        <v>55000</v>
      </c>
      <c r="J29" s="243" t="n">
        <f aca="false">CHOOSE(MATCH(Scenario,{"Bear","Base","Bull"},0),Assumptions!$H$93,Assumptions!$I$93,Assumptions!$J$93)</f>
        <v>45000</v>
      </c>
      <c r="K29" s="243" t="n">
        <f aca="false">CHOOSE(MATCH(Scenario,{"Bear","Base","Bull"},0),Assumptions!$K$93,Assumptions!$L$93,Assumptions!$M$93)</f>
        <v>45000</v>
      </c>
    </row>
    <row r="30" customFormat="false" ht="16.5" hidden="false" customHeight="true" outlineLevel="0" collapsed="false">
      <c r="B30" s="110" t="s">
        <v>350</v>
      </c>
      <c r="C30" s="233" t="n">
        <v>53325</v>
      </c>
      <c r="D30" s="233" t="n">
        <v>49142</v>
      </c>
      <c r="E30" s="233" t="n">
        <v>49848</v>
      </c>
      <c r="F30" s="233" t="n">
        <v>45888</v>
      </c>
      <c r="G30" s="233" t="n">
        <v>41549</v>
      </c>
      <c r="H30" s="234" t="n">
        <f aca="false">Assumptions!$B$94*IS!H14</f>
        <v>47441.6244670491</v>
      </c>
      <c r="I30" s="234" t="n">
        <f aca="false">Assumptions!$B$94*IS!I14</f>
        <v>49853.5718429718</v>
      </c>
      <c r="J30" s="234" t="n">
        <f aca="false">Assumptions!$B$94*IS!J14</f>
        <v>52443.4614086584</v>
      </c>
      <c r="K30" s="234" t="n">
        <f aca="false">Assumptions!$B$94*IS!K14</f>
        <v>55227.6262973455</v>
      </c>
    </row>
    <row r="31" customFormat="false" ht="14.25" hidden="false" customHeight="false" outlineLevel="0" collapsed="false">
      <c r="B31" s="236" t="s">
        <v>351</v>
      </c>
      <c r="C31" s="237" t="n">
        <f aca="false">SUM(C29:C30)</f>
        <v>162431</v>
      </c>
      <c r="D31" s="237" t="n">
        <f aca="false">SUM(D29:D30)</f>
        <v>148101</v>
      </c>
      <c r="E31" s="237" t="n">
        <f aca="false">SUM(E29:E30)</f>
        <v>145129</v>
      </c>
      <c r="F31" s="237" t="n">
        <f aca="false">SUM(F29:F30)</f>
        <v>131638</v>
      </c>
      <c r="G31" s="237" t="n">
        <f aca="false">SUM(G29:G30)</f>
        <v>119877</v>
      </c>
      <c r="H31" s="238" t="n">
        <f aca="false">SUM(H29:H30)</f>
        <v>112441.624467049</v>
      </c>
      <c r="I31" s="238" t="n">
        <f aca="false">SUM(I29:I30)</f>
        <v>104853.571842972</v>
      </c>
      <c r="J31" s="238" t="n">
        <f aca="false">SUM(J29:J30)</f>
        <v>97443.4614086585</v>
      </c>
      <c r="K31" s="238" t="n">
        <f aca="false">SUM(K29:K30)</f>
        <v>100227.626297345</v>
      </c>
    </row>
    <row r="32" customFormat="false" ht="16.5" hidden="false" customHeight="true" outlineLevel="0" collapsed="false">
      <c r="B32" s="236" t="s">
        <v>352</v>
      </c>
      <c r="C32" s="237" t="n">
        <f aca="false">C26+C31</f>
        <v>287912</v>
      </c>
      <c r="D32" s="237" t="n">
        <f aca="false">D26+D31</f>
        <v>302083</v>
      </c>
      <c r="E32" s="237" t="n">
        <f aca="false">E26+E31</f>
        <v>290437</v>
      </c>
      <c r="F32" s="237" t="n">
        <f aca="false">F26+F31</f>
        <v>308030</v>
      </c>
      <c r="G32" s="237" t="n">
        <f aca="false">G26+G31</f>
        <v>285508</v>
      </c>
      <c r="H32" s="238" t="n">
        <f aca="false">H26+H31</f>
        <v>277991.124441844</v>
      </c>
      <c r="I32" s="238" t="n">
        <f aca="false">I26+I31</f>
        <v>276019.158917586</v>
      </c>
      <c r="J32" s="238" t="n">
        <f aca="false">J26+J31</f>
        <v>276769.267796848</v>
      </c>
      <c r="K32" s="238" t="n">
        <f aca="false">K26+K31</f>
        <v>288306.941144523</v>
      </c>
    </row>
    <row r="33" customFormat="false" ht="16.5" hidden="false" customHeight="true" outlineLevel="0" collapsed="false">
      <c r="B33" s="239"/>
      <c r="C33" s="244"/>
      <c r="D33" s="244"/>
      <c r="E33" s="244"/>
      <c r="F33" s="244"/>
      <c r="G33" s="244"/>
      <c r="H33" s="244"/>
      <c r="I33" s="244"/>
      <c r="J33" s="244"/>
      <c r="K33" s="244"/>
    </row>
    <row r="34" customFormat="false" ht="14.25" hidden="false" customHeight="false" outlineLevel="0" collapsed="false">
      <c r="B34" s="109" t="s">
        <v>353</v>
      </c>
      <c r="C34" s="109"/>
      <c r="D34" s="109"/>
      <c r="E34" s="109"/>
      <c r="F34" s="109"/>
      <c r="G34" s="109"/>
      <c r="H34" s="109"/>
      <c r="I34" s="109"/>
      <c r="J34" s="109"/>
      <c r="K34" s="109"/>
    </row>
    <row r="35" customFormat="false" ht="16.5" hidden="false" customHeight="true" outlineLevel="0" collapsed="false">
      <c r="B35" s="110" t="s">
        <v>354</v>
      </c>
      <c r="C35" s="233" t="n">
        <v>57365</v>
      </c>
      <c r="D35" s="233" t="n">
        <v>64849</v>
      </c>
      <c r="E35" s="233" t="n">
        <v>73812</v>
      </c>
      <c r="F35" s="233" t="n">
        <v>83276</v>
      </c>
      <c r="G35" s="233" t="n">
        <v>93568</v>
      </c>
      <c r="H35" s="234" t="n">
        <f aca="false">G35+CFS!G12</f>
        <v>107110.96225</v>
      </c>
      <c r="I35" s="234" t="n">
        <f aca="false">H35+CFS!H12</f>
        <v>121342.45303645</v>
      </c>
      <c r="J35" s="234" t="n">
        <f aca="false">I35+CFS!I12</f>
        <v>136313.268772536</v>
      </c>
      <c r="K35" s="234" t="n">
        <f aca="false">J35+CFS!J12</f>
        <v>152078.868422724</v>
      </c>
    </row>
    <row r="36" customFormat="false" ht="14.25" hidden="false" customHeight="false" outlineLevel="0" collapsed="false">
      <c r="B36" s="110" t="s">
        <v>355</v>
      </c>
      <c r="C36" s="233" t="n">
        <v>5562</v>
      </c>
      <c r="D36" s="233" t="n">
        <v>-3068</v>
      </c>
      <c r="E36" s="233" t="n">
        <v>-214</v>
      </c>
      <c r="F36" s="233" t="n">
        <v>-19154</v>
      </c>
      <c r="G36" s="233" t="n">
        <v>-14264</v>
      </c>
      <c r="H36" s="234" t="n">
        <f aca="false">G36+IS!H39+CFS!G24+CFS!G25</f>
        <v>-38923.6837251145</v>
      </c>
      <c r="I36" s="234" t="n">
        <f aca="false">H36+IS!I39+CFS!H24+CFS!H25</f>
        <v>-47492.1548813604</v>
      </c>
      <c r="J36" s="234" t="n">
        <f aca="false">I36+IS!J39+CFS!I24+CFS!I25</f>
        <v>-56458.4190343669</v>
      </c>
      <c r="K36" s="234" t="n">
        <f aca="false">J36+IS!K39+CFS!J24+CFS!J25</f>
        <v>-65845.9076625778</v>
      </c>
    </row>
    <row r="37" customFormat="false" ht="16.5" hidden="false" customHeight="true" outlineLevel="0" collapsed="false">
      <c r="B37" s="110" t="s">
        <v>356</v>
      </c>
      <c r="C37" s="242" t="n">
        <v>163</v>
      </c>
      <c r="D37" s="242" t="n">
        <v>-11109</v>
      </c>
      <c r="E37" s="242" t="n">
        <v>-11452</v>
      </c>
      <c r="F37" s="242" t="n">
        <v>-7172</v>
      </c>
      <c r="G37" s="242" t="n">
        <v>-5571</v>
      </c>
      <c r="H37" s="243" t="n">
        <f aca="false">G37+Assumptions!$B$95</f>
        <v>-5571</v>
      </c>
      <c r="I37" s="243" t="n">
        <f aca="false">H37+Assumptions!$B$95</f>
        <v>-5571</v>
      </c>
      <c r="J37" s="243" t="n">
        <f aca="false">I37+Assumptions!$B$95</f>
        <v>-5571</v>
      </c>
      <c r="K37" s="243" t="n">
        <f aca="false">J37+Assumptions!$B$95</f>
        <v>-5571</v>
      </c>
    </row>
    <row r="38" customFormat="false" ht="14.25" hidden="false" customHeight="false" outlineLevel="0" collapsed="false">
      <c r="B38" s="236" t="s">
        <v>357</v>
      </c>
      <c r="C38" s="237" t="n">
        <f aca="false">SUM(C35:C37)</f>
        <v>63090</v>
      </c>
      <c r="D38" s="237" t="n">
        <f aca="false">SUM(D35:D37)</f>
        <v>50672</v>
      </c>
      <c r="E38" s="237" t="n">
        <f aca="false">SUM(E35:E37)</f>
        <v>62146</v>
      </c>
      <c r="F38" s="237" t="n">
        <f aca="false">SUM(F35:F37)</f>
        <v>56950</v>
      </c>
      <c r="G38" s="237" t="n">
        <f aca="false">SUM(G35:G37)</f>
        <v>73733</v>
      </c>
      <c r="H38" s="238" t="n">
        <f aca="false">SUM(H35:H37)</f>
        <v>62616.2785248855</v>
      </c>
      <c r="I38" s="238" t="n">
        <f aca="false">SUM(I35:I37)</f>
        <v>68279.2981550896</v>
      </c>
      <c r="J38" s="238" t="n">
        <f aca="false">SUM(J35:J37)</f>
        <v>74283.8497381693</v>
      </c>
      <c r="K38" s="238" t="n">
        <f aca="false">SUM(K35:K37)</f>
        <v>80661.9607601464</v>
      </c>
    </row>
    <row r="39" customFormat="false" ht="14.25" hidden="false" customHeight="false" outlineLevel="0" collapsed="false">
      <c r="B39" s="236" t="s">
        <v>358</v>
      </c>
      <c r="C39" s="237" t="n">
        <f aca="false">C32+C38</f>
        <v>351002</v>
      </c>
      <c r="D39" s="237" t="n">
        <f aca="false">D32+D38</f>
        <v>352755</v>
      </c>
      <c r="E39" s="237" t="n">
        <f aca="false">E32+E38</f>
        <v>352583</v>
      </c>
      <c r="F39" s="237" t="n">
        <f aca="false">F32+F38</f>
        <v>364980</v>
      </c>
      <c r="G39" s="237" t="n">
        <f aca="false">G32+G38</f>
        <v>359241</v>
      </c>
      <c r="H39" s="238" t="n">
        <f aca="false">H32+H38</f>
        <v>340607.402966729</v>
      </c>
      <c r="I39" s="238" t="n">
        <f aca="false">I32+I38</f>
        <v>344298.457072675</v>
      </c>
      <c r="J39" s="238" t="n">
        <f aca="false">J32+J38</f>
        <v>351053.117535017</v>
      </c>
      <c r="K39" s="238" t="n">
        <f aca="false">K32+K38</f>
        <v>368968.901904669</v>
      </c>
    </row>
    <row r="40" customFormat="false" ht="14.25" hidden="false" customHeight="false" outlineLevel="0" collapsed="false">
      <c r="B40" s="239"/>
      <c r="C40" s="244"/>
      <c r="D40" s="244"/>
      <c r="E40" s="244"/>
      <c r="F40" s="244"/>
      <c r="G40" s="244"/>
      <c r="H40" s="244"/>
      <c r="I40" s="244"/>
      <c r="J40" s="244"/>
      <c r="K40" s="244"/>
    </row>
    <row r="41" customFormat="false" ht="14.25" hidden="false" customHeight="false" outlineLevel="0" collapsed="false">
      <c r="B41" s="109" t="s">
        <v>359</v>
      </c>
      <c r="C41" s="109"/>
      <c r="D41" s="109"/>
      <c r="E41" s="109"/>
      <c r="F41" s="109"/>
      <c r="G41" s="109"/>
      <c r="H41" s="109"/>
      <c r="I41" s="109"/>
      <c r="J41" s="109"/>
      <c r="K41" s="109"/>
    </row>
    <row r="42" customFormat="false" ht="16.5" hidden="false" customHeight="true" outlineLevel="0" collapsed="false">
      <c r="B42" s="245" t="s">
        <v>360</v>
      </c>
      <c r="C42" s="246" t="n">
        <f aca="false">C24+C25+C29</f>
        <v>124719</v>
      </c>
      <c r="D42" s="246" t="n">
        <f aca="false">D24+D25+D29</f>
        <v>120069</v>
      </c>
      <c r="E42" s="246" t="n">
        <f aca="false">E24+E25+E29</f>
        <v>111088</v>
      </c>
      <c r="F42" s="246" t="n">
        <f aca="false">F24+F25+F29</f>
        <v>106629</v>
      </c>
      <c r="G42" s="246" t="n">
        <f aca="false">G24+G25+G29</f>
        <v>98657</v>
      </c>
      <c r="H42" s="246" t="n">
        <f aca="false">H24+H25+H29</f>
        <v>74979</v>
      </c>
      <c r="I42" s="246" t="n">
        <f aca="false">I24+I25+I29</f>
        <v>62979</v>
      </c>
      <c r="J42" s="246" t="n">
        <f aca="false">J24+J25+J29</f>
        <v>52979</v>
      </c>
      <c r="K42" s="246" t="n">
        <f aca="false">K24+K25+K29</f>
        <v>52979</v>
      </c>
    </row>
    <row r="43" customFormat="false" ht="14.25" hidden="false" customHeight="false" outlineLevel="0" collapsed="false">
      <c r="B43" s="245" t="s">
        <v>361</v>
      </c>
      <c r="C43" s="246" t="n">
        <f aca="false">C42-C5-C6-C15</f>
        <v>-65797</v>
      </c>
      <c r="D43" s="246" t="n">
        <f aca="false">D42-D5-D6-D15</f>
        <v>-49040</v>
      </c>
      <c r="E43" s="246" t="n">
        <f aca="false">E42-E5-E6-E15</f>
        <v>-51011</v>
      </c>
      <c r="F43" s="246" t="n">
        <f aca="false">F42-F5-F6-F15</f>
        <v>-50021</v>
      </c>
      <c r="G43" s="246" t="n">
        <f aca="false">G42-G5-G6-G15</f>
        <v>-33763</v>
      </c>
      <c r="H43" s="246" t="n">
        <f aca="false">H42-H5-H6-H15</f>
        <v>-41444.7875492166</v>
      </c>
      <c r="I43" s="246" t="n">
        <f aca="false">I42-I5-I6-I15</f>
        <v>-48685.6006619374</v>
      </c>
      <c r="J43" s="247" t="n">
        <f aca="false">J42-J5-J6-J15</f>
        <v>-56391.647477499</v>
      </c>
      <c r="K43" s="247" t="n">
        <f aca="false">K42-K5-K6-K15</f>
        <v>-64606.6342218256</v>
      </c>
    </row>
    <row r="44" customFormat="false" ht="14.25" hidden="false" customHeight="false" outlineLevel="0" collapsed="false">
      <c r="B44" s="245" t="s">
        <v>362</v>
      </c>
      <c r="C44" s="246" t="n">
        <f aca="false">C11-C26</f>
        <v>9355</v>
      </c>
      <c r="D44" s="246" t="n">
        <f aca="false">D11-D26</f>
        <v>-18577</v>
      </c>
      <c r="E44" s="246" t="n">
        <f aca="false">E11-E26</f>
        <v>-1742</v>
      </c>
      <c r="F44" s="246" t="n">
        <f aca="false">F11-F26</f>
        <v>-23405</v>
      </c>
      <c r="G44" s="246" t="n">
        <f aca="false">G11-G26</f>
        <v>-17674</v>
      </c>
      <c r="H44" s="246" t="n">
        <f aca="false">H11-H26</f>
        <v>-34540.3642285217</v>
      </c>
      <c r="I44" s="246" t="n">
        <f aca="false">I11-I26</f>
        <v>-36065.7413335418</v>
      </c>
      <c r="J44" s="247" t="n">
        <f aca="false">J11-J26</f>
        <v>-39858.5037937315</v>
      </c>
      <c r="K44" s="247" t="n">
        <f aca="false">K11-K26</f>
        <v>-35728.5321771513</v>
      </c>
    </row>
    <row r="45" customFormat="false" ht="14.25" hidden="false" customHeight="false" outlineLevel="0" collapsed="false">
      <c r="B45" s="245" t="s">
        <v>363</v>
      </c>
      <c r="C45" s="248" t="n">
        <f aca="false">C11/C26</f>
        <v>1.0745531195958</v>
      </c>
      <c r="D45" s="248" t="n">
        <f aca="false">D11/D26</f>
        <v>0.879356028626723</v>
      </c>
      <c r="E45" s="248" t="n">
        <f aca="false">E11/E26</f>
        <v>0.988011671759298</v>
      </c>
      <c r="F45" s="248" t="n">
        <f aca="false">F11/F26</f>
        <v>0.867312576534083</v>
      </c>
      <c r="G45" s="248" t="n">
        <f aca="false">G11/G26</f>
        <v>0.893292922218667</v>
      </c>
      <c r="H45" s="248" t="n">
        <f aca="false">H11/H26</f>
        <v>0.791359295958124</v>
      </c>
      <c r="I45" s="248" t="n">
        <f aca="false">I11/I26</f>
        <v>0.789293268875243</v>
      </c>
      <c r="J45" s="249" t="n">
        <f aca="false">J11/J26</f>
        <v>0.777731356147095</v>
      </c>
      <c r="K45" s="249" t="n">
        <f aca="false">K11/K26</f>
        <v>0.810034760036305</v>
      </c>
    </row>
    <row r="46" customFormat="false" ht="14.25" hidden="false" customHeight="false" outlineLevel="0" collapsed="false">
      <c r="B46" s="245" t="s">
        <v>364</v>
      </c>
      <c r="C46" s="248" t="n">
        <f aca="false">(C11-C8)/C26</f>
        <v>1.02211490185765</v>
      </c>
      <c r="D46" s="248" t="n">
        <f aca="false">(D11-D8)/D26</f>
        <v>0.847235391149615</v>
      </c>
      <c r="E46" s="248" t="n">
        <f aca="false">(E11-E8)/E26</f>
        <v>0.944442150466595</v>
      </c>
      <c r="F46" s="248" t="n">
        <f aca="false">(F11-F8)/F26</f>
        <v>0.826006848383147</v>
      </c>
      <c r="G46" s="248" t="n">
        <f aca="false">(G11-G8)/G26</f>
        <v>0.858770399261008</v>
      </c>
      <c r="H46" s="248" t="n">
        <f aca="false">(H11-H8)/H26</f>
        <v>0.753596092090035</v>
      </c>
      <c r="I46" s="248" t="n">
        <f aca="false">(I11-I8)/I26</f>
        <v>0.751320009363411</v>
      </c>
      <c r="J46" s="249" t="n">
        <f aca="false">(J11-J8)/J26</f>
        <v>0.740024432858565</v>
      </c>
      <c r="K46" s="249" t="n">
        <f aca="false">(K11-K8)/K26</f>
        <v>0.772608469458493</v>
      </c>
    </row>
    <row r="47" customFormat="false" ht="14.25" hidden="false" customHeight="false" outlineLevel="0" collapsed="false">
      <c r="B47" s="245" t="s">
        <v>365</v>
      </c>
      <c r="C47" s="248" t="n">
        <f aca="false">C42/C38</f>
        <v>1.97684260580124</v>
      </c>
      <c r="D47" s="248" t="n">
        <f aca="false">D42/D38</f>
        <v>2.36953347016104</v>
      </c>
      <c r="E47" s="248" t="n">
        <f aca="false">E42/E38</f>
        <v>1.78753258455894</v>
      </c>
      <c r="F47" s="248" t="n">
        <f aca="false">F42/F38</f>
        <v>1.8723266022827</v>
      </c>
      <c r="G47" s="248" t="n">
        <f aca="false">G42/G38</f>
        <v>1.33803046125887</v>
      </c>
      <c r="H47" s="248" t="n">
        <f aca="false">H42/H38</f>
        <v>1.19743622211916</v>
      </c>
      <c r="I47" s="248" t="n">
        <f aca="false">I42/I38</f>
        <v>0.922373277138109</v>
      </c>
      <c r="J47" s="249" t="n">
        <f aca="false">J42/J38</f>
        <v>0.7131967471629</v>
      </c>
      <c r="K47" s="249" t="n">
        <f aca="false">K42/K38</f>
        <v>0.656802779162988</v>
      </c>
    </row>
  </sheetData>
  <mergeCells count="7">
    <mergeCell ref="B1:K1"/>
    <mergeCell ref="B4:K4"/>
    <mergeCell ref="B13:K13"/>
    <mergeCell ref="B20:K20"/>
    <mergeCell ref="B28:K28"/>
    <mergeCell ref="B34:K34"/>
    <mergeCell ref="B41:K41"/>
  </mergeCells>
  <printOptions headings="false" gridLines="false" gridLinesSet="true" horizontalCentered="false" verticalCentered="false"/>
  <pageMargins left="0.25" right="0.25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E3"/>
    <pageSetUpPr fitToPage="true"/>
  </sheetPr>
  <dimension ref="A1:J38"/>
  <sheetViews>
    <sheetView showFormulas="false" showGridLines="fals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G32" activeCellId="0" sqref="G32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9" min="2" style="0" width="13"/>
    <col collapsed="false" customWidth="true" hidden="false" outlineLevel="0" max="10" min="10" style="0" width="9.09"/>
  </cols>
  <sheetData>
    <row r="1" customFormat="false" ht="31.5" hidden="false" customHeight="true" outlineLevel="0" collapsed="false">
      <c r="A1" s="103" t="s">
        <v>366</v>
      </c>
      <c r="B1" s="103"/>
      <c r="C1" s="103"/>
      <c r="D1" s="103"/>
      <c r="E1" s="103"/>
      <c r="F1" s="103"/>
      <c r="G1" s="103"/>
      <c r="H1" s="103"/>
      <c r="I1" s="103"/>
      <c r="J1" s="103"/>
    </row>
    <row r="2" customFormat="false" ht="19.5" hidden="false" customHeight="true" outlineLevel="0" collapsed="false">
      <c r="A2" s="104" t="s">
        <v>367</v>
      </c>
      <c r="B2" s="104"/>
      <c r="C2" s="104"/>
      <c r="D2" s="104"/>
      <c r="E2" s="104"/>
      <c r="F2" s="104"/>
      <c r="G2" s="104"/>
      <c r="H2" s="104"/>
      <c r="I2" s="104"/>
      <c r="J2" s="104"/>
    </row>
    <row r="3" customFormat="false" ht="6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true" outlineLevel="0" collapsed="false">
      <c r="A4" s="105" t="s">
        <v>138</v>
      </c>
      <c r="B4" s="106" t="s">
        <v>139</v>
      </c>
      <c r="C4" s="106" t="s">
        <v>140</v>
      </c>
      <c r="D4" s="106" t="s">
        <v>141</v>
      </c>
      <c r="E4" s="106" t="s">
        <v>142</v>
      </c>
      <c r="F4" s="106" t="s">
        <v>143</v>
      </c>
      <c r="G4" s="107" t="s">
        <v>144</v>
      </c>
      <c r="H4" s="107" t="s">
        <v>145</v>
      </c>
      <c r="I4" s="107" t="s">
        <v>146</v>
      </c>
      <c r="J4" s="107" t="s">
        <v>147</v>
      </c>
    </row>
    <row r="5" customFormat="false" ht="15" hidden="false" customHeight="true" outlineLevel="0" collapsed="false">
      <c r="B5" s="108" t="s">
        <v>148</v>
      </c>
      <c r="C5" s="108" t="s">
        <v>149</v>
      </c>
      <c r="D5" s="108" t="s">
        <v>150</v>
      </c>
      <c r="E5" s="108" t="s">
        <v>151</v>
      </c>
      <c r="F5" s="108" t="s">
        <v>152</v>
      </c>
      <c r="G5" s="108" t="s">
        <v>153</v>
      </c>
      <c r="H5" s="108" t="s">
        <v>154</v>
      </c>
      <c r="I5" s="108" t="s">
        <v>155</v>
      </c>
      <c r="J5" s="108" t="s">
        <v>156</v>
      </c>
    </row>
    <row r="7" customFormat="false" ht="15" hidden="false" customHeight="true" outlineLevel="0" collapsed="false">
      <c r="A7" s="250" t="s">
        <v>368</v>
      </c>
      <c r="B7" s="251" t="n">
        <v>39789</v>
      </c>
      <c r="C7" s="252" t="n">
        <f aca="false">B30</f>
        <v>35929</v>
      </c>
      <c r="D7" s="252" t="n">
        <f aca="false">C30</f>
        <v>24977</v>
      </c>
      <c r="E7" s="252" t="n">
        <f aca="false">D30</f>
        <v>30737</v>
      </c>
      <c r="F7" s="252" t="n">
        <f aca="false">E30</f>
        <v>29943</v>
      </c>
      <c r="G7" s="184" t="n">
        <f aca="false">F30</f>
        <v>35934</v>
      </c>
      <c r="H7" s="184" t="n">
        <f aca="false">G30</f>
        <v>23646</v>
      </c>
      <c r="I7" s="184" t="n">
        <f aca="false">H30</f>
        <v>23646</v>
      </c>
      <c r="J7" s="184" t="n">
        <f aca="false">I30</f>
        <v>23646</v>
      </c>
    </row>
    <row r="9" customFormat="false" ht="18" hidden="false" customHeight="true" outlineLevel="0" collapsed="false">
      <c r="A9" s="109" t="s">
        <v>369</v>
      </c>
      <c r="B9" s="109"/>
      <c r="C9" s="109"/>
      <c r="D9" s="109"/>
      <c r="E9" s="109"/>
      <c r="F9" s="109"/>
      <c r="G9" s="109"/>
      <c r="H9" s="109"/>
      <c r="I9" s="109"/>
      <c r="J9" s="109"/>
    </row>
    <row r="10" customFormat="false" ht="15" hidden="false" customHeight="true" outlineLevel="0" collapsed="false">
      <c r="A10" s="115" t="s">
        <v>370</v>
      </c>
      <c r="B10" s="183" t="n">
        <f aca="false">IS!B31</f>
        <v>11284</v>
      </c>
      <c r="C10" s="183" t="n">
        <f aca="false">IS!C31</f>
        <v>11104</v>
      </c>
      <c r="D10" s="183" t="n">
        <f aca="false">IS!D31</f>
        <v>11519</v>
      </c>
      <c r="E10" s="183" t="n">
        <f aca="false">IS!E31</f>
        <v>11445</v>
      </c>
      <c r="F10" s="183" t="n">
        <f aca="false">IS!F31</f>
        <v>11698</v>
      </c>
      <c r="G10" s="253" t="n">
        <f aca="false">Assumptions!G38</f>
        <v>12232.353</v>
      </c>
      <c r="H10" s="253" t="n">
        <f aca="false">Assumptions!H38</f>
        <v>12854.2497426</v>
      </c>
      <c r="I10" s="253" t="n">
        <f aca="false">Assumptions!I38</f>
        <v>13522.027116465</v>
      </c>
      <c r="J10" s="253" t="n">
        <f aca="false">Assumptions!J38</f>
        <v>14239.8964582343</v>
      </c>
    </row>
    <row r="11" customFormat="false" ht="15" hidden="false" customHeight="true" outlineLevel="0" collapsed="false">
      <c r="A11" s="115" t="s">
        <v>371</v>
      </c>
      <c r="B11" s="254" t="n">
        <f aca="false">IS!B39</f>
        <v>94680</v>
      </c>
      <c r="C11" s="254" t="n">
        <f aca="false">IS!C39</f>
        <v>99803</v>
      </c>
      <c r="D11" s="254" t="n">
        <f aca="false">IS!D39</f>
        <v>96995</v>
      </c>
      <c r="E11" s="254" t="n">
        <f aca="false">IS!E39</f>
        <v>93736</v>
      </c>
      <c r="F11" s="254" t="n">
        <f aca="false">IS!F39</f>
        <v>112010</v>
      </c>
      <c r="G11" s="253" t="n">
        <f aca="false">IS!H39</f>
        <v>121294.27971</v>
      </c>
      <c r="H11" s="253" t="n">
        <f aca="false">IS!I39</f>
        <v>129006.97798545</v>
      </c>
      <c r="I11" s="253" t="n">
        <f aca="false">IS!J39</f>
        <v>137448.625342663</v>
      </c>
      <c r="J11" s="253" t="n">
        <f aca="false">IS!K39</f>
        <v>146697.259513996</v>
      </c>
    </row>
    <row r="12" customFormat="false" ht="15" hidden="false" customHeight="true" outlineLevel="0" collapsed="false">
      <c r="A12" s="115" t="s">
        <v>372</v>
      </c>
      <c r="B12" s="251" t="n">
        <v>7906</v>
      </c>
      <c r="C12" s="251" t="n">
        <v>9038</v>
      </c>
      <c r="D12" s="251" t="n">
        <v>10833</v>
      </c>
      <c r="E12" s="251" t="n">
        <v>11688</v>
      </c>
      <c r="F12" s="251" t="n">
        <v>12863</v>
      </c>
      <c r="G12" s="255" t="n">
        <f aca="false">Assumptions!G32*IS!H14</f>
        <v>13542.96225</v>
      </c>
      <c r="H12" s="255" t="n">
        <f aca="false">Assumptions!H32*IS!I14</f>
        <v>14231.49078645</v>
      </c>
      <c r="I12" s="255" t="n">
        <f aca="false">Assumptions!I32*IS!J14</f>
        <v>14970.8157360863</v>
      </c>
      <c r="J12" s="255" t="n">
        <f aca="false">Assumptions!J32*IS!K14</f>
        <v>15765.5996501879</v>
      </c>
    </row>
    <row r="13" customFormat="false" ht="15" hidden="false" customHeight="true" outlineLevel="0" collapsed="false">
      <c r="A13" s="115" t="s">
        <v>373</v>
      </c>
      <c r="B13" s="251" t="n">
        <v>-9832</v>
      </c>
      <c r="C13" s="251" t="n">
        <v>2206</v>
      </c>
      <c r="D13" s="251" t="n">
        <v>-8804</v>
      </c>
      <c r="E13" s="251" t="n">
        <v>1385</v>
      </c>
      <c r="F13" s="251" t="n">
        <v>-25089</v>
      </c>
      <c r="G13" s="255" t="n">
        <f aca="false">-(BS!H7-BS!G7)-(BS!H8-BS!G8)-(BS!H9-BS!G9)-(BS!H10-BS!G10)+(BS!H21-BS!G21)+(BS!H22-BS!G22)+(BS!H23-BS!G23)-(BS!H16-BS!G16)+(BS!H30-BS!G30)</f>
        <v>18798.509024331</v>
      </c>
      <c r="H13" s="255" t="n">
        <f aca="false">-(BS!I7-BS!H7)-(BS!I8-BS!H8)-(BS!I9-BS!H9)-(BS!I10-BS!H10)+(BS!I21-BS!H21)+(BS!I22-BS!H22)+(BS!I23-BS!H23)-(BS!I16-BS!H16)+(BS!I30-BS!H30)</f>
        <v>1577.79348251677</v>
      </c>
      <c r="I13" s="255" t="n">
        <f aca="false">-(BS!J7-BS!I7)-(BS!J8-BS!I8)-(BS!J9-BS!I9)-(BS!J10-BS!I10)+(BS!J21-BS!I21)+(BS!J22-BS!I22)+(BS!J23-BS!I23)-(BS!J16-BS!I16)+(BS!J30-BS!I30)</f>
        <v>1701.49523248174</v>
      </c>
      <c r="J13" s="255" t="n">
        <f aca="false">-(BS!K7-BS!J7)-(BS!K8-BS!J8)-(BS!K9-BS!J9)-(BS!K10-BS!J10)+(BS!K21-BS!J21)+(BS!K22-BS!J22)+(BS!K23-BS!J23)-(BS!K16-BS!J16)+(BS!K30-BS!J30)</f>
        <v>1836.87572234964</v>
      </c>
    </row>
    <row r="14" customFormat="false" ht="15" hidden="false" customHeight="true" outlineLevel="0" collapsed="false">
      <c r="A14" s="188" t="s">
        <v>374</v>
      </c>
      <c r="B14" s="178" t="n">
        <f aca="false">B10+B11+B12+B13</f>
        <v>104038</v>
      </c>
      <c r="C14" s="178" t="n">
        <f aca="false">C10+C11+C12+C13</f>
        <v>122151</v>
      </c>
      <c r="D14" s="178" t="n">
        <f aca="false">D10+D11+D12+D13</f>
        <v>110543</v>
      </c>
      <c r="E14" s="178" t="n">
        <f aca="false">E10+E11+E12+E13</f>
        <v>118254</v>
      </c>
      <c r="F14" s="178" t="n">
        <f aca="false">F10+F11+F12+F13</f>
        <v>111482</v>
      </c>
      <c r="G14" s="185" t="n">
        <f aca="false">G10+G11+G12+G13</f>
        <v>165868.103984331</v>
      </c>
      <c r="H14" s="185" t="n">
        <f aca="false">H10+H11+H12+H13</f>
        <v>157670.511997017</v>
      </c>
      <c r="I14" s="185" t="n">
        <f aca="false">I10+I11+I12+I13</f>
        <v>167642.963427696</v>
      </c>
      <c r="J14" s="185" t="n">
        <f aca="false">J10+J11+J12+J13</f>
        <v>178539.631344768</v>
      </c>
    </row>
    <row r="16" customFormat="false" ht="18" hidden="false" customHeight="true" outlineLevel="0" collapsed="false">
      <c r="A16" s="109" t="s">
        <v>375</v>
      </c>
      <c r="B16" s="109"/>
      <c r="C16" s="109"/>
      <c r="D16" s="109"/>
      <c r="E16" s="109"/>
      <c r="F16" s="109"/>
      <c r="G16" s="109"/>
      <c r="H16" s="109"/>
      <c r="I16" s="109"/>
      <c r="J16" s="109"/>
    </row>
    <row r="17" customFormat="false" ht="15" hidden="false" customHeight="true" outlineLevel="0" collapsed="false">
      <c r="A17" s="188" t="s">
        <v>376</v>
      </c>
      <c r="B17" s="178" t="n">
        <f aca="false">B19+B20</f>
        <v>-14545</v>
      </c>
      <c r="C17" s="178" t="n">
        <f aca="false">C19+C20</f>
        <v>-22354</v>
      </c>
      <c r="D17" s="178" t="n">
        <f aca="false">D19+D20</f>
        <v>3705</v>
      </c>
      <c r="E17" s="178" t="n">
        <f aca="false">E19+E20</f>
        <v>2935</v>
      </c>
      <c r="F17" s="178" t="n">
        <f aca="false">F19+F20</f>
        <v>15195</v>
      </c>
      <c r="G17" s="185" t="n">
        <f aca="false">G19+G20</f>
        <v>-8524.14054921656</v>
      </c>
      <c r="H17" s="185" t="n">
        <f aca="false">H19+H20</f>
        <v>-8095.06285532085</v>
      </c>
      <c r="I17" s="185" t="n">
        <f aca="false">I19+I20</f>
        <v>-11228.0739320265</v>
      </c>
      <c r="J17" s="256" t="n">
        <f aca="false">J19+J20</f>
        <v>-14239.8964582343</v>
      </c>
    </row>
    <row r="19" customFormat="false" ht="15" hidden="false" customHeight="true" outlineLevel="0" collapsed="false">
      <c r="A19" s="115" t="s">
        <v>377</v>
      </c>
      <c r="B19" s="251" t="n">
        <v>-11085</v>
      </c>
      <c r="C19" s="251" t="n">
        <v>-10708</v>
      </c>
      <c r="D19" s="251" t="n">
        <v>-10959</v>
      </c>
      <c r="E19" s="251" t="n">
        <v>-9447</v>
      </c>
      <c r="F19" s="251" t="n">
        <v>-12715</v>
      </c>
      <c r="G19" s="184" t="n">
        <f aca="false">-Assumptions!G37*IS!H14</f>
        <v>-12232.353</v>
      </c>
      <c r="H19" s="184" t="n">
        <f aca="false">-Assumptions!H37*IS!I14</f>
        <v>-12854.2497426</v>
      </c>
      <c r="I19" s="184" t="n">
        <f aca="false">-Assumptions!I37*IS!J14</f>
        <v>-13522.027116465</v>
      </c>
      <c r="J19" s="184" t="n">
        <f aca="false">-Assumptions!J37*IS!K14</f>
        <v>-14239.8964582343</v>
      </c>
    </row>
    <row r="20" customFormat="false" ht="15" hidden="false" customHeight="true" outlineLevel="0" collapsed="false">
      <c r="A20" s="115" t="s">
        <v>378</v>
      </c>
      <c r="B20" s="251" t="n">
        <v>-3460</v>
      </c>
      <c r="C20" s="251" t="n">
        <v>-11646</v>
      </c>
      <c r="D20" s="251" t="n">
        <v>14664</v>
      </c>
      <c r="E20" s="251" t="n">
        <v>12382</v>
      </c>
      <c r="F20" s="251" t="n">
        <v>27910</v>
      </c>
      <c r="G20" s="257" t="n">
        <f aca="false">-((BS!H6-BS!G6)+(BS!H15-BS!G15))</f>
        <v>3708.21245078344</v>
      </c>
      <c r="H20" s="257" t="n">
        <f aca="false">-((BS!I6-BS!H6)+(BS!I15-BS!H15))</f>
        <v>4759.18688727915</v>
      </c>
      <c r="I20" s="257" t="n">
        <f aca="false">-((BS!J6-BS!I6)+(BS!J15-BS!I15))</f>
        <v>2293.95318443846</v>
      </c>
      <c r="J20" s="257" t="n">
        <f aca="false">-((BS!K6-BS!J6)+(BS!K15-BS!J15))</f>
        <v>-0</v>
      </c>
    </row>
    <row r="21" customFormat="false" ht="15" hidden="false" customHeight="true" outlineLevel="0" collapsed="false">
      <c r="A21" s="105" t="s">
        <v>379</v>
      </c>
      <c r="B21" s="258" t="n">
        <f aca="false">B14+B19</f>
        <v>92953</v>
      </c>
      <c r="C21" s="258" t="n">
        <f aca="false">C14+C19</f>
        <v>111443</v>
      </c>
      <c r="D21" s="258" t="n">
        <f aca="false">D14+D19</f>
        <v>99584</v>
      </c>
      <c r="E21" s="258" t="n">
        <f aca="false">E14+E19</f>
        <v>108807</v>
      </c>
      <c r="F21" s="258" t="n">
        <f aca="false">F14+F19</f>
        <v>98767</v>
      </c>
      <c r="G21" s="259" t="n">
        <f aca="false">G14+G19</f>
        <v>153635.750984331</v>
      </c>
      <c r="H21" s="259" t="n">
        <f aca="false">H14+H19</f>
        <v>144816.262254417</v>
      </c>
      <c r="I21" s="259" t="n">
        <f aca="false">I14+I19</f>
        <v>154120.936311231</v>
      </c>
      <c r="J21" s="259" t="n">
        <f aca="false">J14+J19</f>
        <v>164299.734886534</v>
      </c>
    </row>
    <row r="23" customFormat="false" ht="18" hidden="false" customHeight="true" outlineLevel="0" collapsed="false">
      <c r="A23" s="109" t="s">
        <v>380</v>
      </c>
      <c r="B23" s="109"/>
      <c r="C23" s="109"/>
      <c r="D23" s="109"/>
      <c r="E23" s="109"/>
      <c r="F23" s="109"/>
      <c r="G23" s="109"/>
      <c r="H23" s="109"/>
      <c r="I23" s="109"/>
      <c r="J23" s="109"/>
    </row>
    <row r="24" customFormat="false" ht="15" hidden="false" customHeight="true" outlineLevel="0" collapsed="false">
      <c r="A24" s="115" t="s">
        <v>381</v>
      </c>
      <c r="B24" s="251" t="n">
        <v>-14467</v>
      </c>
      <c r="C24" s="251" t="n">
        <v>-14841</v>
      </c>
      <c r="D24" s="251" t="n">
        <v>-15025</v>
      </c>
      <c r="E24" s="251" t="n">
        <v>-15234</v>
      </c>
      <c r="F24" s="251" t="n">
        <v>-15421</v>
      </c>
      <c r="G24" s="184" t="n">
        <f aca="false">-Assumptions!G42*Assumptions!G41*G21</f>
        <v>-21893.0945152672</v>
      </c>
      <c r="H24" s="184" t="n">
        <f aca="false">-Assumptions!H42*Assumptions!H41*H21</f>
        <v>-20636.3173712544</v>
      </c>
      <c r="I24" s="184" t="n">
        <f aca="false">-Assumptions!I42*Assumptions!I41*I21</f>
        <v>-21962.2334243504</v>
      </c>
      <c r="J24" s="184" t="n">
        <f aca="false">-Assumptions!J42*Assumptions!J41*J21</f>
        <v>-23412.7122213311</v>
      </c>
    </row>
    <row r="25" customFormat="false" ht="15" hidden="false" customHeight="true" outlineLevel="0" collapsed="false">
      <c r="A25" s="115" t="s">
        <v>382</v>
      </c>
      <c r="B25" s="251" t="n">
        <v>-85971</v>
      </c>
      <c r="C25" s="251" t="n">
        <v>-89402</v>
      </c>
      <c r="D25" s="251" t="n">
        <v>-77550</v>
      </c>
      <c r="E25" s="251" t="n">
        <v>-94949</v>
      </c>
      <c r="F25" s="251" t="n">
        <v>-90711</v>
      </c>
      <c r="G25" s="184" t="n">
        <f aca="false">-(1-Assumptions!G42)*Assumptions!G41*G21</f>
        <v>-124060.868919847</v>
      </c>
      <c r="H25" s="184" t="n">
        <f aca="false">-(1-Assumptions!H42)*Assumptions!H41*H21</f>
        <v>-116939.131770442</v>
      </c>
      <c r="I25" s="184" t="n">
        <f aca="false">-(1-Assumptions!I42)*Assumptions!I41*I21</f>
        <v>-124452.656071319</v>
      </c>
      <c r="J25" s="184" t="n">
        <f aca="false">-(1-Assumptions!J42)*Assumptions!J41*J21</f>
        <v>-132672.035920876</v>
      </c>
    </row>
    <row r="26" customFormat="false" ht="15" hidden="false" customHeight="true" outlineLevel="0" collapsed="false">
      <c r="A26" s="115" t="s">
        <v>383</v>
      </c>
      <c r="B26" s="251" t="n">
        <v>7085</v>
      </c>
      <c r="C26" s="251" t="n">
        <v>-6506</v>
      </c>
      <c r="D26" s="251" t="n">
        <v>-15913</v>
      </c>
      <c r="E26" s="251" t="n">
        <v>-11800</v>
      </c>
      <c r="F26" s="251" t="n">
        <v>-14554</v>
      </c>
      <c r="G26" s="255" t="n">
        <f aca="false">(BS!H24-BS!G24)+(BS!H25-BS!G25)+(BS!H29-BS!G29)</f>
        <v>-23678</v>
      </c>
      <c r="H26" s="255" t="n">
        <f aca="false">(BS!I24-BS!H24)+(BS!I25-BS!H25)+(BS!I29-BS!H29)</f>
        <v>-12000</v>
      </c>
      <c r="I26" s="255" t="n">
        <f aca="false">(BS!J24-BS!I24)+(BS!J25-BS!I25)+(BS!J29-BS!I29)</f>
        <v>-10000</v>
      </c>
      <c r="J26" s="255" t="n">
        <f aca="false">(BS!K24-BS!J24)+(BS!K25-BS!J25)+(BS!K29-BS!J29)</f>
        <v>0</v>
      </c>
    </row>
    <row r="27" customFormat="false" ht="15" hidden="false" customHeight="true" outlineLevel="0" collapsed="false">
      <c r="A27" s="188" t="s">
        <v>384</v>
      </c>
      <c r="B27" s="178" t="n">
        <f aca="false">SUM(B24:B26)</f>
        <v>-93353</v>
      </c>
      <c r="C27" s="178" t="n">
        <f aca="false">SUM(C24:C26)</f>
        <v>-110749</v>
      </c>
      <c r="D27" s="178" t="n">
        <f aca="false">SUM(D24:D26)</f>
        <v>-108488</v>
      </c>
      <c r="E27" s="178" t="n">
        <f aca="false">SUM(E24:E26)</f>
        <v>-121983</v>
      </c>
      <c r="F27" s="178" t="n">
        <f aca="false">SUM(F24:F26)</f>
        <v>-120686</v>
      </c>
      <c r="G27" s="185" t="n">
        <f aca="false">SUM(G24:G26)</f>
        <v>-169631.963435114</v>
      </c>
      <c r="H27" s="185" t="n">
        <f aca="false">SUM(H24:H26)</f>
        <v>-149575.449141696</v>
      </c>
      <c r="I27" s="185" t="n">
        <f aca="false">SUM(I24:I26)</f>
        <v>-156414.889495669</v>
      </c>
      <c r="J27" s="185" t="n">
        <f aca="false">SUM(J24:J26)</f>
        <v>-156084.748142207</v>
      </c>
    </row>
    <row r="29" customFormat="false" ht="15" hidden="false" customHeight="true" outlineLevel="0" collapsed="false">
      <c r="A29" s="188" t="s">
        <v>385</v>
      </c>
      <c r="B29" s="178" t="n">
        <f aca="false">B14+B17+B27</f>
        <v>-3860</v>
      </c>
      <c r="C29" s="178" t="n">
        <f aca="false">C14+C17+C27</f>
        <v>-10952</v>
      </c>
      <c r="D29" s="178" t="n">
        <f aca="false">D14+D17+D27</f>
        <v>5760</v>
      </c>
      <c r="E29" s="178" t="n">
        <f aca="false">E14+E17+E27</f>
        <v>-794</v>
      </c>
      <c r="F29" s="178" t="n">
        <f aca="false">F14+F17+F27</f>
        <v>5991</v>
      </c>
      <c r="G29" s="185" t="n">
        <f aca="false">G14+G17+G27</f>
        <v>-12288</v>
      </c>
      <c r="H29" s="185" t="n">
        <f aca="false">H14+H17+H27</f>
        <v>0</v>
      </c>
      <c r="I29" s="185" t="n">
        <f aca="false">I14+I17+I27</f>
        <v>0</v>
      </c>
      <c r="J29" s="185" t="n">
        <f aca="false">J14+J17+J27</f>
        <v>8214.98674432669</v>
      </c>
    </row>
    <row r="30" customFormat="false" ht="15" hidden="false" customHeight="true" outlineLevel="0" collapsed="false">
      <c r="A30" s="177" t="s">
        <v>386</v>
      </c>
      <c r="B30" s="192" t="n">
        <f aca="false">B7+B29</f>
        <v>35929</v>
      </c>
      <c r="C30" s="192" t="n">
        <f aca="false">C7+C29</f>
        <v>24977</v>
      </c>
      <c r="D30" s="192" t="n">
        <f aca="false">D7+D29</f>
        <v>30737</v>
      </c>
      <c r="E30" s="192" t="n">
        <f aca="false">E7+E29</f>
        <v>29943</v>
      </c>
      <c r="F30" s="192" t="n">
        <f aca="false">F7+F29</f>
        <v>35934</v>
      </c>
      <c r="G30" s="193" t="n">
        <f aca="false">G7+G29</f>
        <v>23646</v>
      </c>
      <c r="H30" s="193" t="n">
        <f aca="false">H7+H29</f>
        <v>23646</v>
      </c>
      <c r="I30" s="193" t="n">
        <f aca="false">I7+I29</f>
        <v>23646</v>
      </c>
      <c r="J30" s="193" t="n">
        <f aca="false">J7+J29</f>
        <v>31860.9867443267</v>
      </c>
    </row>
    <row r="31" customFormat="false" ht="14.25" hidden="false" customHeight="false" outlineLevel="0" collapsed="false">
      <c r="D31" s="0" t="s">
        <v>137</v>
      </c>
    </row>
    <row r="32" customFormat="false" ht="15" hidden="false" customHeight="true" outlineLevel="0" collapsed="false"/>
    <row r="33" customFormat="false" ht="14.25" hidden="false" customHeight="false" outlineLevel="0" collapsed="false">
      <c r="A33" s="260" t="s">
        <v>387</v>
      </c>
      <c r="B33" s="261"/>
      <c r="C33" s="261"/>
      <c r="D33" s="261"/>
      <c r="E33" s="261"/>
      <c r="F33" s="261"/>
      <c r="G33" s="261"/>
      <c r="H33" s="261"/>
      <c r="I33" s="261"/>
      <c r="J33" s="261"/>
    </row>
    <row r="34" customFormat="false" ht="14.25" hidden="false" customHeight="false" outlineLevel="0" collapsed="false">
      <c r="A34" s="205" t="s">
        <v>105</v>
      </c>
      <c r="B34" s="224" t="n">
        <f aca="false">B14+B19</f>
        <v>92953</v>
      </c>
      <c r="C34" s="224" t="n">
        <f aca="false">C14+C19</f>
        <v>111443</v>
      </c>
      <c r="D34" s="224" t="n">
        <f aca="false">D14+D19</f>
        <v>99584</v>
      </c>
      <c r="E34" s="224" t="n">
        <f aca="false">E14+E19</f>
        <v>108807</v>
      </c>
      <c r="F34" s="224" t="n">
        <f aca="false">F14+F19</f>
        <v>98767</v>
      </c>
      <c r="G34" s="224" t="n">
        <f aca="false">G14+G19</f>
        <v>153635.750984331</v>
      </c>
      <c r="H34" s="224" t="n">
        <f aca="false">H14+H19</f>
        <v>144816.262254417</v>
      </c>
      <c r="I34" s="224" t="n">
        <f aca="false">I14+I19</f>
        <v>154120.936311231</v>
      </c>
      <c r="J34" s="224" t="n">
        <f aca="false">J14+J19</f>
        <v>164299.734886534</v>
      </c>
    </row>
    <row r="35" customFormat="false" ht="14.25" hidden="false" customHeight="false" outlineLevel="0" collapsed="false">
      <c r="A35" s="262" t="s">
        <v>388</v>
      </c>
      <c r="B35" s="169" t="n">
        <f aca="false">B34/IS!B14</f>
        <v>0.254096993852117</v>
      </c>
      <c r="C35" s="169" t="n">
        <f aca="false">C34/IS!C14</f>
        <v>0.28261498042239</v>
      </c>
      <c r="D35" s="169" t="n">
        <f aca="false">D34/IS!D14</f>
        <v>0.259817107374408</v>
      </c>
      <c r="E35" s="169" t="n">
        <f aca="false">E34/IS!E14</f>
        <v>0.278253864743565</v>
      </c>
      <c r="F35" s="169" t="n">
        <f aca="false">F34/IS!F14</f>
        <v>0.237328822258693</v>
      </c>
      <c r="G35" s="169" t="n">
        <f aca="false">G34/IS!H14</f>
        <v>0.351674042398978</v>
      </c>
      <c r="H35" s="169" t="n">
        <f aca="false">H34/IS!I14</f>
        <v>0.315448620053301</v>
      </c>
      <c r="I35" s="169" t="n">
        <f aca="false">I34/IS!J14</f>
        <v>0.319137521286277</v>
      </c>
      <c r="J35" s="169" t="n">
        <f aca="false">J34/IS!K14</f>
        <v>0.323063625519746</v>
      </c>
    </row>
    <row r="36" customFormat="false" ht="14.25" hidden="false" customHeight="false" outlineLevel="0" collapsed="false">
      <c r="A36" s="262" t="s">
        <v>389</v>
      </c>
      <c r="B36" s="169" t="n">
        <f aca="false">-B19/IS!B14</f>
        <v>0.0303020362640337</v>
      </c>
      <c r="C36" s="169" t="n">
        <f aca="false">-C19/IS!C14</f>
        <v>0.0271550587328316</v>
      </c>
      <c r="D36" s="169" t="n">
        <f aca="false">-D19/IS!D14</f>
        <v>0.0285923007683578</v>
      </c>
      <c r="E36" s="169" t="n">
        <f aca="false">-E19/IS!E14</f>
        <v>0.0241589627526948</v>
      </c>
      <c r="F36" s="169" t="n">
        <f aca="false">-F19/IS!F14</f>
        <v>0.0305530792169377</v>
      </c>
      <c r="G36" s="169" t="n">
        <f aca="false">-G19/IS!H14</f>
        <v>0.028</v>
      </c>
      <c r="H36" s="169" t="n">
        <f aca="false">-H19/IS!I14</f>
        <v>0.028</v>
      </c>
      <c r="I36" s="169" t="n">
        <f aca="false">-I19/IS!J14</f>
        <v>0.028</v>
      </c>
      <c r="J36" s="169" t="n">
        <f aca="false">-J19/IS!K14</f>
        <v>0.028</v>
      </c>
    </row>
    <row r="38" customFormat="false" ht="14.25" hidden="false" customHeight="false" outlineLevel="0" collapsed="false">
      <c r="A38" s="263" t="s">
        <v>390</v>
      </c>
    </row>
  </sheetData>
  <mergeCells count="5">
    <mergeCell ref="A1:J1"/>
    <mergeCell ref="A2:J2"/>
    <mergeCell ref="A9:J9"/>
    <mergeCell ref="A16:J16"/>
    <mergeCell ref="A23:J23"/>
  </mergeCells>
  <printOptions headings="false" gridLines="false" gridLinesSet="true" horizontalCentered="false" verticalCentered="false"/>
  <pageMargins left="0.25" right="0.25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E3"/>
    <pageSetUpPr fitToPage="true"/>
  </sheetPr>
  <dimension ref="A1:J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4" activeCellId="0" sqref="A24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9" min="2" style="0" width="13"/>
  </cols>
  <sheetData>
    <row r="1" customFormat="false" ht="31.5" hidden="false" customHeight="true" outlineLevel="0" collapsed="false">
      <c r="A1" s="103" t="s">
        <v>391</v>
      </c>
      <c r="B1" s="103"/>
      <c r="C1" s="103"/>
      <c r="D1" s="103"/>
      <c r="E1" s="103"/>
      <c r="F1" s="103"/>
      <c r="G1" s="103"/>
      <c r="H1" s="103"/>
      <c r="I1" s="103"/>
      <c r="J1" s="103"/>
    </row>
    <row r="2" customFormat="false" ht="19.5" hidden="false" customHeight="true" outlineLevel="0" collapsed="false">
      <c r="A2" s="104" t="s">
        <v>392</v>
      </c>
      <c r="B2" s="104"/>
      <c r="C2" s="104"/>
      <c r="D2" s="104"/>
      <c r="E2" s="104"/>
      <c r="F2" s="104"/>
      <c r="G2" s="104"/>
      <c r="H2" s="104"/>
      <c r="I2" s="104"/>
      <c r="J2" s="104"/>
    </row>
    <row r="3" customFormat="false" ht="6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true" outlineLevel="0" collapsed="false">
      <c r="A4" s="105" t="s">
        <v>138</v>
      </c>
      <c r="B4" s="106" t="s">
        <v>139</v>
      </c>
      <c r="C4" s="106" t="s">
        <v>140</v>
      </c>
      <c r="D4" s="106" t="s">
        <v>141</v>
      </c>
      <c r="E4" s="106" t="s">
        <v>142</v>
      </c>
      <c r="F4" s="106" t="s">
        <v>143</v>
      </c>
      <c r="G4" s="107" t="s">
        <v>144</v>
      </c>
      <c r="H4" s="107" t="s">
        <v>145</v>
      </c>
      <c r="I4" s="107" t="s">
        <v>146</v>
      </c>
      <c r="J4" s="107" t="s">
        <v>147</v>
      </c>
    </row>
    <row r="6" customFormat="false" ht="18" hidden="false" customHeight="true" outlineLevel="0" collapsed="false">
      <c r="A6" s="109" t="s">
        <v>393</v>
      </c>
      <c r="B6" s="109"/>
      <c r="C6" s="109"/>
      <c r="D6" s="109"/>
      <c r="E6" s="109"/>
      <c r="F6" s="109"/>
      <c r="G6" s="109"/>
      <c r="H6" s="109"/>
      <c r="I6" s="109"/>
      <c r="J6" s="109"/>
    </row>
    <row r="7" customFormat="false" ht="15" hidden="false" customHeight="true" outlineLevel="0" collapsed="false">
      <c r="A7" s="115" t="s">
        <v>394</v>
      </c>
      <c r="B7" s="264" t="n">
        <f aca="false">IS!B22/IS!B14</f>
        <v>0.417793596251678</v>
      </c>
      <c r="C7" s="264" t="n">
        <f aca="false">IS!C22/IS!C14</f>
        <v>0.433096305613601</v>
      </c>
      <c r="D7" s="264" t="n">
        <f aca="false">IS!D22/IS!D14</f>
        <v>0.441311295772076</v>
      </c>
      <c r="E7" s="264" t="n">
        <f aca="false">IS!E22/IS!E14</f>
        <v>0.462063498152339</v>
      </c>
      <c r="F7" s="264" t="n">
        <f aca="false">IS!F22/IS!F14</f>
        <v>0.469051641071605</v>
      </c>
      <c r="G7" s="265" t="n">
        <f aca="false">IS!H22/IS!H14</f>
        <v>0.477678867900558</v>
      </c>
      <c r="H7" s="265" t="n">
        <f aca="false">IS!I22/IS!I14</f>
        <v>0.483228572171775</v>
      </c>
      <c r="I7" s="265" t="n">
        <f aca="false">IS!J22/IS!J14</f>
        <v>0.488938714368391</v>
      </c>
      <c r="J7" s="265" t="n">
        <f aca="false">IS!K22/IS!K14</f>
        <v>0.494801696472473</v>
      </c>
    </row>
    <row r="8" customFormat="false" ht="15" hidden="false" customHeight="true" outlineLevel="0" collapsed="false">
      <c r="A8" s="115" t="s">
        <v>395</v>
      </c>
      <c r="B8" s="264" t="n">
        <f aca="false">IS!B29/IS!B14</f>
        <v>0.297823775275616</v>
      </c>
      <c r="C8" s="264" t="n">
        <f aca="false">IS!C29/IS!C14</f>
        <v>0.302887443955286</v>
      </c>
      <c r="D8" s="264" t="n">
        <f aca="false">IS!D29/IS!D14</f>
        <v>0.298214122650247</v>
      </c>
      <c r="E8" s="264" t="n">
        <f aca="false">IS!E29/IS!E14</f>
        <v>0.315102228700756</v>
      </c>
      <c r="F8" s="264" t="n">
        <f aca="false">IS!F29/IS!F14</f>
        <v>0.319707997625919</v>
      </c>
      <c r="G8" s="265" t="n">
        <f aca="false">IS!H29/IS!H14</f>
        <v>0.326640039966145</v>
      </c>
      <c r="H8" s="265" t="n">
        <f aca="false">IS!I29/IS!I14</f>
        <v>0.330602074244158</v>
      </c>
      <c r="I8" s="265" t="n">
        <f aca="false">IS!J29/IS!J14</f>
        <v>0.334840285709772</v>
      </c>
      <c r="J8" s="265" t="n">
        <f aca="false">IS!K29/IS!K14</f>
        <v>0.339355017613761</v>
      </c>
    </row>
    <row r="9" customFormat="false" ht="15" hidden="false" customHeight="true" outlineLevel="0" collapsed="false">
      <c r="A9" s="115" t="s">
        <v>396</v>
      </c>
      <c r="B9" s="264" t="n">
        <f aca="false">IS!B39/IS!B14</f>
        <v>0.258817933556942</v>
      </c>
      <c r="C9" s="264" t="n">
        <f aca="false">IS!C39/IS!C14</f>
        <v>0.253096407051997</v>
      </c>
      <c r="D9" s="264" t="n">
        <f aca="false">IS!D39/IS!D14</f>
        <v>0.253062342643203</v>
      </c>
      <c r="E9" s="264" t="n">
        <f aca="false">IS!E39/IS!E14</f>
        <v>0.239712557699439</v>
      </c>
      <c r="F9" s="264" t="n">
        <f aca="false">IS!F39/IS!F14</f>
        <v>0.269150641218182</v>
      </c>
      <c r="G9" s="265" t="n">
        <f aca="false">IS!H39/IS!H14</f>
        <v>0.277644033971224</v>
      </c>
      <c r="H9" s="265" t="n">
        <f aca="false">IS!I39/IS!I14</f>
        <v>0.281011763107535</v>
      </c>
      <c r="I9" s="265" t="n">
        <f aca="false">IS!J39/IS!J14</f>
        <v>0.284614242853306</v>
      </c>
      <c r="J9" s="265" t="n">
        <f aca="false">IS!K39/IS!K14</f>
        <v>0.288451764971697</v>
      </c>
    </row>
    <row r="10" customFormat="false" ht="15" hidden="false" customHeight="true" outlineLevel="0" collapsed="false">
      <c r="A10" s="115" t="s">
        <v>397</v>
      </c>
      <c r="B10" s="264" t="n">
        <f aca="false">(IS!B29+CFS!B10)/IS!B14</f>
        <v>0.328669799380565</v>
      </c>
      <c r="C10" s="264" t="n">
        <f aca="false">(IS!C29+CFS!C10)/IS!C14</f>
        <v>0.33104674281309</v>
      </c>
      <c r="D10" s="264" t="n">
        <f aca="false">(IS!D29+CFS!D10)/IS!D14</f>
        <v>0.328267477203647</v>
      </c>
      <c r="E10" s="264" t="n">
        <f aca="false">(IS!E29+CFS!E10)/IS!E14</f>
        <v>0.344370708504354</v>
      </c>
      <c r="F10" s="264" t="n">
        <f aca="false">(IS!F29+CFS!F10)/IS!F14</f>
        <v>0.347817311088737</v>
      </c>
      <c r="G10" s="265" t="n">
        <f aca="false">(IS!H29+CFS!G10)/IS!H14</f>
        <v>0.354640039966145</v>
      </c>
      <c r="H10" s="265" t="n">
        <f aca="false">(IS!I29+CFS!H10)/IS!I14</f>
        <v>0.358602074244158</v>
      </c>
      <c r="I10" s="265" t="n">
        <f aca="false">(IS!J29+CFS!I10)/IS!J14</f>
        <v>0.362840285709772</v>
      </c>
      <c r="J10" s="265" t="n">
        <f aca="false">(IS!K29+CFS!J10)/IS!K14</f>
        <v>0.367355017613761</v>
      </c>
    </row>
    <row r="12" customFormat="false" ht="18" hidden="false" customHeight="true" outlineLevel="0" collapsed="false">
      <c r="A12" s="109" t="s">
        <v>398</v>
      </c>
      <c r="B12" s="109"/>
      <c r="C12" s="109"/>
      <c r="D12" s="109"/>
      <c r="E12" s="109"/>
      <c r="F12" s="109"/>
      <c r="G12" s="109"/>
      <c r="H12" s="109"/>
      <c r="I12" s="109"/>
      <c r="J12" s="109"/>
    </row>
    <row r="13" customFormat="false" ht="15" hidden="false" customHeight="true" outlineLevel="0" collapsed="false">
      <c r="A13" s="115" t="s">
        <v>399</v>
      </c>
      <c r="B13" s="266" t="s">
        <v>400</v>
      </c>
      <c r="C13" s="264" t="n">
        <f aca="false">IS!C14/IS!B14-1</f>
        <v>0.0779378760418461</v>
      </c>
      <c r="D13" s="264" t="n">
        <f aca="false">IS!D14/IS!C14-1</f>
        <v>-0.0280046053031994</v>
      </c>
      <c r="E13" s="264" t="n">
        <f aca="false">IS!E14/IS!D14-1</f>
        <v>0.0202199407751411</v>
      </c>
      <c r="F13" s="264" t="n">
        <f aca="false">IS!F14/IS!E14-1</f>
        <v>0.0642551178283275</v>
      </c>
      <c r="G13" s="265" t="n">
        <f aca="false">IS!H14/IS!F14-1</f>
        <v>0.0497613904234178</v>
      </c>
      <c r="H13" s="265" t="n">
        <f aca="false">IS!I14/IS!H14-1</f>
        <v>0.0508403201411862</v>
      </c>
      <c r="I13" s="265" t="n">
        <f aca="false">IS!J14/IS!I14-1</f>
        <v>0.0519499299637793</v>
      </c>
      <c r="J13" s="265" t="n">
        <f aca="false">IS!K14/IS!J14-1</f>
        <v>0.0530888849420481</v>
      </c>
    </row>
    <row r="14" customFormat="false" ht="15" hidden="false" customHeight="true" outlineLevel="0" collapsed="false">
      <c r="A14" s="115" t="s">
        <v>401</v>
      </c>
      <c r="B14" s="266" t="s">
        <v>400</v>
      </c>
      <c r="C14" s="264" t="n">
        <f aca="false">IS!C29/IS!B29-1</f>
        <v>0.0962652250135385</v>
      </c>
      <c r="D14" s="264" t="n">
        <f aca="false">IS!D29/IS!C29-1</f>
        <v>-0.043001749876504</v>
      </c>
      <c r="E14" s="264" t="n">
        <f aca="false">IS!E29/IS!D29-1</f>
        <v>0.0779958180593345</v>
      </c>
      <c r="F14" s="264" t="n">
        <f aca="false">IS!F29/IS!E29-1</f>
        <v>0.079811063498247</v>
      </c>
      <c r="G14" s="265" t="n">
        <f aca="false">IS!H29/IS!F29-1</f>
        <v>0.0725227553551295</v>
      </c>
      <c r="H14" s="265" t="n">
        <f aca="false">IS!I29/IS!H29-1</f>
        <v>0.0635866612497318</v>
      </c>
      <c r="I14" s="265" t="n">
        <f aca="false">IS!J29/IS!I29-1</f>
        <v>0.0654355871987395</v>
      </c>
      <c r="J14" s="265" t="n">
        <f aca="false">IS!K29/IS!J29-1</f>
        <v>0.0672879350250057</v>
      </c>
    </row>
    <row r="15" customFormat="false" ht="15" hidden="false" customHeight="true" outlineLevel="0" collapsed="false">
      <c r="A15" s="115" t="s">
        <v>402</v>
      </c>
      <c r="B15" s="266" t="s">
        <v>400</v>
      </c>
      <c r="C15" s="264" t="n">
        <f aca="false">IS!C39/IS!B39-1</f>
        <v>0.0541085762568652</v>
      </c>
      <c r="D15" s="264" t="n">
        <f aca="false">IS!D39/IS!C39-1</f>
        <v>-0.0281354267907779</v>
      </c>
      <c r="E15" s="264" t="n">
        <f aca="false">IS!E39/IS!D39-1</f>
        <v>-0.0335996700860869</v>
      </c>
      <c r="F15" s="264" t="n">
        <f aca="false">IS!F39/IS!E39-1</f>
        <v>0.194951779465734</v>
      </c>
      <c r="G15" s="265" t="n">
        <f aca="false">IS!H39/IS!F39-1</f>
        <v>0.0828879538434066</v>
      </c>
      <c r="H15" s="265" t="n">
        <f aca="false">IS!I39/IS!H39-1</f>
        <v>0.0635866612497318</v>
      </c>
      <c r="I15" s="265" t="n">
        <f aca="false">IS!J39/IS!I39-1</f>
        <v>0.0654355871987395</v>
      </c>
      <c r="J15" s="265" t="n">
        <f aca="false">IS!K39/IS!J39-1</f>
        <v>0.0672879350250057</v>
      </c>
    </row>
    <row r="17" customFormat="false" ht="18" hidden="false" customHeight="true" outlineLevel="0" collapsed="false">
      <c r="A17" s="109" t="s">
        <v>403</v>
      </c>
      <c r="B17" s="109"/>
      <c r="C17" s="109"/>
      <c r="D17" s="109"/>
      <c r="E17" s="109"/>
      <c r="F17" s="109"/>
      <c r="G17" s="109"/>
      <c r="H17" s="109"/>
      <c r="I17" s="109"/>
      <c r="J17" s="109"/>
    </row>
    <row r="18" customFormat="false" ht="15" hidden="false" customHeight="true" outlineLevel="0" collapsed="false">
      <c r="A18" s="115" t="s">
        <v>404</v>
      </c>
      <c r="B18" s="264" t="n">
        <f aca="false">IS!B39/BS!C18</f>
        <v>0.269742052751836</v>
      </c>
      <c r="C18" s="264" t="n">
        <f aca="false">IS!C39/BS!D18</f>
        <v>0.282924409292569</v>
      </c>
      <c r="D18" s="264" t="n">
        <f aca="false">IS!D39/BS!E18</f>
        <v>0.275098345637765</v>
      </c>
      <c r="E18" s="264" t="n">
        <f aca="false">IS!E39/BS!F18</f>
        <v>0.256825031508576</v>
      </c>
      <c r="F18" s="264" t="n">
        <f aca="false">IS!F39/BS!G18</f>
        <v>0.311796259335655</v>
      </c>
      <c r="G18" s="265" t="n">
        <f aca="false">IS!H39/BS!H18</f>
        <v>0.356111695322864</v>
      </c>
      <c r="H18" s="265" t="n">
        <f aca="false">IS!I39/BS!I18</f>
        <v>0.374695196377888</v>
      </c>
      <c r="I18" s="265" t="n">
        <f aca="false">IS!J39/BS!J18</f>
        <v>0.391532273827343</v>
      </c>
      <c r="J18" s="265" t="n">
        <f aca="false">IS!K39/BS!K18</f>
        <v>0.397587056135963</v>
      </c>
    </row>
    <row r="19" customFormat="false" ht="15" hidden="false" customHeight="true" outlineLevel="0" collapsed="false">
      <c r="A19" s="115" t="s">
        <v>405</v>
      </c>
      <c r="B19" s="264" t="n">
        <f aca="false">IS!B39/BS!C38</f>
        <v>1.50071326676177</v>
      </c>
      <c r="C19" s="264" t="n">
        <f aca="false">IS!C39/BS!D38</f>
        <v>1.96958872750237</v>
      </c>
      <c r="D19" s="264" t="n">
        <f aca="false">IS!D39/BS!E38</f>
        <v>1.56076014546391</v>
      </c>
      <c r="E19" s="264" t="n">
        <f aca="false">IS!E39/BS!F38</f>
        <v>1.64593503072871</v>
      </c>
      <c r="F19" s="264" t="n">
        <f aca="false">IS!F39/BS!G38</f>
        <v>1.51912983331751</v>
      </c>
      <c r="G19" s="265" t="n">
        <f aca="false">IS!H39/BS!H38</f>
        <v>1.93710457675625</v>
      </c>
      <c r="H19" s="265" t="n">
        <f aca="false">IS!I39/BS!I38</f>
        <v>1.8894010552426</v>
      </c>
      <c r="I19" s="265" t="n">
        <f aca="false">IS!J39/BS!J38</f>
        <v>1.85031639888256</v>
      </c>
      <c r="J19" s="265" t="n">
        <f aca="false">IS!K39/BS!K38</f>
        <v>1.81866716518596</v>
      </c>
    </row>
    <row r="20" customFormat="false" ht="19.5" hidden="false" customHeight="true" outlineLevel="0" collapsed="false">
      <c r="A20" s="115" t="s">
        <v>406</v>
      </c>
      <c r="B20" s="264" t="n">
        <f aca="false">(IS!B29*(1-Assumptions!$B$50))/(BS!C42+BS!C38)</f>
        <v>0.493089521801405</v>
      </c>
      <c r="C20" s="264" t="n">
        <f aca="false">(IS!C29*(1-Assumptions!$B$50))/(BS!D42+BS!D38)</f>
        <v>0.594593272851863</v>
      </c>
      <c r="D20" s="264" t="n">
        <f aca="false">(IS!D29*(1-Assumptions!$B$50))/(BS!E42+BS!E38)</f>
        <v>0.56083592135493</v>
      </c>
      <c r="E20" s="264" t="n">
        <f aca="false">(IS!E29*(1-Assumptions!$B$50))/(BS!F42+BS!F38)</f>
        <v>0.640263114458457</v>
      </c>
      <c r="F20" s="264" t="n">
        <f aca="false">(IS!F29*(1-Assumptions!$B$50))/(BS!G42+BS!G38)</f>
        <v>0.656027031730379</v>
      </c>
      <c r="G20" s="265" t="n">
        <f aca="false">(IS!H29*(1-Assumptions!$B$50))/(BS!H42+BS!H38)</f>
        <v>0.881529373757274</v>
      </c>
      <c r="H20" s="265" t="n">
        <f aca="false">(IS!I29*(1-Assumptions!$B$50))/(BS!I42+BS!I38)</f>
        <v>0.982848168829833</v>
      </c>
      <c r="I20" s="265" t="n">
        <f aca="false">(IS!J29*(1-Assumptions!$B$50))/(BS!J42+BS!J38)</f>
        <v>1.08003730566658</v>
      </c>
      <c r="J20" s="265" t="n">
        <f aca="false">(IS!K29*(1-Assumptions!$B$50))/(BS!K42+BS!K38)</f>
        <v>1.09769683396158</v>
      </c>
    </row>
    <row r="21" customFormat="false" ht="19.5" hidden="false" customHeight="true" outlineLevel="0" collapsed="false"/>
    <row r="22" customFormat="false" ht="19.5" hidden="false" customHeight="true" outlineLevel="0" collapsed="false">
      <c r="A22" s="109" t="s">
        <v>407</v>
      </c>
      <c r="B22" s="109"/>
      <c r="C22" s="109"/>
      <c r="D22" s="109"/>
      <c r="E22" s="109"/>
      <c r="F22" s="109"/>
      <c r="G22" s="109"/>
      <c r="H22" s="109"/>
      <c r="I22" s="109"/>
      <c r="J22" s="109"/>
    </row>
    <row r="23" customFormat="false" ht="19.5" hidden="false" customHeight="true" outlineLevel="0" collapsed="false">
      <c r="A23" s="115" t="s">
        <v>365</v>
      </c>
      <c r="B23" s="267" t="n">
        <f aca="false">BS!C42/BS!C38</f>
        <v>1.97684260580124</v>
      </c>
      <c r="C23" s="267" t="n">
        <f aca="false">BS!D42/BS!D38</f>
        <v>2.36953347016104</v>
      </c>
      <c r="D23" s="267" t="n">
        <f aca="false">BS!E42/BS!E38</f>
        <v>1.78753258455894</v>
      </c>
      <c r="E23" s="267" t="n">
        <f aca="false">BS!F42/BS!F38</f>
        <v>1.8723266022827</v>
      </c>
      <c r="F23" s="267" t="n">
        <f aca="false">BS!G42/BS!G38</f>
        <v>1.33803046125887</v>
      </c>
      <c r="G23" s="268" t="n">
        <f aca="false">BS!H42/BS!H38</f>
        <v>1.19743622211916</v>
      </c>
      <c r="H23" s="268" t="n">
        <f aca="false">BS!I42/BS!I38</f>
        <v>0.922373277138109</v>
      </c>
      <c r="I23" s="268" t="n">
        <f aca="false">BS!J42/BS!J38</f>
        <v>0.7131967471629</v>
      </c>
      <c r="J23" s="268" t="n">
        <f aca="false">BS!K42/BS!K38</f>
        <v>0.656802779162988</v>
      </c>
    </row>
    <row r="24" customFormat="false" ht="19.5" hidden="false" customHeight="true" outlineLevel="0" collapsed="false">
      <c r="A24" s="115" t="s">
        <v>408</v>
      </c>
      <c r="B24" s="264" t="n">
        <f aca="false">BS!C42/(BS!C42+BS!C38)</f>
        <v>0.664073606696165</v>
      </c>
      <c r="C24" s="264" t="n">
        <f aca="false">BS!D42/(BS!D42+BS!D38)</f>
        <v>0.70322301029044</v>
      </c>
      <c r="D24" s="264" t="n">
        <f aca="false">BS!E42/(BS!E42+BS!E38)</f>
        <v>0.641259798884746</v>
      </c>
      <c r="E24" s="264" t="n">
        <f aca="false">BS!F42/(BS!F42+BS!F38)</f>
        <v>0.651850176367382</v>
      </c>
      <c r="F24" s="264" t="n">
        <f aca="false">BS!G42/(BS!G42+BS!G38)</f>
        <v>0.572289575961483</v>
      </c>
      <c r="G24" s="265" t="n">
        <f aca="false">BS!H42/(BS!H42+BS!H38)</f>
        <v>0.544924221265625</v>
      </c>
      <c r="H24" s="265" t="n">
        <f aca="false">BS!I42/(BS!I42+BS!I38)</f>
        <v>0.479809664495166</v>
      </c>
      <c r="I24" s="265" t="n">
        <f aca="false">BS!J42/(BS!J42+BS!J38)</f>
        <v>0.416295879818808</v>
      </c>
      <c r="J24" s="265" t="n">
        <f aca="false">BS!K42/(BS!K42+BS!K38)</f>
        <v>0.396427859382758</v>
      </c>
    </row>
    <row r="25" customFormat="false" ht="19.5" hidden="false" customHeight="true" outlineLevel="0" collapsed="false">
      <c r="A25" s="115" t="s">
        <v>409</v>
      </c>
      <c r="B25" s="267" t="n">
        <f aca="false">BS!C11/BS!C26</f>
        <v>1.0745531195958</v>
      </c>
      <c r="C25" s="267" t="n">
        <f aca="false">BS!D11/BS!D26</f>
        <v>0.879356028626723</v>
      </c>
      <c r="D25" s="267" t="n">
        <f aca="false">BS!E11/BS!E26</f>
        <v>0.988011671759298</v>
      </c>
      <c r="E25" s="267" t="n">
        <f aca="false">BS!F11/BS!F26</f>
        <v>0.867312576534083</v>
      </c>
      <c r="F25" s="267" t="n">
        <f aca="false">BS!G11/BS!G26</f>
        <v>0.893292922218667</v>
      </c>
      <c r="G25" s="268" t="n">
        <f aca="false">BS!H11/BS!H26</f>
        <v>0.791359295958124</v>
      </c>
      <c r="H25" s="268" t="n">
        <f aca="false">BS!I11/BS!I26</f>
        <v>0.789293268875243</v>
      </c>
      <c r="I25" s="268" t="n">
        <f aca="false">BS!J11/BS!J26</f>
        <v>0.777731356147095</v>
      </c>
      <c r="J25" s="268" t="n">
        <f aca="false">BS!K11/BS!K26</f>
        <v>0.810034760036305</v>
      </c>
    </row>
    <row r="26" customFormat="false" ht="19.5" hidden="false" customHeight="true" outlineLevel="0" collapsed="false">
      <c r="A26" s="115" t="s">
        <v>410</v>
      </c>
      <c r="B26" s="254" t="n">
        <f aca="false">BS!C43</f>
        <v>-65797</v>
      </c>
      <c r="C26" s="254" t="n">
        <f aca="false">BS!D43</f>
        <v>-49040</v>
      </c>
      <c r="D26" s="254" t="n">
        <f aca="false">BS!E43</f>
        <v>-51011</v>
      </c>
      <c r="E26" s="254" t="n">
        <f aca="false">BS!F43</f>
        <v>-50021</v>
      </c>
      <c r="F26" s="254" t="n">
        <f aca="false">BS!G43</f>
        <v>-33763</v>
      </c>
      <c r="G26" s="253" t="n">
        <f aca="false">BS!H43</f>
        <v>-41444.7875492166</v>
      </c>
      <c r="H26" s="253" t="n">
        <f aca="false">BS!I43</f>
        <v>-48685.6006619374</v>
      </c>
      <c r="I26" s="253" t="n">
        <f aca="false">BS!J43</f>
        <v>-56391.647477499</v>
      </c>
      <c r="J26" s="253" t="n">
        <f aca="false">BS!K43</f>
        <v>-64606.6342218256</v>
      </c>
    </row>
    <row r="27" customFormat="false" ht="19.5" hidden="false" customHeight="true" outlineLevel="0" collapsed="false"/>
    <row r="28" customFormat="false" ht="19.5" hidden="false" customHeight="true" outlineLevel="0" collapsed="false">
      <c r="A28" s="109" t="s">
        <v>411</v>
      </c>
      <c r="B28" s="109"/>
      <c r="C28" s="109"/>
      <c r="D28" s="109"/>
      <c r="E28" s="109"/>
      <c r="F28" s="109"/>
      <c r="G28" s="109"/>
      <c r="H28" s="109"/>
      <c r="I28" s="109"/>
      <c r="J28" s="109"/>
    </row>
    <row r="29" customFormat="false" ht="15" hidden="false" customHeight="true" outlineLevel="0" collapsed="false">
      <c r="A29" s="115" t="s">
        <v>412</v>
      </c>
      <c r="B29" s="254" t="n">
        <f aca="false">CFS!B14</f>
        <v>104038</v>
      </c>
      <c r="C29" s="254" t="n">
        <f aca="false">CFS!C14</f>
        <v>122151</v>
      </c>
      <c r="D29" s="254" t="n">
        <f aca="false">CFS!D14</f>
        <v>110543</v>
      </c>
      <c r="E29" s="254" t="n">
        <f aca="false">CFS!E14</f>
        <v>118254</v>
      </c>
      <c r="F29" s="254" t="n">
        <f aca="false">CFS!F14</f>
        <v>111482</v>
      </c>
      <c r="G29" s="253" t="n">
        <f aca="false">CFS!G14</f>
        <v>165868.103984331</v>
      </c>
      <c r="H29" s="253" t="n">
        <f aca="false">CFS!H14</f>
        <v>157670.511997017</v>
      </c>
      <c r="I29" s="253" t="n">
        <f aca="false">CFS!I14</f>
        <v>167642.963427696</v>
      </c>
      <c r="J29" s="253" t="n">
        <f aca="false">CFS!J14</f>
        <v>178539.631344768</v>
      </c>
    </row>
    <row r="30" customFormat="false" ht="15" hidden="false" customHeight="true" outlineLevel="0" collapsed="false">
      <c r="A30" s="115" t="s">
        <v>413</v>
      </c>
      <c r="B30" s="254" t="n">
        <f aca="false">CFS!B21</f>
        <v>92953</v>
      </c>
      <c r="C30" s="254" t="n">
        <f aca="false">CFS!C21</f>
        <v>111443</v>
      </c>
      <c r="D30" s="254" t="n">
        <f aca="false">CFS!D21</f>
        <v>99584</v>
      </c>
      <c r="E30" s="254" t="n">
        <f aca="false">CFS!E21</f>
        <v>108807</v>
      </c>
      <c r="F30" s="254" t="n">
        <f aca="false">CFS!F21</f>
        <v>98767</v>
      </c>
      <c r="G30" s="253" t="n">
        <f aca="false">CFS!G21</f>
        <v>153635.750984331</v>
      </c>
      <c r="H30" s="253" t="n">
        <f aca="false">CFS!H21</f>
        <v>144816.262254417</v>
      </c>
      <c r="I30" s="253" t="n">
        <f aca="false">CFS!I21</f>
        <v>154120.936311231</v>
      </c>
      <c r="J30" s="253" t="n">
        <f aca="false">CFS!J21</f>
        <v>164299.734886534</v>
      </c>
    </row>
    <row r="31" customFormat="false" ht="15" hidden="false" customHeight="true" outlineLevel="0" collapsed="false">
      <c r="A31" s="115" t="s">
        <v>414</v>
      </c>
      <c r="B31" s="264" t="n">
        <f aca="false">CFS!B21/IS!B14</f>
        <v>0.254096993852117</v>
      </c>
      <c r="C31" s="264" t="n">
        <f aca="false">CFS!C21/IS!C14</f>
        <v>0.28261498042239</v>
      </c>
      <c r="D31" s="264" t="n">
        <f aca="false">CFS!D21/IS!D14</f>
        <v>0.259817107374408</v>
      </c>
      <c r="E31" s="264" t="n">
        <f aca="false">CFS!E21/IS!E14</f>
        <v>0.278253864743565</v>
      </c>
      <c r="F31" s="264" t="n">
        <f aca="false">CFS!F21/IS!F14</f>
        <v>0.237328822258693</v>
      </c>
      <c r="G31" s="265" t="n">
        <f aca="false">CFS!G21/IS!H14</f>
        <v>0.351674042398978</v>
      </c>
      <c r="H31" s="265" t="n">
        <f aca="false">CFS!H21/IS!I14</f>
        <v>0.315448620053301</v>
      </c>
      <c r="I31" s="265" t="n">
        <f aca="false">CFS!I21/IS!J14</f>
        <v>0.319137521286277</v>
      </c>
      <c r="J31" s="265" t="n">
        <f aca="false">CFS!J21/IS!K14</f>
        <v>0.323063625519746</v>
      </c>
    </row>
    <row r="32" customFormat="false" ht="15" hidden="false" customHeight="true" outlineLevel="0" collapsed="false">
      <c r="A32" s="115" t="s">
        <v>415</v>
      </c>
      <c r="B32" s="267" t="n">
        <f aca="false">CFS!B21/IS!B39</f>
        <v>0.981759611322349</v>
      </c>
      <c r="C32" s="267" t="n">
        <f aca="false">CFS!C21/IS!C39</f>
        <v>1.11662976062844</v>
      </c>
      <c r="D32" s="267" t="n">
        <f aca="false">CFS!D21/IS!D39</f>
        <v>1.0266920975308</v>
      </c>
      <c r="E32" s="267" t="n">
        <f aca="false">CFS!E21/IS!E39</f>
        <v>1.16078134334727</v>
      </c>
      <c r="F32" s="267" t="n">
        <f aca="false">CFS!F21/IS!F39</f>
        <v>0.881769484867423</v>
      </c>
      <c r="G32" s="268" t="n">
        <f aca="false">CFS!G21/IS!H39</f>
        <v>1.26663640982621</v>
      </c>
      <c r="H32" s="268" t="n">
        <f aca="false">CFS!H21/IS!I39</f>
        <v>1.12254596236453</v>
      </c>
      <c r="I32" s="268" t="n">
        <f aca="false">CFS!I21/IS!J39</f>
        <v>1.12129849190564</v>
      </c>
      <c r="J32" s="268" t="n">
        <f aca="false">CFS!J21/IS!K39</f>
        <v>1.11999184872883</v>
      </c>
    </row>
    <row r="33" customFormat="false" ht="15" hidden="false" customHeight="true" outlineLevel="0" collapsed="false">
      <c r="A33" s="115" t="s">
        <v>416</v>
      </c>
      <c r="B33" s="269" t="n">
        <f aca="false">-CFS!B19/IS!B14</f>
        <v>0.0303020362640337</v>
      </c>
      <c r="C33" s="269" t="n">
        <f aca="false">-CFS!C19/IS!C14</f>
        <v>0.0271550587328316</v>
      </c>
      <c r="D33" s="269" t="n">
        <f aca="false">-CFS!D19/IS!D14</f>
        <v>0.0285923007683578</v>
      </c>
      <c r="E33" s="269" t="n">
        <f aca="false">-CFS!E19/IS!E14</f>
        <v>0.0241589627526948</v>
      </c>
      <c r="F33" s="269" t="n">
        <f aca="false">-CFS!F19/IS!F14</f>
        <v>0.0305530792169377</v>
      </c>
      <c r="G33" s="270" t="n">
        <f aca="false">-CFS!G19/IS!H14</f>
        <v>0.028</v>
      </c>
      <c r="H33" s="270" t="n">
        <f aca="false">-CFS!H19/IS!I14</f>
        <v>0.028</v>
      </c>
      <c r="I33" s="270" t="n">
        <f aca="false">-CFS!I19/IS!J14</f>
        <v>0.028</v>
      </c>
      <c r="J33" s="270" t="n">
        <f aca="false">-CFS!J19/IS!K14</f>
        <v>0.028</v>
      </c>
    </row>
  </sheetData>
  <mergeCells count="7">
    <mergeCell ref="A1:J1"/>
    <mergeCell ref="A2:J2"/>
    <mergeCell ref="A6:J6"/>
    <mergeCell ref="A12:J12"/>
    <mergeCell ref="A17:J17"/>
    <mergeCell ref="A22:J22"/>
    <mergeCell ref="A28:J28"/>
  </mergeCells>
  <printOptions headings="false" gridLines="false" gridLinesSet="true" horizontalCentered="false" verticalCentered="false"/>
  <pageMargins left="0.25" right="0.25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E3"/>
    <pageSetUpPr fitToPage="true"/>
  </sheetPr>
  <dimension ref="A1:J73"/>
  <sheetViews>
    <sheetView showFormulas="false" showGridLines="fals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A14" activeCellId="0" sqref="A14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9" min="2" style="0" width="14"/>
  </cols>
  <sheetData>
    <row r="1" customFormat="false" ht="31.5" hidden="false" customHeight="true" outlineLevel="0" collapsed="false">
      <c r="A1" s="103" t="s">
        <v>417</v>
      </c>
      <c r="B1" s="103"/>
      <c r="C1" s="103"/>
      <c r="D1" s="103"/>
      <c r="E1" s="103"/>
      <c r="F1" s="103"/>
      <c r="G1" s="103"/>
      <c r="H1" s="103"/>
      <c r="I1" s="103"/>
      <c r="J1" s="103"/>
    </row>
    <row r="2" customFormat="false" ht="19.5" hidden="false" customHeight="true" outlineLevel="0" collapsed="false">
      <c r="A2" s="104" t="s">
        <v>418</v>
      </c>
      <c r="B2" s="104"/>
      <c r="C2" s="104"/>
      <c r="D2" s="104"/>
      <c r="E2" s="104"/>
      <c r="F2" s="104"/>
      <c r="G2" s="104"/>
      <c r="H2" s="104"/>
      <c r="I2" s="104"/>
      <c r="J2" s="104"/>
    </row>
    <row r="3" customFormat="false" ht="6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true" outlineLevel="0" collapsed="false">
      <c r="A4" s="105" t="s">
        <v>138</v>
      </c>
      <c r="B4" s="107" t="s">
        <v>144</v>
      </c>
      <c r="C4" s="107" t="s">
        <v>145</v>
      </c>
      <c r="D4" s="107" t="s">
        <v>146</v>
      </c>
      <c r="E4" s="107" t="s">
        <v>147</v>
      </c>
      <c r="F4" s="107" t="s">
        <v>419</v>
      </c>
    </row>
    <row r="6" customFormat="false" ht="18" hidden="false" customHeight="true" outlineLevel="0" collapsed="false">
      <c r="A6" s="109" t="s">
        <v>420</v>
      </c>
      <c r="B6" s="109"/>
      <c r="C6" s="109"/>
      <c r="D6" s="109"/>
      <c r="E6" s="109"/>
      <c r="F6" s="109"/>
    </row>
    <row r="7" customFormat="false" ht="15" hidden="false" customHeight="true" outlineLevel="0" collapsed="false">
      <c r="A7" s="115" t="s">
        <v>421</v>
      </c>
      <c r="B7" s="253" t="n">
        <f aca="false">IS!H29</f>
        <v>142699.1526</v>
      </c>
      <c r="C7" s="253" t="n">
        <f aca="false">IS!I29</f>
        <v>151772.915277</v>
      </c>
      <c r="D7" s="253" t="n">
        <f aca="false">IS!J29</f>
        <v>161704.265109015</v>
      </c>
      <c r="E7" s="253" t="n">
        <f aca="false">IS!K29</f>
        <v>172585.011192937</v>
      </c>
    </row>
    <row r="8" customFormat="false" ht="15" hidden="false" customHeight="true" outlineLevel="0" collapsed="false">
      <c r="A8" s="115" t="s">
        <v>422</v>
      </c>
      <c r="B8" s="265" t="n">
        <f aca="false">1-Assumptions!G25</f>
        <v>0.85</v>
      </c>
      <c r="C8" s="265" t="n">
        <f aca="false">1-Assumptions!H25</f>
        <v>0.85</v>
      </c>
      <c r="D8" s="265" t="n">
        <f aca="false">1-Assumptions!I25</f>
        <v>0.85</v>
      </c>
      <c r="E8" s="265" t="n">
        <f aca="false">1-Assumptions!J25</f>
        <v>0.85</v>
      </c>
    </row>
    <row r="9" customFormat="false" ht="15" hidden="false" customHeight="true" outlineLevel="0" collapsed="false">
      <c r="A9" s="188" t="s">
        <v>423</v>
      </c>
      <c r="B9" s="185" t="n">
        <f aca="false">B7*B8</f>
        <v>121294.27971</v>
      </c>
      <c r="C9" s="185" t="n">
        <f aca="false">C7*C8</f>
        <v>129006.97798545</v>
      </c>
      <c r="D9" s="185" t="n">
        <f aca="false">D7*D8</f>
        <v>137448.625342663</v>
      </c>
      <c r="E9" s="185" t="n">
        <f aca="false">E7*E8</f>
        <v>146697.259513996</v>
      </c>
    </row>
    <row r="10" customFormat="false" ht="15" hidden="false" customHeight="true" outlineLevel="0" collapsed="false">
      <c r="A10" s="115" t="s">
        <v>424</v>
      </c>
      <c r="B10" s="253" t="n">
        <f aca="false">CFS!G10</f>
        <v>12232.353</v>
      </c>
      <c r="C10" s="253" t="n">
        <f aca="false">CFS!H10</f>
        <v>12854.2497426</v>
      </c>
      <c r="D10" s="253" t="n">
        <f aca="false">CFS!I10</f>
        <v>13522.027116465</v>
      </c>
      <c r="E10" s="253" t="n">
        <f aca="false">CFS!J10</f>
        <v>14239.8964582343</v>
      </c>
    </row>
    <row r="11" customFormat="false" ht="15" hidden="false" customHeight="true" outlineLevel="0" collapsed="false">
      <c r="A11" s="115" t="s">
        <v>425</v>
      </c>
      <c r="B11" s="253" t="n">
        <f aca="false">CFS!G19</f>
        <v>-12232.353</v>
      </c>
      <c r="C11" s="253" t="n">
        <f aca="false">CFS!H19</f>
        <v>-12854.2497426</v>
      </c>
      <c r="D11" s="253" t="n">
        <f aca="false">CFS!I19</f>
        <v>-13522.027116465</v>
      </c>
      <c r="E11" s="253" t="n">
        <f aca="false">CFS!J19</f>
        <v>-14239.8964582343</v>
      </c>
    </row>
    <row r="12" customFormat="false" ht="15" hidden="false" customHeight="true" outlineLevel="0" collapsed="false">
      <c r="A12" s="115" t="s">
        <v>426</v>
      </c>
      <c r="B12" s="253" t="n">
        <f aca="false">CFS!G13</f>
        <v>18798.509024331</v>
      </c>
      <c r="C12" s="253" t="n">
        <f aca="false">CFS!H13</f>
        <v>1577.79348251677</v>
      </c>
      <c r="D12" s="253" t="n">
        <f aca="false">CFS!I13</f>
        <v>1701.49523248174</v>
      </c>
      <c r="E12" s="253" t="n">
        <f aca="false">CFS!J13</f>
        <v>1836.87572234964</v>
      </c>
    </row>
    <row r="13" customFormat="false" ht="15" hidden="false" customHeight="true" outlineLevel="0" collapsed="false">
      <c r="A13" s="177" t="s">
        <v>427</v>
      </c>
      <c r="B13" s="190" t="n">
        <f aca="false">B9+B10+B11+B12</f>
        <v>140092.788734331</v>
      </c>
      <c r="C13" s="190" t="n">
        <f aca="false">C9+C10+C11+C12</f>
        <v>130584.771467967</v>
      </c>
      <c r="D13" s="190" t="n">
        <f aca="false">D9+D10+D11+D12</f>
        <v>139150.120575144</v>
      </c>
      <c r="E13" s="271" t="n">
        <f aca="false">E9+E10+E11+E12</f>
        <v>148534.135236346</v>
      </c>
      <c r="F13" s="271" t="n">
        <f aca="false">E13*(1+Assumptions!$B$55)/(Assumptions!$B$54-Assumptions!$B$55)</f>
        <v>2225840.47686044</v>
      </c>
    </row>
    <row r="14" customFormat="false" ht="14.25" hidden="false" customHeight="false" outlineLevel="0" collapsed="false">
      <c r="A14" s="186" t="s">
        <v>428</v>
      </c>
      <c r="B14" s="272" t="n">
        <f aca="false">DATE(2026,9,26)</f>
        <v>46291</v>
      </c>
      <c r="C14" s="272" t="n">
        <f aca="false">DATE(2027,9,25)</f>
        <v>46655</v>
      </c>
      <c r="D14" s="272" t="n">
        <f aca="false">DATE(2028,9,30)</f>
        <v>47026</v>
      </c>
      <c r="E14" s="272" t="n">
        <f aca="false">DATE(2029,9,29)</f>
        <v>47390</v>
      </c>
      <c r="F14" s="273" t="n">
        <f aca="false">E14</f>
        <v>47390</v>
      </c>
    </row>
    <row r="15" customFormat="false" ht="15" hidden="false" customHeight="true" outlineLevel="0" collapsed="false">
      <c r="A15" s="186" t="s">
        <v>429</v>
      </c>
      <c r="B15" s="274" t="n">
        <f aca="false">(B14-Assumptions!$B$60)/365.25</f>
        <v>-0.0054757015742642</v>
      </c>
      <c r="C15" s="274" t="n">
        <f aca="false">(C14-Assumptions!$B$60)/365.25</f>
        <v>0.991101984941821</v>
      </c>
      <c r="D15" s="274" t="n">
        <f aca="false">(D14-Assumptions!$B$60)/365.25</f>
        <v>2.00684462696783</v>
      </c>
      <c r="E15" s="274" t="n">
        <f aca="false">(E14-Assumptions!$B$60)/365.25</f>
        <v>3.00342231348392</v>
      </c>
      <c r="F15" s="274" t="n">
        <f aca="false">E15</f>
        <v>3.00342231348392</v>
      </c>
    </row>
    <row r="16" customFormat="false" ht="15" hidden="false" customHeight="true" outlineLevel="0" collapsed="false">
      <c r="A16" s="115" t="s">
        <v>430</v>
      </c>
      <c r="B16" s="275" t="n">
        <f aca="false">IF(B15&lt;=0,0,1/(1+Assumptions!$B$54)^B15)</f>
        <v>0</v>
      </c>
      <c r="C16" s="275" t="n">
        <f aca="false">IF(C15&lt;=0,0,1/(1+Assumptions!$B$54)^C15)</f>
        <v>0.915305321230608</v>
      </c>
      <c r="D16" s="275" t="n">
        <f aca="false">IF(D15&lt;=0,0,1/(1+Assumptions!$B$54)^D15)</f>
        <v>0.835942551864215</v>
      </c>
      <c r="E16" s="275" t="n">
        <f aca="false">IF(E15&lt;=0,0,1/(1+Assumptions!$B$54)^E15)</f>
        <v>0.764768650897971</v>
      </c>
      <c r="F16" s="275" t="n">
        <f aca="false">IF(F15&lt;=0,0,1/(1+Assumptions!$B$54)^F15)</f>
        <v>0.764768650897971</v>
      </c>
    </row>
    <row r="17" customFormat="false" ht="15" hidden="false" customHeight="true" outlineLevel="0" collapsed="false">
      <c r="A17" s="188" t="s">
        <v>431</v>
      </c>
      <c r="B17" s="185" t="n">
        <f aca="false">B13*B16</f>
        <v>0</v>
      </c>
      <c r="C17" s="185" t="n">
        <f aca="false">C13*C16</f>
        <v>119524.936196313</v>
      </c>
      <c r="D17" s="185" t="n">
        <f aca="false">D13*D16</f>
        <v>116321.5068858</v>
      </c>
      <c r="E17" s="276" t="n">
        <f aca="false">E13*E16</f>
        <v>113594.250216997</v>
      </c>
      <c r="F17" s="276" t="n">
        <f aca="false">F13*F16</f>
        <v>1702253.01860266</v>
      </c>
    </row>
    <row r="18" customFormat="false" ht="14.25" hidden="false" customHeight="false" outlineLevel="0" collapsed="false">
      <c r="A18" s="277" t="s">
        <v>432</v>
      </c>
    </row>
    <row r="19" customFormat="false" ht="18" hidden="false" customHeight="true" outlineLevel="0" collapsed="false">
      <c r="A19" s="109" t="s">
        <v>433</v>
      </c>
      <c r="B19" s="109"/>
      <c r="C19" s="109"/>
      <c r="D19" s="109"/>
    </row>
    <row r="20" customFormat="false" ht="15" hidden="false" customHeight="true" outlineLevel="0" collapsed="false">
      <c r="A20" s="250" t="s">
        <v>434</v>
      </c>
      <c r="B20" s="256" t="n">
        <f aca="false">SUM(B17:E17)</f>
        <v>349440.693299109</v>
      </c>
    </row>
    <row r="21" customFormat="false" ht="15" hidden="false" customHeight="true" outlineLevel="0" collapsed="false">
      <c r="A21" s="250" t="s">
        <v>435</v>
      </c>
      <c r="B21" s="256" t="n">
        <f aca="false">F17</f>
        <v>1702253.01860266</v>
      </c>
    </row>
    <row r="22" customFormat="false" ht="15" hidden="false" customHeight="true" outlineLevel="0" collapsed="false">
      <c r="A22" s="188" t="s">
        <v>436</v>
      </c>
      <c r="B22" s="256" t="n">
        <f aca="false">B20+B21</f>
        <v>2051693.71190177</v>
      </c>
    </row>
    <row r="23" customFormat="false" ht="15" hidden="false" customHeight="true" outlineLevel="0" collapsed="false">
      <c r="A23" s="250" t="s">
        <v>437</v>
      </c>
      <c r="B23" s="278" t="n">
        <f aca="false">BS!H5+BS!H6+BS!H15-BS!H42</f>
        <v>41444.7875492166</v>
      </c>
    </row>
    <row r="24" customFormat="false" ht="15" hidden="false" customHeight="true" outlineLevel="0" collapsed="false">
      <c r="A24" s="188" t="s">
        <v>438</v>
      </c>
      <c r="B24" s="256" t="n">
        <f aca="false">B22+B23</f>
        <v>2093138.49945098</v>
      </c>
    </row>
    <row r="25" customFormat="false" ht="15" hidden="false" customHeight="true" outlineLevel="0" collapsed="false">
      <c r="A25" s="250" t="s">
        <v>439</v>
      </c>
      <c r="B25" s="279" t="n">
        <f aca="false">Assumptions!$B$58</f>
        <v>15004.7</v>
      </c>
    </row>
    <row r="26" customFormat="false" ht="15" hidden="false" customHeight="true" outlineLevel="0" collapsed="false">
      <c r="A26" s="188" t="s">
        <v>440</v>
      </c>
      <c r="B26" s="280" t="n">
        <f aca="false">B24/B25</f>
        <v>139.498856988209</v>
      </c>
    </row>
    <row r="27" customFormat="false" ht="15" hidden="false" customHeight="true" outlineLevel="0" collapsed="false">
      <c r="A27" s="250" t="s">
        <v>441</v>
      </c>
      <c r="B27" s="281" t="n">
        <f aca="false">Assumptions!$B$59</f>
        <v>338.4</v>
      </c>
    </row>
    <row r="28" customFormat="false" ht="15" hidden="false" customHeight="true" outlineLevel="0" collapsed="false">
      <c r="A28" s="188" t="s">
        <v>442</v>
      </c>
      <c r="B28" s="282" t="n">
        <f aca="false">B26/B27-1</f>
        <v>-0.587769335141225</v>
      </c>
    </row>
    <row r="31" customFormat="false" ht="18" hidden="false" customHeight="true" outlineLevel="0" collapsed="false">
      <c r="A31" s="109" t="s">
        <v>443</v>
      </c>
      <c r="B31" s="109"/>
      <c r="C31" s="109"/>
      <c r="D31" s="109"/>
      <c r="E31" s="109"/>
      <c r="F31" s="109"/>
      <c r="G31" s="109"/>
      <c r="H31" s="109"/>
    </row>
    <row r="33" customFormat="false" ht="15" hidden="false" customHeight="true" outlineLevel="0" collapsed="false">
      <c r="A33" s="283" t="s">
        <v>444</v>
      </c>
      <c r="B33" s="284" t="n">
        <f aca="false">Assumptions!$B$55+(-0.01)</f>
        <v>0.015</v>
      </c>
      <c r="C33" s="284" t="n">
        <f aca="false">Assumptions!$B$55+(-0.005)</f>
        <v>0.02</v>
      </c>
      <c r="D33" s="284" t="n">
        <f aca="false">Assumptions!$B$55+(0)</f>
        <v>0.025</v>
      </c>
      <c r="E33" s="284" t="n">
        <f aca="false">Assumptions!$B$55+(0.005)</f>
        <v>0.03</v>
      </c>
      <c r="F33" s="284" t="n">
        <f aca="false">Assumptions!$B$55+(0.01)</f>
        <v>0.035</v>
      </c>
    </row>
    <row r="34" customFormat="false" ht="15" hidden="false" customHeight="true" outlineLevel="0" collapsed="false">
      <c r="A34" s="285" t="n">
        <f aca="false">Assumptions!$B$54+(-0.01)</f>
        <v>0.0834</v>
      </c>
      <c r="B34" s="286" t="n">
        <f aca="false">($C$13/(1+$A34)^$C$15+$D$13/(1+$A34)^$D$15+$E$13/(1+$A34)^$E$15+($E$13*(1+B$33)/($A34-B$33))/(1+$A34)^$F$15+$B$23)/Assumptions!$B$58</f>
        <v>141.964232047209</v>
      </c>
      <c r="C34" s="286" t="n">
        <f aca="false">($C$13/(1+$A34)^$C$15+$D$13/(1+$A34)^$D$15+$E$13/(1+$A34)^$E$15+($E$13*(1+C$33)/($A34-C$33))/(1+$A34)^$F$15+$B$23)/Assumptions!$B$58</f>
        <v>151.685588761659</v>
      </c>
      <c r="D34" s="286" t="n">
        <f aca="false">($C$13/(1+$A34)^$C$15+$D$13/(1+$A34)^$D$15+$E$13/(1+$A34)^$E$15+($E$13*(1+D$33)/($A34-D$33))/(1+$A34)^$F$15+$B$23)/Assumptions!$B$58</f>
        <v>163.071561351871</v>
      </c>
      <c r="E34" s="286" t="n">
        <f aca="false">($C$13/(1+$A34)^$C$15+$D$13/(1+$A34)^$D$15+$E$13/(1+$A34)^$E$15+($E$13*(1+E$33)/($A34-E$33))/(1+$A34)^$F$15+$B$23)/Assumptions!$B$58</f>
        <v>176.589738546992</v>
      </c>
      <c r="F34" s="286" t="n">
        <f aca="false">($C$13/(1+$A34)^$C$15+$D$13/(1+$A34)^$D$15+$E$13/(1+$A34)^$E$15+($E$13*(1+F$33)/($A34-F$33))/(1+$A34)^$F$15+$B$23)/Assumptions!$B$58</f>
        <v>192.900927559287</v>
      </c>
    </row>
    <row r="35" customFormat="false" ht="15" hidden="false" customHeight="true" outlineLevel="0" collapsed="false">
      <c r="A35" s="285" t="n">
        <f aca="false">Assumptions!$B$54+(-0.005)</f>
        <v>0.0884</v>
      </c>
      <c r="B35" s="286" t="n">
        <f aca="false">($C$13/(1+$A35)^$C$15+$D$13/(1+$A35)^$D$15+$E$13/(1+$A35)^$E$15+($E$13*(1+B$33)/($A35-B$33))/(1+$A35)^$F$15+$B$23)/Assumptions!$B$58</f>
        <v>132.403306697501</v>
      </c>
      <c r="C35" s="286" t="n">
        <f aca="false">($C$13/(1+$A35)^$C$15+$D$13/(1+$A35)^$D$15+$E$13/(1+$A35)^$E$15+($E$13*(1+C$33)/($A35-C$33))/(1+$A35)^$F$15+$B$23)/Assumptions!$B$58</f>
        <v>140.723124774706</v>
      </c>
      <c r="D35" s="286" t="n">
        <f aca="false">($C$13/(1+$A35)^$C$15+$D$13/(1+$A35)^$D$15+$E$13/(1+$A35)^$E$15+($E$13*(1+D$33)/($A35-D$33))/(1+$A35)^$F$15+$B$23)/Assumptions!$B$58</f>
        <v>150.35521699658</v>
      </c>
      <c r="E35" s="286" t="n">
        <f aca="false">($C$13/(1+$A35)^$C$15+$D$13/(1+$A35)^$D$15+$E$13/(1+$A35)^$E$15+($E$13*(1+E$33)/($A35-E$33))/(1+$A35)^$F$15+$B$23)/Assumptions!$B$58</f>
        <v>161.636640078364</v>
      </c>
      <c r="F35" s="286" t="n">
        <f aca="false">($C$13/(1+$A35)^$C$15+$D$13/(1+$A35)^$D$15+$E$13/(1+$A35)^$E$15+($E$13*(1+F$33)/($A35-F$33))/(1+$A35)^$F$15+$B$23)/Assumptions!$B$58</f>
        <v>175.030689205427</v>
      </c>
    </row>
    <row r="36" customFormat="false" ht="15" hidden="false" customHeight="true" outlineLevel="0" collapsed="false">
      <c r="A36" s="285" t="n">
        <f aca="false">Assumptions!$B$54+(0)</f>
        <v>0.0934</v>
      </c>
      <c r="B36" s="286" t="n">
        <f aca="false">($C$13/(1+$A36)^$C$15+$D$13/(1+$A36)^$D$15+$E$13/(1+$A36)^$E$15+($E$13*(1+B$33)/($A36-B$33))/(1+$A36)^$F$15+$B$23)/Assumptions!$B$58</f>
        <v>124.062815478328</v>
      </c>
      <c r="C36" s="286" t="n">
        <f aca="false">($C$13/(1+$A36)^$C$15+$D$13/(1+$A36)^$D$15+$E$13/(1+$A36)^$E$15+($E$13*(1+C$33)/($A36-C$33))/(1+$A36)^$F$15+$B$23)/Assumptions!$B$58</f>
        <v>131.255085500643</v>
      </c>
      <c r="D36" s="286" t="n">
        <f aca="false">($C$13/(1+$A36)^$C$15+$D$13/(1+$A36)^$D$15+$E$13/(1+$A36)^$E$15+($E$13*(1+D$33)/($A36-D$33))/(1+$A36)^$F$15+$B$23)/Assumptions!$B$58</f>
        <v>139.498856988209</v>
      </c>
      <c r="E36" s="286" t="n">
        <f aca="false">($C$13/(1+$A36)^$C$15+$D$13/(1+$A36)^$D$15+$E$13/(1+$A36)^$E$15+($E$13*(1+E$33)/($A36-E$33))/(1+$A36)^$F$15+$B$23)/Assumptions!$B$58</f>
        <v>149.042907890218</v>
      </c>
      <c r="F36" s="286" t="n">
        <f aca="false">($C$13/(1+$A36)^$C$15+$D$13/(1+$A36)^$D$15+$E$13/(1+$A36)^$E$15+($E$13*(1+F$33)/($A36-F$33))/(1+$A36)^$F$15+$B$23)/Assumptions!$B$58</f>
        <v>160.221214083667</v>
      </c>
    </row>
    <row r="37" customFormat="false" ht="15" hidden="false" customHeight="true" outlineLevel="0" collapsed="false">
      <c r="A37" s="285" t="n">
        <f aca="false">Assumptions!$B$54+(0.005)</f>
        <v>0.0984</v>
      </c>
      <c r="B37" s="286" t="n">
        <f aca="false">($C$13/(1+$A37)^$C$15+$D$13/(1+$A37)^$D$15+$E$13/(1+$A37)^$E$15+($E$13*(1+B$33)/($A37-B$33))/(1+$A37)^$F$15+$B$23)/Assumptions!$B$58</f>
        <v>116.723241042458</v>
      </c>
      <c r="C37" s="286" t="n">
        <f aca="false">($C$13/(1+$A37)^$C$15+$D$13/(1+$A37)^$D$15+$E$13/(1+$A37)^$E$15+($E$13*(1+C$33)/($A37-C$33))/(1+$A37)^$F$15+$B$23)/Assumptions!$B$58</f>
        <v>122.995533539649</v>
      </c>
      <c r="D37" s="286" t="n">
        <f aca="false">($C$13/(1+$A37)^$C$15+$D$13/(1+$A37)^$D$15+$E$13/(1+$A37)^$E$15+($E$13*(1+D$33)/($A37-D$33))/(1+$A37)^$F$15+$B$23)/Assumptions!$B$58</f>
        <v>130.1223617994</v>
      </c>
      <c r="E37" s="286" t="n">
        <f aca="false">($C$13/(1+$A37)^$C$15+$D$13/(1+$A37)^$D$15+$E$13/(1+$A37)^$E$15+($E$13*(1+E$33)/($A37-E$33))/(1+$A37)^$F$15+$B$23)/Assumptions!$B$58</f>
        <v>138.291124015255</v>
      </c>
      <c r="F37" s="286" t="n">
        <f aca="false">($C$13/(1+$A37)^$C$15+$D$13/(1+$A37)^$D$15+$E$13/(1+$A37)^$E$15+($E$13*(1+F$33)/($A37-F$33))/(1+$A37)^$F$15+$B$23)/Assumptions!$B$58</f>
        <v>147.74833453014</v>
      </c>
    </row>
    <row r="38" customFormat="false" ht="15" hidden="false" customHeight="true" outlineLevel="0" collapsed="false">
      <c r="A38" s="285" t="n">
        <f aca="false">Assumptions!$B$54+(0.01)</f>
        <v>0.1034</v>
      </c>
      <c r="B38" s="286" t="n">
        <f aca="false">($C$13/(1+$A38)^$C$15+$D$13/(1+$A38)^$D$15+$E$13/(1+$A38)^$E$15+($E$13*(1+B$33)/($A38-B$33))/(1+$A38)^$F$15+$B$23)/Assumptions!$B$58</f>
        <v>110.214730900434</v>
      </c>
      <c r="C38" s="286" t="n">
        <f aca="false">($C$13/(1+$A38)^$C$15+$D$13/(1+$A38)^$D$15+$E$13/(1+$A38)^$E$15+($E$13*(1+C$33)/($A38-C$33))/(1+$A38)^$F$15+$B$23)/Assumptions!$B$58</f>
        <v>115.727101899771</v>
      </c>
      <c r="D38" s="286" t="n">
        <f aca="false">($C$13/(1+$A38)^$C$15+$D$13/(1+$A38)^$D$15+$E$13/(1+$A38)^$E$15+($E$13*(1+D$33)/($A38-D$33))/(1+$A38)^$F$15+$B$23)/Assumptions!$B$58</f>
        <v>121.942581444943</v>
      </c>
      <c r="E38" s="286" t="n">
        <f aca="false">($C$13/(1+$A38)^$C$15+$D$13/(1+$A38)^$D$15+$E$13/(1+$A38)^$E$15+($E$13*(1+E$33)/($A38-E$33))/(1+$A38)^$F$15+$B$23)/Assumptions!$B$58</f>
        <v>129.004856568475</v>
      </c>
      <c r="F38" s="286" t="n">
        <f aca="false">($C$13/(1+$A38)^$C$15+$D$13/(1+$A38)^$D$15+$E$13/(1+$A38)^$E$15+($E$13*(1+F$33)/($A38-F$33))/(1+$A38)^$F$15+$B$23)/Assumptions!$B$58</f>
        <v>137.099628055097</v>
      </c>
    </row>
    <row r="40" customFormat="false" ht="15" hidden="false" customHeight="true" outlineLevel="0" collapsed="false">
      <c r="A40" s="287" t="s">
        <v>445</v>
      </c>
      <c r="B40" s="287"/>
      <c r="C40" s="287"/>
      <c r="D40" s="287"/>
      <c r="E40" s="287"/>
      <c r="F40" s="287"/>
      <c r="G40" s="287"/>
      <c r="H40" s="287"/>
    </row>
    <row r="41" customFormat="false" ht="14.25" hidden="false" customHeight="false" outlineLevel="0" collapsed="false">
      <c r="A41" s="137" t="s">
        <v>446</v>
      </c>
      <c r="B41" s="138"/>
      <c r="C41" s="138"/>
      <c r="D41" s="138"/>
      <c r="E41" s="138"/>
      <c r="F41" s="138"/>
      <c r="G41" s="138"/>
    </row>
    <row r="42" customFormat="false" ht="14.25" hidden="false" customHeight="false" outlineLevel="0" collapsed="false">
      <c r="A42" s="288" t="s">
        <v>447</v>
      </c>
    </row>
    <row r="43" customFormat="false" ht="14.25" hidden="false" customHeight="false" outlineLevel="0" collapsed="false">
      <c r="A43" s="283" t="s">
        <v>448</v>
      </c>
      <c r="B43" s="289" t="n">
        <v>0.28</v>
      </c>
      <c r="C43" s="289" t="n">
        <v>0.3</v>
      </c>
      <c r="D43" s="289" t="n">
        <v>0.32</v>
      </c>
      <c r="E43" s="289" t="n">
        <v>0.34</v>
      </c>
      <c r="F43" s="289" t="n">
        <v>0.36</v>
      </c>
    </row>
    <row r="44" customFormat="false" ht="14.25" hidden="false" customHeight="false" outlineLevel="0" collapsed="false">
      <c r="A44" s="289" t="n">
        <v>0.02</v>
      </c>
      <c r="B44" s="286" t="n">
        <f aca="false">((IS!$F$14*(1+$A44))*(B$43*(1-Assumptions!$B$50)-Assumptions!$G$37+CHOOSE(MATCH(Scenario,{"Bear","Base","Bull"},0),Assumptions!$B$84,Assumptions!$C$84,Assumptions!$D$84))/(1+Assumptions!$B$54)^1+(IS!$F$14*(1+$A44)^2)*(B$43*(1-Assumptions!$B$50)-Assumptions!$G$37+CHOOSE(MATCH(Scenario,{"Bear","Base","Bull"},0),Assumptions!$B$84,Assumptions!$C$84,Assumptions!$D$84))/(1+Assumptions!$B$54)^2+(IS!$F$14*(1+$A44)^3)*(B$43*(1-Assumptions!$B$50)-Assumptions!$G$37+CHOOSE(MATCH(Scenario,{"Bear","Base","Bull"},0),Assumptions!$B$84,Assumptions!$C$84,Assumptions!$D$84))/(1+Assumptions!$B$54)^3+(IS!$F$14*(1+$A44)^4)*(B$43*(1-Assumptions!$B$50)-Assumptions!$G$37+CHOOSE(MATCH(Scenario,{"Bear","Base","Bull"},0),Assumptions!$B$84,Assumptions!$C$84,Assumptions!$D$84))/(1+Assumptions!$B$54)^4+(IS!$F$14*(1+$A44)^4)*(B$43*(1-Assumptions!$B$50)-Assumptions!$G$37+CHOOSE(MATCH(Scenario,{"Bear","Base","Bull"},0),Assumptions!$B$84,Assumptions!$C$84,Assumptions!$D$84))*(1+Assumptions!$B$55)/(Assumptions!$B$54-Assumptions!$B$55)/(1+Assumptions!$B$54)^4+$B$23)/Assumptions!$B$58</f>
        <v>99.9365866126439</v>
      </c>
      <c r="C44" s="286" t="n">
        <f aca="false">((IS!$F$14*(1+$A44))*(C$43*(1-Assumptions!$B$50)-Assumptions!$G$37+CHOOSE(MATCH(Scenario,{"Bear","Base","Bull"},0),Assumptions!$B$84,Assumptions!$C$84,Assumptions!$D$84))/(1+Assumptions!$B$54)^1+(IS!$F$14*(1+$A44)^2)*(C$43*(1-Assumptions!$B$50)-Assumptions!$G$37+CHOOSE(MATCH(Scenario,{"Bear","Base","Bull"},0),Assumptions!$B$84,Assumptions!$C$84,Assumptions!$D$84))/(1+Assumptions!$B$54)^2+(IS!$F$14*(1+$A44)^3)*(C$43*(1-Assumptions!$B$50)-Assumptions!$G$37+CHOOSE(MATCH(Scenario,{"Bear","Base","Bull"},0),Assumptions!$B$84,Assumptions!$C$84,Assumptions!$D$84))/(1+Assumptions!$B$54)^3+(IS!$F$14*(1+$A44)^4)*(C$43*(1-Assumptions!$B$50)-Assumptions!$G$37+CHOOSE(MATCH(Scenario,{"Bear","Base","Bull"},0),Assumptions!$B$84,Assumptions!$C$84,Assumptions!$D$84))/(1+Assumptions!$B$54)^4+(IS!$F$14*(1+$A44)^4)*(C$43*(1-Assumptions!$B$50)-Assumptions!$G$37+CHOOSE(MATCH(Scenario,{"Bear","Base","Bull"},0),Assumptions!$B$84,Assumptions!$C$84,Assumptions!$D$84))*(1+Assumptions!$B$55)/(Assumptions!$B$54-Assumptions!$B$55)/(1+Assumptions!$B$54)^4+$B$23)/Assumptions!$B$58</f>
        <v>106.87761991553</v>
      </c>
      <c r="D44" s="286" t="n">
        <f aca="false">((IS!$F$14*(1+$A44))*(D$43*(1-Assumptions!$B$50)-Assumptions!$G$37+CHOOSE(MATCH(Scenario,{"Bear","Base","Bull"},0),Assumptions!$B$84,Assumptions!$C$84,Assumptions!$D$84))/(1+Assumptions!$B$54)^1+(IS!$F$14*(1+$A44)^2)*(D$43*(1-Assumptions!$B$50)-Assumptions!$G$37+CHOOSE(MATCH(Scenario,{"Bear","Base","Bull"},0),Assumptions!$B$84,Assumptions!$C$84,Assumptions!$D$84))/(1+Assumptions!$B$54)^2+(IS!$F$14*(1+$A44)^3)*(D$43*(1-Assumptions!$B$50)-Assumptions!$G$37+CHOOSE(MATCH(Scenario,{"Bear","Base","Bull"},0),Assumptions!$B$84,Assumptions!$C$84,Assumptions!$D$84))/(1+Assumptions!$B$54)^3+(IS!$F$14*(1+$A44)^4)*(D$43*(1-Assumptions!$B$50)-Assumptions!$G$37+CHOOSE(MATCH(Scenario,{"Bear","Base","Bull"},0),Assumptions!$B$84,Assumptions!$C$84,Assumptions!$D$84))/(1+Assumptions!$B$54)^4+(IS!$F$14*(1+$A44)^4)*(D$43*(1-Assumptions!$B$50)-Assumptions!$G$37+CHOOSE(MATCH(Scenario,{"Bear","Base","Bull"},0),Assumptions!$B$84,Assumptions!$C$84,Assumptions!$D$84))*(1+Assumptions!$B$55)/(Assumptions!$B$54-Assumptions!$B$55)/(1+Assumptions!$B$54)^4+$B$23)/Assumptions!$B$58</f>
        <v>113.818653218417</v>
      </c>
      <c r="E44" s="286" t="n">
        <f aca="false">((IS!$F$14*(1+$A44))*(E$43*(1-Assumptions!$B$50)-Assumptions!$G$37+CHOOSE(MATCH(Scenario,{"Bear","Base","Bull"},0),Assumptions!$B$84,Assumptions!$C$84,Assumptions!$D$84))/(1+Assumptions!$B$54)^1+(IS!$F$14*(1+$A44)^2)*(E$43*(1-Assumptions!$B$50)-Assumptions!$G$37+CHOOSE(MATCH(Scenario,{"Bear","Base","Bull"},0),Assumptions!$B$84,Assumptions!$C$84,Assumptions!$D$84))/(1+Assumptions!$B$54)^2+(IS!$F$14*(1+$A44)^3)*(E$43*(1-Assumptions!$B$50)-Assumptions!$G$37+CHOOSE(MATCH(Scenario,{"Bear","Base","Bull"},0),Assumptions!$B$84,Assumptions!$C$84,Assumptions!$D$84))/(1+Assumptions!$B$54)^3+(IS!$F$14*(1+$A44)^4)*(E$43*(1-Assumptions!$B$50)-Assumptions!$G$37+CHOOSE(MATCH(Scenario,{"Bear","Base","Bull"},0),Assumptions!$B$84,Assumptions!$C$84,Assumptions!$D$84))/(1+Assumptions!$B$54)^4+(IS!$F$14*(1+$A44)^4)*(E$43*(1-Assumptions!$B$50)-Assumptions!$G$37+CHOOSE(MATCH(Scenario,{"Bear","Base","Bull"},0),Assumptions!$B$84,Assumptions!$C$84,Assumptions!$D$84))*(1+Assumptions!$B$55)/(Assumptions!$B$54-Assumptions!$B$55)/(1+Assumptions!$B$54)^4+$B$23)/Assumptions!$B$58</f>
        <v>120.759686521304</v>
      </c>
      <c r="F44" s="286" t="n">
        <f aca="false">((IS!$F$14*(1+$A44))*(F$43*(1-Assumptions!$B$50)-Assumptions!$G$37+CHOOSE(MATCH(Scenario,{"Bear","Base","Bull"},0),Assumptions!$B$84,Assumptions!$C$84,Assumptions!$D$84))/(1+Assumptions!$B$54)^1+(IS!$F$14*(1+$A44)^2)*(F$43*(1-Assumptions!$B$50)-Assumptions!$G$37+CHOOSE(MATCH(Scenario,{"Bear","Base","Bull"},0),Assumptions!$B$84,Assumptions!$C$84,Assumptions!$D$84))/(1+Assumptions!$B$54)^2+(IS!$F$14*(1+$A44)^3)*(F$43*(1-Assumptions!$B$50)-Assumptions!$G$37+CHOOSE(MATCH(Scenario,{"Bear","Base","Bull"},0),Assumptions!$B$84,Assumptions!$C$84,Assumptions!$D$84))/(1+Assumptions!$B$54)^3+(IS!$F$14*(1+$A44)^4)*(F$43*(1-Assumptions!$B$50)-Assumptions!$G$37+CHOOSE(MATCH(Scenario,{"Bear","Base","Bull"},0),Assumptions!$B$84,Assumptions!$C$84,Assumptions!$D$84))/(1+Assumptions!$B$54)^4+(IS!$F$14*(1+$A44)^4)*(F$43*(1-Assumptions!$B$50)-Assumptions!$G$37+CHOOSE(MATCH(Scenario,{"Bear","Base","Bull"},0),Assumptions!$B$84,Assumptions!$C$84,Assumptions!$D$84))*(1+Assumptions!$B$55)/(Assumptions!$B$54-Assumptions!$B$55)/(1+Assumptions!$B$54)^4+$B$23)/Assumptions!$B$58</f>
        <v>127.70071982419</v>
      </c>
    </row>
    <row r="45" customFormat="false" ht="14.25" hidden="false" customHeight="false" outlineLevel="0" collapsed="false">
      <c r="A45" s="289" t="n">
        <v>0.035</v>
      </c>
      <c r="B45" s="286" t="n">
        <f aca="false">((IS!$F$14*(1+$A45))*(B$43*(1-Assumptions!$B$50)-Assumptions!$G$37+CHOOSE(MATCH(Scenario,{"Bear","Base","Bull"},0),Assumptions!$B$84,Assumptions!$C$84,Assumptions!$D$84))/(1+Assumptions!$B$54)^1+(IS!$F$14*(1+$A45)^2)*(B$43*(1-Assumptions!$B$50)-Assumptions!$G$37+CHOOSE(MATCH(Scenario,{"Bear","Base","Bull"},0),Assumptions!$B$84,Assumptions!$C$84,Assumptions!$D$84))/(1+Assumptions!$B$54)^2+(IS!$F$14*(1+$A45)^3)*(B$43*(1-Assumptions!$B$50)-Assumptions!$G$37+CHOOSE(MATCH(Scenario,{"Bear","Base","Bull"},0),Assumptions!$B$84,Assumptions!$C$84,Assumptions!$D$84))/(1+Assumptions!$B$54)^3+(IS!$F$14*(1+$A45)^4)*(B$43*(1-Assumptions!$B$50)-Assumptions!$G$37+CHOOSE(MATCH(Scenario,{"Bear","Base","Bull"},0),Assumptions!$B$84,Assumptions!$C$84,Assumptions!$D$84))/(1+Assumptions!$B$54)^4+(IS!$F$14*(1+$A45)^4)*(B$43*(1-Assumptions!$B$50)-Assumptions!$G$37+CHOOSE(MATCH(Scenario,{"Bear","Base","Bull"},0),Assumptions!$B$84,Assumptions!$C$84,Assumptions!$D$84))*(1+Assumptions!$B$55)/(Assumptions!$B$54-Assumptions!$B$55)/(1+Assumptions!$B$54)^4+$B$23)/Assumptions!$B$58</f>
        <v>105.242746629616</v>
      </c>
      <c r="C45" s="286" t="n">
        <f aca="false">((IS!$F$14*(1+$A45))*(C$43*(1-Assumptions!$B$50)-Assumptions!$G$37+CHOOSE(MATCH(Scenario,{"Bear","Base","Bull"},0),Assumptions!$B$84,Assumptions!$C$84,Assumptions!$D$84))/(1+Assumptions!$B$54)^1+(IS!$F$14*(1+$A45)^2)*(C$43*(1-Assumptions!$B$50)-Assumptions!$G$37+CHOOSE(MATCH(Scenario,{"Bear","Base","Bull"},0),Assumptions!$B$84,Assumptions!$C$84,Assumptions!$D$84))/(1+Assumptions!$B$54)^2+(IS!$F$14*(1+$A45)^3)*(C$43*(1-Assumptions!$B$50)-Assumptions!$G$37+CHOOSE(MATCH(Scenario,{"Bear","Base","Bull"},0),Assumptions!$B$84,Assumptions!$C$84,Assumptions!$D$84))/(1+Assumptions!$B$54)^3+(IS!$F$14*(1+$A45)^4)*(C$43*(1-Assumptions!$B$50)-Assumptions!$G$37+CHOOSE(MATCH(Scenario,{"Bear","Base","Bull"},0),Assumptions!$B$84,Assumptions!$C$84,Assumptions!$D$84))/(1+Assumptions!$B$54)^4+(IS!$F$14*(1+$A45)^4)*(C$43*(1-Assumptions!$B$50)-Assumptions!$G$37+CHOOSE(MATCH(Scenario,{"Bear","Base","Bull"},0),Assumptions!$B$84,Assumptions!$C$84,Assumptions!$D$84))*(1+Assumptions!$B$55)/(Assumptions!$B$54-Assumptions!$B$55)/(1+Assumptions!$B$54)^4+$B$23)/Assumptions!$B$58</f>
        <v>112.562791362286</v>
      </c>
      <c r="D45" s="286" t="n">
        <f aca="false">((IS!$F$14*(1+$A45))*(D$43*(1-Assumptions!$B$50)-Assumptions!$G$37+CHOOSE(MATCH(Scenario,{"Bear","Base","Bull"},0),Assumptions!$B$84,Assumptions!$C$84,Assumptions!$D$84))/(1+Assumptions!$B$54)^1+(IS!$F$14*(1+$A45)^2)*(D$43*(1-Assumptions!$B$50)-Assumptions!$G$37+CHOOSE(MATCH(Scenario,{"Bear","Base","Bull"},0),Assumptions!$B$84,Assumptions!$C$84,Assumptions!$D$84))/(1+Assumptions!$B$54)^2+(IS!$F$14*(1+$A45)^3)*(D$43*(1-Assumptions!$B$50)-Assumptions!$G$37+CHOOSE(MATCH(Scenario,{"Bear","Base","Bull"},0),Assumptions!$B$84,Assumptions!$C$84,Assumptions!$D$84))/(1+Assumptions!$B$54)^3+(IS!$F$14*(1+$A45)^4)*(D$43*(1-Assumptions!$B$50)-Assumptions!$G$37+CHOOSE(MATCH(Scenario,{"Bear","Base","Bull"},0),Assumptions!$B$84,Assumptions!$C$84,Assumptions!$D$84))/(1+Assumptions!$B$54)^4+(IS!$F$14*(1+$A45)^4)*(D$43*(1-Assumptions!$B$50)-Assumptions!$G$37+CHOOSE(MATCH(Scenario,{"Bear","Base","Bull"},0),Assumptions!$B$84,Assumptions!$C$84,Assumptions!$D$84))*(1+Assumptions!$B$55)/(Assumptions!$B$54-Assumptions!$B$55)/(1+Assumptions!$B$54)^4+$B$23)/Assumptions!$B$58</f>
        <v>119.882836094957</v>
      </c>
      <c r="E45" s="286" t="n">
        <f aca="false">((IS!$F$14*(1+$A45))*(E$43*(1-Assumptions!$B$50)-Assumptions!$G$37+CHOOSE(MATCH(Scenario,{"Bear","Base","Bull"},0),Assumptions!$B$84,Assumptions!$C$84,Assumptions!$D$84))/(1+Assumptions!$B$54)^1+(IS!$F$14*(1+$A45)^2)*(E$43*(1-Assumptions!$B$50)-Assumptions!$G$37+CHOOSE(MATCH(Scenario,{"Bear","Base","Bull"},0),Assumptions!$B$84,Assumptions!$C$84,Assumptions!$D$84))/(1+Assumptions!$B$54)^2+(IS!$F$14*(1+$A45)^3)*(E$43*(1-Assumptions!$B$50)-Assumptions!$G$37+CHOOSE(MATCH(Scenario,{"Bear","Base","Bull"},0),Assumptions!$B$84,Assumptions!$C$84,Assumptions!$D$84))/(1+Assumptions!$B$54)^3+(IS!$F$14*(1+$A45)^4)*(E$43*(1-Assumptions!$B$50)-Assumptions!$G$37+CHOOSE(MATCH(Scenario,{"Bear","Base","Bull"},0),Assumptions!$B$84,Assumptions!$C$84,Assumptions!$D$84))/(1+Assumptions!$B$54)^4+(IS!$F$14*(1+$A45)^4)*(E$43*(1-Assumptions!$B$50)-Assumptions!$G$37+CHOOSE(MATCH(Scenario,{"Bear","Base","Bull"},0),Assumptions!$B$84,Assumptions!$C$84,Assumptions!$D$84))*(1+Assumptions!$B$55)/(Assumptions!$B$54-Assumptions!$B$55)/(1+Assumptions!$B$54)^4+$B$23)/Assumptions!$B$58</f>
        <v>127.202880827627</v>
      </c>
      <c r="F45" s="286" t="n">
        <f aca="false">((IS!$F$14*(1+$A45))*(F$43*(1-Assumptions!$B$50)-Assumptions!$G$37+CHOOSE(MATCH(Scenario,{"Bear","Base","Bull"},0),Assumptions!$B$84,Assumptions!$C$84,Assumptions!$D$84))/(1+Assumptions!$B$54)^1+(IS!$F$14*(1+$A45)^2)*(F$43*(1-Assumptions!$B$50)-Assumptions!$G$37+CHOOSE(MATCH(Scenario,{"Bear","Base","Bull"},0),Assumptions!$B$84,Assumptions!$C$84,Assumptions!$D$84))/(1+Assumptions!$B$54)^2+(IS!$F$14*(1+$A45)^3)*(F$43*(1-Assumptions!$B$50)-Assumptions!$G$37+CHOOSE(MATCH(Scenario,{"Bear","Base","Bull"},0),Assumptions!$B$84,Assumptions!$C$84,Assumptions!$D$84))/(1+Assumptions!$B$54)^3+(IS!$F$14*(1+$A45)^4)*(F$43*(1-Assumptions!$B$50)-Assumptions!$G$37+CHOOSE(MATCH(Scenario,{"Bear","Base","Bull"},0),Assumptions!$B$84,Assumptions!$C$84,Assumptions!$D$84))/(1+Assumptions!$B$54)^4+(IS!$F$14*(1+$A45)^4)*(F$43*(1-Assumptions!$B$50)-Assumptions!$G$37+CHOOSE(MATCH(Scenario,{"Bear","Base","Bull"},0),Assumptions!$B$84,Assumptions!$C$84,Assumptions!$D$84))*(1+Assumptions!$B$55)/(Assumptions!$B$54-Assumptions!$B$55)/(1+Assumptions!$B$54)^4+$B$23)/Assumptions!$B$58</f>
        <v>134.522925560297</v>
      </c>
    </row>
    <row r="46" customFormat="false" ht="14.25" hidden="false" customHeight="false" outlineLevel="0" collapsed="false">
      <c r="A46" s="289" t="n">
        <v>0.05</v>
      </c>
      <c r="B46" s="286" t="n">
        <f aca="false">((IS!$F$14*(1+$A46))*(B$43*(1-Assumptions!$B$50)-Assumptions!$G$37+CHOOSE(MATCH(Scenario,{"Bear","Base","Bull"},0),Assumptions!$B$84,Assumptions!$C$84,Assumptions!$D$84))/(1+Assumptions!$B$54)^1+(IS!$F$14*(1+$A46)^2)*(B$43*(1-Assumptions!$B$50)-Assumptions!$G$37+CHOOSE(MATCH(Scenario,{"Bear","Base","Bull"},0),Assumptions!$B$84,Assumptions!$C$84,Assumptions!$D$84))/(1+Assumptions!$B$54)^2+(IS!$F$14*(1+$A46)^3)*(B$43*(1-Assumptions!$B$50)-Assumptions!$G$37+CHOOSE(MATCH(Scenario,{"Bear","Base","Bull"},0),Assumptions!$B$84,Assumptions!$C$84,Assumptions!$D$84))/(1+Assumptions!$B$54)^3+(IS!$F$14*(1+$A46)^4)*(B$43*(1-Assumptions!$B$50)-Assumptions!$G$37+CHOOSE(MATCH(Scenario,{"Bear","Base","Bull"},0),Assumptions!$B$84,Assumptions!$C$84,Assumptions!$D$84))/(1+Assumptions!$B$54)^4+(IS!$F$14*(1+$A46)^4)*(B$43*(1-Assumptions!$B$50)-Assumptions!$G$37+CHOOSE(MATCH(Scenario,{"Bear","Base","Bull"},0),Assumptions!$B$84,Assumptions!$C$84,Assumptions!$D$84))*(1+Assumptions!$B$55)/(Assumptions!$B$54-Assumptions!$B$55)/(1+Assumptions!$B$54)^4+$B$23)/Assumptions!$B$58</f>
        <v>110.771986208481</v>
      </c>
      <c r="C46" s="286" t="n">
        <f aca="false">((IS!$F$14*(1+$A46))*(C$43*(1-Assumptions!$B$50)-Assumptions!$G$37+CHOOSE(MATCH(Scenario,{"Bear","Base","Bull"},0),Assumptions!$B$84,Assumptions!$C$84,Assumptions!$D$84))/(1+Assumptions!$B$54)^1+(IS!$F$14*(1+$A46)^2)*(C$43*(1-Assumptions!$B$50)-Assumptions!$G$37+CHOOSE(MATCH(Scenario,{"Bear","Base","Bull"},0),Assumptions!$B$84,Assumptions!$C$84,Assumptions!$D$84))/(1+Assumptions!$B$54)^2+(IS!$F$14*(1+$A46)^3)*(C$43*(1-Assumptions!$B$50)-Assumptions!$G$37+CHOOSE(MATCH(Scenario,{"Bear","Base","Bull"},0),Assumptions!$B$84,Assumptions!$C$84,Assumptions!$D$84))/(1+Assumptions!$B$54)^3+(IS!$F$14*(1+$A46)^4)*(C$43*(1-Assumptions!$B$50)-Assumptions!$G$37+CHOOSE(MATCH(Scenario,{"Bear","Base","Bull"},0),Assumptions!$B$84,Assumptions!$C$84,Assumptions!$D$84))/(1+Assumptions!$B$54)^4+(IS!$F$14*(1+$A46)^4)*(C$43*(1-Assumptions!$B$50)-Assumptions!$G$37+CHOOSE(MATCH(Scenario,{"Bear","Base","Bull"},0),Assumptions!$B$84,Assumptions!$C$84,Assumptions!$D$84))*(1+Assumptions!$B$55)/(Assumptions!$B$54-Assumptions!$B$55)/(1+Assumptions!$B$54)^4+$B$23)/Assumptions!$B$58</f>
        <v>118.486976625356</v>
      </c>
      <c r="D46" s="286" t="n">
        <f aca="false">((IS!$F$14*(1+$A46))*(D$43*(1-Assumptions!$B$50)-Assumptions!$G$37+CHOOSE(MATCH(Scenario,{"Bear","Base","Bull"},0),Assumptions!$B$84,Assumptions!$C$84,Assumptions!$D$84))/(1+Assumptions!$B$54)^1+(IS!$F$14*(1+$A46)^2)*(D$43*(1-Assumptions!$B$50)-Assumptions!$G$37+CHOOSE(MATCH(Scenario,{"Bear","Base","Bull"},0),Assumptions!$B$84,Assumptions!$C$84,Assumptions!$D$84))/(1+Assumptions!$B$54)^2+(IS!$F$14*(1+$A46)^3)*(D$43*(1-Assumptions!$B$50)-Assumptions!$G$37+CHOOSE(MATCH(Scenario,{"Bear","Base","Bull"},0),Assumptions!$B$84,Assumptions!$C$84,Assumptions!$D$84))/(1+Assumptions!$B$54)^3+(IS!$F$14*(1+$A46)^4)*(D$43*(1-Assumptions!$B$50)-Assumptions!$G$37+CHOOSE(MATCH(Scenario,{"Bear","Base","Bull"},0),Assumptions!$B$84,Assumptions!$C$84,Assumptions!$D$84))/(1+Assumptions!$B$54)^4+(IS!$F$14*(1+$A46)^4)*(D$43*(1-Assumptions!$B$50)-Assumptions!$G$37+CHOOSE(MATCH(Scenario,{"Bear","Base","Bull"},0),Assumptions!$B$84,Assumptions!$C$84,Assumptions!$D$84))*(1+Assumptions!$B$55)/(Assumptions!$B$54-Assumptions!$B$55)/(1+Assumptions!$B$54)^4+$B$23)/Assumptions!$B$58</f>
        <v>126.201967042231</v>
      </c>
      <c r="E46" s="286" t="n">
        <f aca="false">((IS!$F$14*(1+$A46))*(E$43*(1-Assumptions!$B$50)-Assumptions!$G$37+CHOOSE(MATCH(Scenario,{"Bear","Base","Bull"},0),Assumptions!$B$84,Assumptions!$C$84,Assumptions!$D$84))/(1+Assumptions!$B$54)^1+(IS!$F$14*(1+$A46)^2)*(E$43*(1-Assumptions!$B$50)-Assumptions!$G$37+CHOOSE(MATCH(Scenario,{"Bear","Base","Bull"},0),Assumptions!$B$84,Assumptions!$C$84,Assumptions!$D$84))/(1+Assumptions!$B$54)^2+(IS!$F$14*(1+$A46)^3)*(E$43*(1-Assumptions!$B$50)-Assumptions!$G$37+CHOOSE(MATCH(Scenario,{"Bear","Base","Bull"},0),Assumptions!$B$84,Assumptions!$C$84,Assumptions!$D$84))/(1+Assumptions!$B$54)^3+(IS!$F$14*(1+$A46)^4)*(E$43*(1-Assumptions!$B$50)-Assumptions!$G$37+CHOOSE(MATCH(Scenario,{"Bear","Base","Bull"},0),Assumptions!$B$84,Assumptions!$C$84,Assumptions!$D$84))/(1+Assumptions!$B$54)^4+(IS!$F$14*(1+$A46)^4)*(E$43*(1-Assumptions!$B$50)-Assumptions!$G$37+CHOOSE(MATCH(Scenario,{"Bear","Base","Bull"},0),Assumptions!$B$84,Assumptions!$C$84,Assumptions!$D$84))*(1+Assumptions!$B$55)/(Assumptions!$B$54-Assumptions!$B$55)/(1+Assumptions!$B$54)^4+$B$23)/Assumptions!$B$58</f>
        <v>133.916957459106</v>
      </c>
      <c r="F46" s="286" t="n">
        <f aca="false">((IS!$F$14*(1+$A46))*(F$43*(1-Assumptions!$B$50)-Assumptions!$G$37+CHOOSE(MATCH(Scenario,{"Bear","Base","Bull"},0),Assumptions!$B$84,Assumptions!$C$84,Assumptions!$D$84))/(1+Assumptions!$B$54)^1+(IS!$F$14*(1+$A46)^2)*(F$43*(1-Assumptions!$B$50)-Assumptions!$G$37+CHOOSE(MATCH(Scenario,{"Bear","Base","Bull"},0),Assumptions!$B$84,Assumptions!$C$84,Assumptions!$D$84))/(1+Assumptions!$B$54)^2+(IS!$F$14*(1+$A46)^3)*(F$43*(1-Assumptions!$B$50)-Assumptions!$G$37+CHOOSE(MATCH(Scenario,{"Bear","Base","Bull"},0),Assumptions!$B$84,Assumptions!$C$84,Assumptions!$D$84))/(1+Assumptions!$B$54)^3+(IS!$F$14*(1+$A46)^4)*(F$43*(1-Assumptions!$B$50)-Assumptions!$G$37+CHOOSE(MATCH(Scenario,{"Bear","Base","Bull"},0),Assumptions!$B$84,Assumptions!$C$84,Assumptions!$D$84))/(1+Assumptions!$B$54)^4+(IS!$F$14*(1+$A46)^4)*(F$43*(1-Assumptions!$B$50)-Assumptions!$G$37+CHOOSE(MATCH(Scenario,{"Bear","Base","Bull"},0),Assumptions!$B$84,Assumptions!$C$84,Assumptions!$D$84))*(1+Assumptions!$B$55)/(Assumptions!$B$54-Assumptions!$B$55)/(1+Assumptions!$B$54)^4+$B$23)/Assumptions!$B$58</f>
        <v>141.631947875981</v>
      </c>
    </row>
    <row r="47" customFormat="false" ht="14.25" hidden="false" customHeight="false" outlineLevel="0" collapsed="false">
      <c r="A47" s="289" t="n">
        <v>0.065</v>
      </c>
      <c r="B47" s="286" t="n">
        <f aca="false">((IS!$F$14*(1+$A47))*(B$43*(1-Assumptions!$B$50)-Assumptions!$G$37+CHOOSE(MATCH(Scenario,{"Bear","Base","Bull"},0),Assumptions!$B$84,Assumptions!$C$84,Assumptions!$D$84))/(1+Assumptions!$B$54)^1+(IS!$F$14*(1+$A47)^2)*(B$43*(1-Assumptions!$B$50)-Assumptions!$G$37+CHOOSE(MATCH(Scenario,{"Bear","Base","Bull"},0),Assumptions!$B$84,Assumptions!$C$84,Assumptions!$D$84))/(1+Assumptions!$B$54)^2+(IS!$F$14*(1+$A47)^3)*(B$43*(1-Assumptions!$B$50)-Assumptions!$G$37+CHOOSE(MATCH(Scenario,{"Bear","Base","Bull"},0),Assumptions!$B$84,Assumptions!$C$84,Assumptions!$D$84))/(1+Assumptions!$B$54)^3+(IS!$F$14*(1+$A47)^4)*(B$43*(1-Assumptions!$B$50)-Assumptions!$G$37+CHOOSE(MATCH(Scenario,{"Bear","Base","Bull"},0),Assumptions!$B$84,Assumptions!$C$84,Assumptions!$D$84))/(1+Assumptions!$B$54)^4+(IS!$F$14*(1+$A47)^4)*(B$43*(1-Assumptions!$B$50)-Assumptions!$G$37+CHOOSE(MATCH(Scenario,{"Bear","Base","Bull"},0),Assumptions!$B$84,Assumptions!$C$84,Assumptions!$D$84))*(1+Assumptions!$B$55)/(Assumptions!$B$54-Assumptions!$B$55)/(1+Assumptions!$B$54)^4+$B$23)/Assumptions!$B$58</f>
        <v>116.530641779757</v>
      </c>
      <c r="C47" s="286" t="n">
        <f aca="false">((IS!$F$14*(1+$A47))*(C$43*(1-Assumptions!$B$50)-Assumptions!$G$37+CHOOSE(MATCH(Scenario,{"Bear","Base","Bull"},0),Assumptions!$B$84,Assumptions!$C$84,Assumptions!$D$84))/(1+Assumptions!$B$54)^1+(IS!$F$14*(1+$A47)^2)*(C$43*(1-Assumptions!$B$50)-Assumptions!$G$37+CHOOSE(MATCH(Scenario,{"Bear","Base","Bull"},0),Assumptions!$B$84,Assumptions!$C$84,Assumptions!$D$84))/(1+Assumptions!$B$54)^2+(IS!$F$14*(1+$A47)^3)*(C$43*(1-Assumptions!$B$50)-Assumptions!$G$37+CHOOSE(MATCH(Scenario,{"Bear","Base","Bull"},0),Assumptions!$B$84,Assumptions!$C$84,Assumptions!$D$84))/(1+Assumptions!$B$54)^3+(IS!$F$14*(1+$A47)^4)*(C$43*(1-Assumptions!$B$50)-Assumptions!$G$37+CHOOSE(MATCH(Scenario,{"Bear","Base","Bull"},0),Assumptions!$B$84,Assumptions!$C$84,Assumptions!$D$84))/(1+Assumptions!$B$54)^4+(IS!$F$14*(1+$A47)^4)*(C$43*(1-Assumptions!$B$50)-Assumptions!$G$37+CHOOSE(MATCH(Scenario,{"Bear","Base","Bull"},0),Assumptions!$B$84,Assumptions!$C$84,Assumptions!$D$84))*(1+Assumptions!$B$55)/(Assumptions!$B$54-Assumptions!$B$55)/(1+Assumptions!$B$54)^4+$B$23)/Assumptions!$B$58</f>
        <v>124.656964737438</v>
      </c>
      <c r="D47" s="286" t="n">
        <f aca="false">((IS!$F$14*(1+$A47))*(D$43*(1-Assumptions!$B$50)-Assumptions!$G$37+CHOOSE(MATCH(Scenario,{"Bear","Base","Bull"},0),Assumptions!$B$84,Assumptions!$C$84,Assumptions!$D$84))/(1+Assumptions!$B$54)^1+(IS!$F$14*(1+$A47)^2)*(D$43*(1-Assumptions!$B$50)-Assumptions!$G$37+CHOOSE(MATCH(Scenario,{"Bear","Base","Bull"},0),Assumptions!$B$84,Assumptions!$C$84,Assumptions!$D$84))/(1+Assumptions!$B$54)^2+(IS!$F$14*(1+$A47)^3)*(D$43*(1-Assumptions!$B$50)-Assumptions!$G$37+CHOOSE(MATCH(Scenario,{"Bear","Base","Bull"},0),Assumptions!$B$84,Assumptions!$C$84,Assumptions!$D$84))/(1+Assumptions!$B$54)^3+(IS!$F$14*(1+$A47)^4)*(D$43*(1-Assumptions!$B$50)-Assumptions!$G$37+CHOOSE(MATCH(Scenario,{"Bear","Base","Bull"},0),Assumptions!$B$84,Assumptions!$C$84,Assumptions!$D$84))/(1+Assumptions!$B$54)^4+(IS!$F$14*(1+$A47)^4)*(D$43*(1-Assumptions!$B$50)-Assumptions!$G$37+CHOOSE(MATCH(Scenario,{"Bear","Base","Bull"},0),Assumptions!$B$84,Assumptions!$C$84,Assumptions!$D$84))*(1+Assumptions!$B$55)/(Assumptions!$B$54-Assumptions!$B$55)/(1+Assumptions!$B$54)^4+$B$23)/Assumptions!$B$58</f>
        <v>132.783287695118</v>
      </c>
      <c r="E47" s="286" t="n">
        <f aca="false">((IS!$F$14*(1+$A47))*(E$43*(1-Assumptions!$B$50)-Assumptions!$G$37+CHOOSE(MATCH(Scenario,{"Bear","Base","Bull"},0),Assumptions!$B$84,Assumptions!$C$84,Assumptions!$D$84))/(1+Assumptions!$B$54)^1+(IS!$F$14*(1+$A47)^2)*(E$43*(1-Assumptions!$B$50)-Assumptions!$G$37+CHOOSE(MATCH(Scenario,{"Bear","Base","Bull"},0),Assumptions!$B$84,Assumptions!$C$84,Assumptions!$D$84))/(1+Assumptions!$B$54)^2+(IS!$F$14*(1+$A47)^3)*(E$43*(1-Assumptions!$B$50)-Assumptions!$G$37+CHOOSE(MATCH(Scenario,{"Bear","Base","Bull"},0),Assumptions!$B$84,Assumptions!$C$84,Assumptions!$D$84))/(1+Assumptions!$B$54)^3+(IS!$F$14*(1+$A47)^4)*(E$43*(1-Assumptions!$B$50)-Assumptions!$G$37+CHOOSE(MATCH(Scenario,{"Bear","Base","Bull"},0),Assumptions!$B$84,Assumptions!$C$84,Assumptions!$D$84))/(1+Assumptions!$B$54)^4+(IS!$F$14*(1+$A47)^4)*(E$43*(1-Assumptions!$B$50)-Assumptions!$G$37+CHOOSE(MATCH(Scenario,{"Bear","Base","Bull"},0),Assumptions!$B$84,Assumptions!$C$84,Assumptions!$D$84))*(1+Assumptions!$B$55)/(Assumptions!$B$54-Assumptions!$B$55)/(1+Assumptions!$B$54)^4+$B$23)/Assumptions!$B$58</f>
        <v>140.909610652799</v>
      </c>
      <c r="F47" s="286" t="n">
        <f aca="false">((IS!$F$14*(1+$A47))*(F$43*(1-Assumptions!$B$50)-Assumptions!$G$37+CHOOSE(MATCH(Scenario,{"Bear","Base","Bull"},0),Assumptions!$B$84,Assumptions!$C$84,Assumptions!$D$84))/(1+Assumptions!$B$54)^1+(IS!$F$14*(1+$A47)^2)*(F$43*(1-Assumptions!$B$50)-Assumptions!$G$37+CHOOSE(MATCH(Scenario,{"Bear","Base","Bull"},0),Assumptions!$B$84,Assumptions!$C$84,Assumptions!$D$84))/(1+Assumptions!$B$54)^2+(IS!$F$14*(1+$A47)^3)*(F$43*(1-Assumptions!$B$50)-Assumptions!$G$37+CHOOSE(MATCH(Scenario,{"Bear","Base","Bull"},0),Assumptions!$B$84,Assumptions!$C$84,Assumptions!$D$84))/(1+Assumptions!$B$54)^3+(IS!$F$14*(1+$A47)^4)*(F$43*(1-Assumptions!$B$50)-Assumptions!$G$37+CHOOSE(MATCH(Scenario,{"Bear","Base","Bull"},0),Assumptions!$B$84,Assumptions!$C$84,Assumptions!$D$84))/(1+Assumptions!$B$54)^4+(IS!$F$14*(1+$A47)^4)*(F$43*(1-Assumptions!$B$50)-Assumptions!$G$37+CHOOSE(MATCH(Scenario,{"Bear","Base","Bull"},0),Assumptions!$B$84,Assumptions!$C$84,Assumptions!$D$84))*(1+Assumptions!$B$55)/(Assumptions!$B$54-Assumptions!$B$55)/(1+Assumptions!$B$54)^4+$B$23)/Assumptions!$B$58</f>
        <v>149.035933610479</v>
      </c>
    </row>
    <row r="48" customFormat="false" ht="14.25" hidden="false" customHeight="false" outlineLevel="0" collapsed="false">
      <c r="A48" s="289" t="n">
        <v>0.08</v>
      </c>
      <c r="B48" s="286" t="n">
        <f aca="false">((IS!$F$14*(1+$A48))*(B$43*(1-Assumptions!$B$50)-Assumptions!$G$37+CHOOSE(MATCH(Scenario,{"Bear","Base","Bull"},0),Assumptions!$B$84,Assumptions!$C$84,Assumptions!$D$84))/(1+Assumptions!$B$54)^1+(IS!$F$14*(1+$A48)^2)*(B$43*(1-Assumptions!$B$50)-Assumptions!$G$37+CHOOSE(MATCH(Scenario,{"Bear","Base","Bull"},0),Assumptions!$B$84,Assumptions!$C$84,Assumptions!$D$84))/(1+Assumptions!$B$54)^2+(IS!$F$14*(1+$A48)^3)*(B$43*(1-Assumptions!$B$50)-Assumptions!$G$37+CHOOSE(MATCH(Scenario,{"Bear","Base","Bull"},0),Assumptions!$B$84,Assumptions!$C$84,Assumptions!$D$84))/(1+Assumptions!$B$54)^3+(IS!$F$14*(1+$A48)^4)*(B$43*(1-Assumptions!$B$50)-Assumptions!$G$37+CHOOSE(MATCH(Scenario,{"Bear","Base","Bull"},0),Assumptions!$B$84,Assumptions!$C$84,Assumptions!$D$84))/(1+Assumptions!$B$54)^4+(IS!$F$14*(1+$A48)^4)*(B$43*(1-Assumptions!$B$50)-Assumptions!$G$37+CHOOSE(MATCH(Scenario,{"Bear","Base","Bull"},0),Assumptions!$B$84,Assumptions!$C$84,Assumptions!$D$84))*(1+Assumptions!$B$55)/(Assumptions!$B$54-Assumptions!$B$55)/(1+Assumptions!$B$54)^4+$B$23)/Assumptions!$B$58</f>
        <v>122.52513947428</v>
      </c>
      <c r="C48" s="286" t="n">
        <f aca="false">((IS!$F$14*(1+$A48))*(C$43*(1-Assumptions!$B$50)-Assumptions!$G$37+CHOOSE(MATCH(Scenario,{"Bear","Base","Bull"},0),Assumptions!$B$84,Assumptions!$C$84,Assumptions!$D$84))/(1+Assumptions!$B$54)^1+(IS!$F$14*(1+$A48)^2)*(C$43*(1-Assumptions!$B$50)-Assumptions!$G$37+CHOOSE(MATCH(Scenario,{"Bear","Base","Bull"},0),Assumptions!$B$84,Assumptions!$C$84,Assumptions!$D$84))/(1+Assumptions!$B$54)^2+(IS!$F$14*(1+$A48)^3)*(C$43*(1-Assumptions!$B$50)-Assumptions!$G$37+CHOOSE(MATCH(Scenario,{"Bear","Base","Bull"},0),Assumptions!$B$84,Assumptions!$C$84,Assumptions!$D$84))/(1+Assumptions!$B$54)^3+(IS!$F$14*(1+$A48)^4)*(C$43*(1-Assumptions!$B$50)-Assumptions!$G$37+CHOOSE(MATCH(Scenario,{"Bear","Base","Bull"},0),Assumptions!$B$84,Assumptions!$C$84,Assumptions!$D$84))/(1+Assumptions!$B$54)^4+(IS!$F$14*(1+$A48)^4)*(C$43*(1-Assumptions!$B$50)-Assumptions!$G$37+CHOOSE(MATCH(Scenario,{"Bear","Base","Bull"},0),Assumptions!$B$84,Assumptions!$C$84,Assumptions!$D$84))*(1+Assumptions!$B$55)/(Assumptions!$B$54-Assumptions!$B$55)/(1+Assumptions!$B$54)^4+$B$23)/Assumptions!$B$58</f>
        <v>131.079640838712</v>
      </c>
      <c r="D48" s="286" t="n">
        <f aca="false">((IS!$F$14*(1+$A48))*(D$43*(1-Assumptions!$B$50)-Assumptions!$G$37+CHOOSE(MATCH(Scenario,{"Bear","Base","Bull"},0),Assumptions!$B$84,Assumptions!$C$84,Assumptions!$D$84))/(1+Assumptions!$B$54)^1+(IS!$F$14*(1+$A48)^2)*(D$43*(1-Assumptions!$B$50)-Assumptions!$G$37+CHOOSE(MATCH(Scenario,{"Bear","Base","Bull"},0),Assumptions!$B$84,Assumptions!$C$84,Assumptions!$D$84))/(1+Assumptions!$B$54)^2+(IS!$F$14*(1+$A48)^3)*(D$43*(1-Assumptions!$B$50)-Assumptions!$G$37+CHOOSE(MATCH(Scenario,{"Bear","Base","Bull"},0),Assumptions!$B$84,Assumptions!$C$84,Assumptions!$D$84))/(1+Assumptions!$B$54)^3+(IS!$F$14*(1+$A48)^4)*(D$43*(1-Assumptions!$B$50)-Assumptions!$G$37+CHOOSE(MATCH(Scenario,{"Bear","Base","Bull"},0),Assumptions!$B$84,Assumptions!$C$84,Assumptions!$D$84))/(1+Assumptions!$B$54)^4+(IS!$F$14*(1+$A48)^4)*(D$43*(1-Assumptions!$B$50)-Assumptions!$G$37+CHOOSE(MATCH(Scenario,{"Bear","Base","Bull"},0),Assumptions!$B$84,Assumptions!$C$84,Assumptions!$D$84))*(1+Assumptions!$B$55)/(Assumptions!$B$54-Assumptions!$B$55)/(1+Assumptions!$B$54)^4+$B$23)/Assumptions!$B$58</f>
        <v>139.634142203144</v>
      </c>
      <c r="E48" s="286" t="n">
        <f aca="false">((IS!$F$14*(1+$A48))*(E$43*(1-Assumptions!$B$50)-Assumptions!$G$37+CHOOSE(MATCH(Scenario,{"Bear","Base","Bull"},0),Assumptions!$B$84,Assumptions!$C$84,Assumptions!$D$84))/(1+Assumptions!$B$54)^1+(IS!$F$14*(1+$A48)^2)*(E$43*(1-Assumptions!$B$50)-Assumptions!$G$37+CHOOSE(MATCH(Scenario,{"Bear","Base","Bull"},0),Assumptions!$B$84,Assumptions!$C$84,Assumptions!$D$84))/(1+Assumptions!$B$54)^2+(IS!$F$14*(1+$A48)^3)*(E$43*(1-Assumptions!$B$50)-Assumptions!$G$37+CHOOSE(MATCH(Scenario,{"Bear","Base","Bull"},0),Assumptions!$B$84,Assumptions!$C$84,Assumptions!$D$84))/(1+Assumptions!$B$54)^3+(IS!$F$14*(1+$A48)^4)*(E$43*(1-Assumptions!$B$50)-Assumptions!$G$37+CHOOSE(MATCH(Scenario,{"Bear","Base","Bull"},0),Assumptions!$B$84,Assumptions!$C$84,Assumptions!$D$84))/(1+Assumptions!$B$54)^4+(IS!$F$14*(1+$A48)^4)*(E$43*(1-Assumptions!$B$50)-Assumptions!$G$37+CHOOSE(MATCH(Scenario,{"Bear","Base","Bull"},0),Assumptions!$B$84,Assumptions!$C$84,Assumptions!$D$84))*(1+Assumptions!$B$55)/(Assumptions!$B$54-Assumptions!$B$55)/(1+Assumptions!$B$54)^4+$B$23)/Assumptions!$B$58</f>
        <v>148.188643567576</v>
      </c>
      <c r="F48" s="286" t="n">
        <f aca="false">((IS!$F$14*(1+$A48))*(F$43*(1-Assumptions!$B$50)-Assumptions!$G$37+CHOOSE(MATCH(Scenario,{"Bear","Base","Bull"},0),Assumptions!$B$84,Assumptions!$C$84,Assumptions!$D$84))/(1+Assumptions!$B$54)^1+(IS!$F$14*(1+$A48)^2)*(F$43*(1-Assumptions!$B$50)-Assumptions!$G$37+CHOOSE(MATCH(Scenario,{"Bear","Base","Bull"},0),Assumptions!$B$84,Assumptions!$C$84,Assumptions!$D$84))/(1+Assumptions!$B$54)^2+(IS!$F$14*(1+$A48)^3)*(F$43*(1-Assumptions!$B$50)-Assumptions!$G$37+CHOOSE(MATCH(Scenario,{"Bear","Base","Bull"},0),Assumptions!$B$84,Assumptions!$C$84,Assumptions!$D$84))/(1+Assumptions!$B$54)^3+(IS!$F$14*(1+$A48)^4)*(F$43*(1-Assumptions!$B$50)-Assumptions!$G$37+CHOOSE(MATCH(Scenario,{"Bear","Base","Bull"},0),Assumptions!$B$84,Assumptions!$C$84,Assumptions!$D$84))/(1+Assumptions!$B$54)^4+(IS!$F$14*(1+$A48)^4)*(F$43*(1-Assumptions!$B$50)-Assumptions!$G$37+CHOOSE(MATCH(Scenario,{"Bear","Base","Bull"},0),Assumptions!$B$84,Assumptions!$C$84,Assumptions!$D$84))*(1+Assumptions!$B$55)/(Assumptions!$B$54-Assumptions!$B$55)/(1+Assumptions!$B$54)^4+$B$23)/Assumptions!$B$58</f>
        <v>156.743144932008</v>
      </c>
    </row>
    <row r="51" customFormat="false" ht="14.25" hidden="false" customHeight="false" outlineLevel="0" collapsed="false">
      <c r="A51" s="137" t="s">
        <v>449</v>
      </c>
      <c r="B51" s="138"/>
      <c r="C51" s="138"/>
      <c r="D51" s="138"/>
      <c r="E51" s="138"/>
      <c r="F51" s="138"/>
      <c r="G51" s="138"/>
    </row>
    <row r="52" customFormat="false" ht="14.25" hidden="false" customHeight="false" outlineLevel="0" collapsed="false">
      <c r="A52" s="144" t="s">
        <v>207</v>
      </c>
      <c r="B52" s="144" t="s">
        <v>450</v>
      </c>
      <c r="C52" s="144" t="s">
        <v>451</v>
      </c>
      <c r="D52" s="144" t="s">
        <v>452</v>
      </c>
      <c r="E52" s="144" t="s">
        <v>453</v>
      </c>
      <c r="F52" s="144" t="s">
        <v>454</v>
      </c>
      <c r="G52" s="144" t="s">
        <v>211</v>
      </c>
    </row>
    <row r="53" customFormat="false" ht="14.25" hidden="false" customHeight="false" outlineLevel="0" collapsed="false">
      <c r="A53" s="290" t="s">
        <v>455</v>
      </c>
      <c r="B53" s="291" t="s">
        <v>456</v>
      </c>
      <c r="C53" s="292" t="s">
        <v>457</v>
      </c>
      <c r="D53" s="293" t="n">
        <f aca="false">((IS!$F$14*(1+(AVERAGE(IS!$H$15:$K$15))-0.01))*((AVERAGE(IS!$H$30:$K$30))*(1-(Assumptions!$B$50))-(Assumptions!$G$37)+CHOOSE(MATCH(Scenario,{"Bear","Base","Bull"},0),Assumptions!$B$84,Assumptions!$C$84,Assumptions!$D$84))/(1+(Assumptions!$B$54))^1+(IS!$F$14*(1+(AVERAGE(IS!$H$15:$K$15))-0.01)^2)*((AVERAGE(IS!$H$30:$K$30))*(1-(Assumptions!$B$50))-(Assumptions!$G$37)+CHOOSE(MATCH(Scenario,{"Bear","Base","Bull"},0),Assumptions!$B$84,Assumptions!$C$84,Assumptions!$D$84))/(1+(Assumptions!$B$54))^2+(IS!$F$14*(1+(AVERAGE(IS!$H$15:$K$15))-0.01)^3)*((AVERAGE(IS!$H$30:$K$30))*(1-(Assumptions!$B$50))-(Assumptions!$G$37)+CHOOSE(MATCH(Scenario,{"Bear","Base","Bull"},0),Assumptions!$B$84,Assumptions!$C$84,Assumptions!$D$84))/(1+(Assumptions!$B$54))^3+(IS!$F$14*(1+(AVERAGE(IS!$H$15:$K$15))-0.01)^4)*((AVERAGE(IS!$H$30:$K$30))*(1-(Assumptions!$B$50))-(Assumptions!$G$37)+CHOOSE(MATCH(Scenario,{"Bear","Base","Bull"},0),Assumptions!$B$84,Assumptions!$C$84,Assumptions!$D$84))/(1+(Assumptions!$B$54))^4+(IS!$F$14*(1+(AVERAGE(IS!$H$15:$K$15))-0.01)^4)*((AVERAGE(IS!$H$30:$K$30))*(1-(Assumptions!$B$50))-(Assumptions!$G$37)+CHOOSE(MATCH(Scenario,{"Bear","Base","Bull"},0),Assumptions!$B$84,Assumptions!$C$84,Assumptions!$D$84))*(1+(Assumptions!$B$55))/((Assumptions!$B$54)-(Assumptions!$B$55))/(1+(Assumptions!$B$54))^4+$B$23)/Assumptions!$B$58</f>
        <v>127.365452057294</v>
      </c>
      <c r="E53" s="294" t="n">
        <f aca="false">((IS!$F$14*(1+(AVERAGE(IS!$H$15:$K$15))+0.01))*((AVERAGE(IS!$H$30:$K$30))*(1-(Assumptions!$B$50))-(Assumptions!$G$37)+CHOOSE(MATCH(Scenario,{"Bear","Base","Bull"},0),Assumptions!$B$84,Assumptions!$C$84,Assumptions!$D$84))/(1+(Assumptions!$B$54))^1+(IS!$F$14*(1+(AVERAGE(IS!$H$15:$K$15))+0.01)^2)*((AVERAGE(IS!$H$30:$K$30))*(1-(Assumptions!$B$50))-(Assumptions!$G$37)+CHOOSE(MATCH(Scenario,{"Bear","Base","Bull"},0),Assumptions!$B$84,Assumptions!$C$84,Assumptions!$D$84))/(1+(Assumptions!$B$54))^2+(IS!$F$14*(1+(AVERAGE(IS!$H$15:$K$15))+0.01)^3)*((AVERAGE(IS!$H$30:$K$30))*(1-(Assumptions!$B$50))-(Assumptions!$G$37)+CHOOSE(MATCH(Scenario,{"Bear","Base","Bull"},0),Assumptions!$B$84,Assumptions!$C$84,Assumptions!$D$84))/(1+(Assumptions!$B$54))^3+(IS!$F$14*(1+(AVERAGE(IS!$H$15:$K$15))+0.01)^4)*((AVERAGE(IS!$H$30:$K$30))*(1-(Assumptions!$B$50))-(Assumptions!$G$37)+CHOOSE(MATCH(Scenario,{"Bear","Base","Bull"},0),Assumptions!$B$84,Assumptions!$C$84,Assumptions!$D$84))/(1+(Assumptions!$B$54))^4+(IS!$F$14*(1+(AVERAGE(IS!$H$15:$K$15))+0.01)^4)*((AVERAGE(IS!$H$30:$K$30))*(1-(Assumptions!$B$50))-(Assumptions!$G$37)+CHOOSE(MATCH(Scenario,{"Bear","Base","Bull"},0),Assumptions!$B$84,Assumptions!$C$84,Assumptions!$D$84))*(1+(Assumptions!$B$55))/((Assumptions!$B$54)-(Assumptions!$B$55))/(1+(Assumptions!$B$54))^4+$B$23)/Assumptions!$B$58</f>
        <v>136.344653257886</v>
      </c>
      <c r="F53" s="295" t="n">
        <f aca="false">ABS(E53-D53)</f>
        <v>8.9792012005919</v>
      </c>
      <c r="G53" s="141" t="str">
        <f aca="false">"±1.0 pt off "&amp;TEXT(AVERAGE(IS!H15:K15),"0.0%")&amp;" average revenue growth"</f>
        <v>±1.0 pt off 5.1% average revenue growth</v>
      </c>
    </row>
    <row r="54" customFormat="false" ht="14.25" hidden="false" customHeight="false" outlineLevel="0" collapsed="false">
      <c r="A54" s="290" t="s">
        <v>458</v>
      </c>
      <c r="B54" s="291" t="s">
        <v>459</v>
      </c>
      <c r="C54" s="292" t="s">
        <v>460</v>
      </c>
      <c r="D54" s="293" t="n">
        <f aca="false">((IS!$F$14*(1+AVERAGE(IS!$H$15:$K$15)))*(((AVERAGE(IS!$H$30:$K$30))-0.02)*(1-(Assumptions!$B$50))-(Assumptions!$G$37)+CHOOSE(MATCH(Scenario,{"Bear","Base","Bull"},0),Assumptions!$B$84,Assumptions!$C$84,Assumptions!$D$84))/(1+(Assumptions!$B$54))^1+(IS!$F$14*(1+AVERAGE(IS!$H$15:$K$15))^2)*(((AVERAGE(IS!$H$30:$K$30))-0.02)*(1-(Assumptions!$B$50))-(Assumptions!$G$37)+CHOOSE(MATCH(Scenario,{"Bear","Base","Bull"},0),Assumptions!$B$84,Assumptions!$C$84,Assumptions!$D$84))/(1+(Assumptions!$B$54))^2+(IS!$F$14*(1+AVERAGE(IS!$H$15:$K$15))^3)*(((AVERAGE(IS!$H$30:$K$30))-0.02)*(1-(Assumptions!$B$50))-(Assumptions!$G$37)+CHOOSE(MATCH(Scenario,{"Bear","Base","Bull"},0),Assumptions!$B$84,Assumptions!$C$84,Assumptions!$D$84))/(1+(Assumptions!$B$54))^3+(IS!$F$14*(1+AVERAGE(IS!$H$15:$K$15))^4)*(((AVERAGE(IS!$H$30:$K$30))-0.02)*(1-(Assumptions!$B$50))-(Assumptions!$G$37)+CHOOSE(MATCH(Scenario,{"Bear","Base","Bull"},0),Assumptions!$B$84,Assumptions!$C$84,Assumptions!$D$84))/(1+(Assumptions!$B$54))^4+(IS!$F$14*(1+AVERAGE(IS!$H$15:$K$15))^4)*(((AVERAGE(IS!$H$30:$K$30))-0.02)*(1-(Assumptions!$B$50))-(Assumptions!$G$37)+CHOOSE(MATCH(Scenario,{"Bear","Base","Bull"},0),Assumptions!$B$84,Assumptions!$C$84,Assumptions!$D$84))*(1+(Assumptions!$B$55))/((Assumptions!$B$54)-(Assumptions!$B$55))/(1+(Assumptions!$B$54))^4+$B$23)/Assumptions!$B$58</f>
        <v>124.041335057826</v>
      </c>
      <c r="E54" s="294" t="n">
        <f aca="false">((IS!$F$14*(1+AVERAGE(IS!$H$15:$K$15)))*(((AVERAGE(IS!$H$30:$K$30))+0.02)*(1-(Assumptions!$B$50))-(Assumptions!$G$37)+CHOOSE(MATCH(Scenario,{"Bear","Base","Bull"},0),Assumptions!$B$84,Assumptions!$C$84,Assumptions!$D$84))/(1+(Assumptions!$B$54))^1+(IS!$F$14*(1+AVERAGE(IS!$H$15:$K$15))^2)*(((AVERAGE(IS!$H$30:$K$30))+0.02)*(1-(Assumptions!$B$50))-(Assumptions!$G$37)+CHOOSE(MATCH(Scenario,{"Bear","Base","Bull"},0),Assumptions!$B$84,Assumptions!$C$84,Assumptions!$D$84))/(1+(Assumptions!$B$54))^2+(IS!$F$14*(1+AVERAGE(IS!$H$15:$K$15))^3)*(((AVERAGE(IS!$H$30:$K$30))+0.02)*(1-(Assumptions!$B$50))-(Assumptions!$G$37)+CHOOSE(MATCH(Scenario,{"Bear","Base","Bull"},0),Assumptions!$B$84,Assumptions!$C$84,Assumptions!$D$84))/(1+(Assumptions!$B$54))^3+(IS!$F$14*(1+AVERAGE(IS!$H$15:$K$15))^4)*(((AVERAGE(IS!$H$30:$K$30))+0.02)*(1-(Assumptions!$B$50))-(Assumptions!$G$37)+CHOOSE(MATCH(Scenario,{"Bear","Base","Bull"},0),Assumptions!$B$84,Assumptions!$C$84,Assumptions!$D$84))/(1+(Assumptions!$B$54))^4+(IS!$F$14*(1+AVERAGE(IS!$H$15:$K$15))^4)*(((AVERAGE(IS!$H$30:$K$30))+0.02)*(1-(Assumptions!$B$50))-(Assumptions!$G$37)+CHOOSE(MATCH(Scenario,{"Bear","Base","Bull"},0),Assumptions!$B$84,Assumptions!$C$84,Assumptions!$D$84))*(1+(Assumptions!$B$55))/((Assumptions!$B$54)-(Assumptions!$B$55))/(1+(Assumptions!$B$54))^4+$B$23)/Assumptions!$B$58</f>
        <v>139.547243765539</v>
      </c>
      <c r="F54" s="295" t="n">
        <f aca="false">ABS(E54-D54)</f>
        <v>15.5059087077126</v>
      </c>
      <c r="G54" s="141" t="str">
        <f aca="false">"±2.0 pts off "&amp;TEXT(AVERAGE(IS!H30:K30),"0.0%")&amp;" average operating margin"</f>
        <v>±2.0 pts off 33.3% average operating margin</v>
      </c>
    </row>
    <row r="55" customFormat="false" ht="14.25" hidden="false" customHeight="false" outlineLevel="0" collapsed="false">
      <c r="A55" s="290" t="s">
        <v>195</v>
      </c>
      <c r="B55" s="291" t="s">
        <v>461</v>
      </c>
      <c r="C55" s="292" t="s">
        <v>462</v>
      </c>
      <c r="D55" s="293" t="n">
        <f aca="false">((IS!$F$14*(1+AVERAGE(IS!$H$15:$K$15)))*((AVERAGE(IS!$H$30:$K$30))*(1-(Assumptions!$B$50))-(Assumptions!$G$37)+CHOOSE(MATCH(Scenario,{"Bear","Base","Bull"},0),Assumptions!$B$84,Assumptions!$C$84,Assumptions!$D$84))/(1+((Assumptions!$B$54)+0.01))^1+(IS!$F$14*(1+AVERAGE(IS!$H$15:$K$15))^2)*((AVERAGE(IS!$H$30:$K$30))*(1-(Assumptions!$B$50))-(Assumptions!$G$37)+CHOOSE(MATCH(Scenario,{"Bear","Base","Bull"},0),Assumptions!$B$84,Assumptions!$C$84,Assumptions!$D$84))/(1+((Assumptions!$B$54)+0.01))^2+(IS!$F$14*(1+AVERAGE(IS!$H$15:$K$15))^3)*((AVERAGE(IS!$H$30:$K$30))*(1-(Assumptions!$B$50))-(Assumptions!$G$37)+CHOOSE(MATCH(Scenario,{"Bear","Base","Bull"},0),Assumptions!$B$84,Assumptions!$C$84,Assumptions!$D$84))/(1+((Assumptions!$B$54)+0.01))^3+(IS!$F$14*(1+AVERAGE(IS!$H$15:$K$15))^4)*((AVERAGE(IS!$H$30:$K$30))*(1-(Assumptions!$B$50))-(Assumptions!$G$37)+CHOOSE(MATCH(Scenario,{"Bear","Base","Bull"},0),Assumptions!$B$84,Assumptions!$C$84,Assumptions!$D$84))/(1+((Assumptions!$B$54)+0.01))^4+(IS!$F$14*(1+AVERAGE(IS!$H$15:$K$15))^4)*((AVERAGE(IS!$H$30:$K$30))*(1-(Assumptions!$B$50))-(Assumptions!$G$37)+CHOOSE(MATCH(Scenario,{"Bear","Base","Bull"},0),Assumptions!$B$84,Assumptions!$C$84,Assumptions!$D$84))*(1+(Assumptions!$B$55))/(((Assumptions!$B$54)+0.01)-(Assumptions!$B$55))/(1+((Assumptions!$B$54)+0.01))^4+$B$23)/Assumptions!$B$58</f>
        <v>115.205635629154</v>
      </c>
      <c r="E55" s="294" t="n">
        <f aca="false">((IS!$F$14*(1+AVERAGE(IS!$H$15:$K$15)))*((AVERAGE(IS!$H$30:$K$30))*(1-(Assumptions!$B$50))-(Assumptions!$G$37)+CHOOSE(MATCH(Scenario,{"Bear","Base","Bull"},0),Assumptions!$B$84,Assumptions!$C$84,Assumptions!$D$84))/(1+((Assumptions!$B$54)-0.01))^1+(IS!$F$14*(1+AVERAGE(IS!$H$15:$K$15))^2)*((AVERAGE(IS!$H$30:$K$30))*(1-(Assumptions!$B$50))-(Assumptions!$G$37)+CHOOSE(MATCH(Scenario,{"Bear","Base","Bull"},0),Assumptions!$B$84,Assumptions!$C$84,Assumptions!$D$84))/(1+((Assumptions!$B$54)-0.01))^2+(IS!$F$14*(1+AVERAGE(IS!$H$15:$K$15))^3)*((AVERAGE(IS!$H$30:$K$30))*(1-(Assumptions!$B$50))-(Assumptions!$G$37)+CHOOSE(MATCH(Scenario,{"Bear","Base","Bull"},0),Assumptions!$B$84,Assumptions!$C$84,Assumptions!$D$84))/(1+((Assumptions!$B$54)-0.01))^3+(IS!$F$14*(1+AVERAGE(IS!$H$15:$K$15))^4)*((AVERAGE(IS!$H$30:$K$30))*(1-(Assumptions!$B$50))-(Assumptions!$G$37)+CHOOSE(MATCH(Scenario,{"Bear","Base","Bull"},0),Assumptions!$B$84,Assumptions!$C$84,Assumptions!$D$84))/(1+((Assumptions!$B$54)-0.01))^4+(IS!$F$14*(1+AVERAGE(IS!$H$15:$K$15))^4)*((AVERAGE(IS!$H$30:$K$30))*(1-(Assumptions!$B$50))-(Assumptions!$G$37)+CHOOSE(MATCH(Scenario,{"Bear","Base","Bull"},0),Assumptions!$B$84,Assumptions!$C$84,Assumptions!$D$84))*(1+(Assumptions!$B$55))/(((Assumptions!$B$54)-0.01)-(Assumptions!$B$55))/(1+((Assumptions!$B$54)-0.01))^4+$B$23)/Assumptions!$B$58</f>
        <v>154.069374844354</v>
      </c>
      <c r="F55" s="295" t="n">
        <f aca="false">ABS(E55-D55)</f>
        <v>38.8637392151995</v>
      </c>
      <c r="G55" s="141" t="s">
        <v>463</v>
      </c>
    </row>
    <row r="56" customFormat="false" ht="14.25" hidden="false" customHeight="false" outlineLevel="0" collapsed="false">
      <c r="A56" s="290" t="s">
        <v>464</v>
      </c>
      <c r="B56" s="291" t="s">
        <v>465</v>
      </c>
      <c r="C56" s="292" t="s">
        <v>466</v>
      </c>
      <c r="D56" s="293" t="n">
        <f aca="false">((IS!$F$14*(1+AVERAGE(IS!$H$15:$K$15)))*((AVERAGE(IS!$H$30:$K$30))*(1-(Assumptions!$B$50))-(Assumptions!$G$37)+CHOOSE(MATCH(Scenario,{"Bear","Base","Bull"},0),Assumptions!$B$84,Assumptions!$C$84,Assumptions!$D$84))/(1+(Assumptions!$B$54))^1+(IS!$F$14*(1+AVERAGE(IS!$H$15:$K$15))^2)*((AVERAGE(IS!$H$30:$K$30))*(1-(Assumptions!$B$50))-(Assumptions!$G$37)+CHOOSE(MATCH(Scenario,{"Bear","Base","Bull"},0),Assumptions!$B$84,Assumptions!$C$84,Assumptions!$D$84))/(1+(Assumptions!$B$54))^2+(IS!$F$14*(1+AVERAGE(IS!$H$15:$K$15))^3)*((AVERAGE(IS!$H$30:$K$30))*(1-(Assumptions!$B$50))-(Assumptions!$G$37)+CHOOSE(MATCH(Scenario,{"Bear","Base","Bull"},0),Assumptions!$B$84,Assumptions!$C$84,Assumptions!$D$84))/(1+(Assumptions!$B$54))^3+(IS!$F$14*(1+AVERAGE(IS!$H$15:$K$15))^4)*((AVERAGE(IS!$H$30:$K$30))*(1-(Assumptions!$B$50))-(Assumptions!$G$37)+CHOOSE(MATCH(Scenario,{"Bear","Base","Bull"},0),Assumptions!$B$84,Assumptions!$C$84,Assumptions!$D$84))/(1+(Assumptions!$B$54))^4+(IS!$F$14*(1+AVERAGE(IS!$H$15:$K$15))^4)*((AVERAGE(IS!$H$30:$K$30))*(1-(Assumptions!$B$50))-(Assumptions!$G$37)+CHOOSE(MATCH(Scenario,{"Bear","Base","Bull"},0),Assumptions!$B$84,Assumptions!$C$84,Assumptions!$D$84))*(1+((Assumptions!$B$55)-0.005))/((Assumptions!$B$54)-((Assumptions!$B$55)-0.005))/(1+(Assumptions!$B$54))^4+$B$23)/Assumptions!$B$58</f>
        <v>124.488233049955</v>
      </c>
      <c r="E56" s="294" t="n">
        <f aca="false">((IS!$F$14*(1+AVERAGE(IS!$H$15:$K$15)))*((AVERAGE(IS!$H$30:$K$30))*(1-(Assumptions!$B$50))-(Assumptions!$G$37)+CHOOSE(MATCH(Scenario,{"Bear","Base","Bull"},0),Assumptions!$B$84,Assumptions!$C$84,Assumptions!$D$84))/(1+(Assumptions!$B$54))^1+(IS!$F$14*(1+AVERAGE(IS!$H$15:$K$15))^2)*((AVERAGE(IS!$H$30:$K$30))*(1-(Assumptions!$B$50))-(Assumptions!$G$37)+CHOOSE(MATCH(Scenario,{"Bear","Base","Bull"},0),Assumptions!$B$84,Assumptions!$C$84,Assumptions!$D$84))/(1+(Assumptions!$B$54))^2+(IS!$F$14*(1+AVERAGE(IS!$H$15:$K$15))^3)*((AVERAGE(IS!$H$30:$K$30))*(1-(Assumptions!$B$50))-(Assumptions!$G$37)+CHOOSE(MATCH(Scenario,{"Bear","Base","Bull"},0),Assumptions!$B$84,Assumptions!$C$84,Assumptions!$D$84))/(1+(Assumptions!$B$54))^3+(IS!$F$14*(1+AVERAGE(IS!$H$15:$K$15))^4)*((AVERAGE(IS!$H$30:$K$30))*(1-(Assumptions!$B$50))-(Assumptions!$G$37)+CHOOSE(MATCH(Scenario,{"Bear","Base","Bull"},0),Assumptions!$B$84,Assumptions!$C$84,Assumptions!$D$84))/(1+(Assumptions!$B$54))^4+(IS!$F$14*(1+AVERAGE(IS!$H$15:$K$15))^4)*((AVERAGE(IS!$H$30:$K$30))*(1-(Assumptions!$B$50))-(Assumptions!$G$37)+CHOOSE(MATCH(Scenario,{"Bear","Base","Bull"},0),Assumptions!$B$84,Assumptions!$C$84,Assumptions!$D$84))*(1+((Assumptions!$B$55)+0.005))/((Assumptions!$B$54)-((Assumptions!$B$55)+0.005))/(1+(Assumptions!$B$54))^4+$B$23)/Assumptions!$B$58</f>
        <v>140.252720593872</v>
      </c>
      <c r="F56" s="295" t="n">
        <f aca="false">ABS(E56-D56)</f>
        <v>15.7644875439166</v>
      </c>
      <c r="G56" s="141" t="s">
        <v>467</v>
      </c>
    </row>
    <row r="57" customFormat="false" ht="14.25" hidden="false" customHeight="false" outlineLevel="0" collapsed="false">
      <c r="A57" s="290" t="s">
        <v>169</v>
      </c>
      <c r="B57" s="291" t="s">
        <v>460</v>
      </c>
      <c r="C57" s="292" t="s">
        <v>459</v>
      </c>
      <c r="D57" s="293" t="n">
        <f aca="false">((IS!$F$14*(1+AVERAGE(IS!$H$15:$K$15)))*((AVERAGE(IS!$H$30:$K$30))*(1-((Assumptions!$B$50)+0.02))-(Assumptions!$G$37)+CHOOSE(MATCH(Scenario,{"Bear","Base","Bull"},0),Assumptions!$B$84,Assumptions!$C$84,Assumptions!$D$84))/(1+(Assumptions!$B$54))^1+(IS!$F$14*(1+AVERAGE(IS!$H$15:$K$15))^2)*((AVERAGE(IS!$H$30:$K$30))*(1-((Assumptions!$B$50)+0.02))-(Assumptions!$G$37)+CHOOSE(MATCH(Scenario,{"Bear","Base","Bull"},0),Assumptions!$B$84,Assumptions!$C$84,Assumptions!$D$84))/(1+(Assumptions!$B$54))^2+(IS!$F$14*(1+AVERAGE(IS!$H$15:$K$15))^3)*((AVERAGE(IS!$H$30:$K$30))*(1-((Assumptions!$B$50)+0.02))-(Assumptions!$G$37)+CHOOSE(MATCH(Scenario,{"Bear","Base","Bull"},0),Assumptions!$B$84,Assumptions!$C$84,Assumptions!$D$84))/(1+(Assumptions!$B$54))^3+(IS!$F$14*(1+AVERAGE(IS!$H$15:$K$15))^4)*((AVERAGE(IS!$H$30:$K$30))*(1-((Assumptions!$B$50)+0.02))-(Assumptions!$G$37)+CHOOSE(MATCH(Scenario,{"Bear","Base","Bull"},0),Assumptions!$B$84,Assumptions!$C$84,Assumptions!$D$84))/(1+(Assumptions!$B$54))^4+(IS!$F$14*(1+AVERAGE(IS!$H$15:$K$15))^4)*((AVERAGE(IS!$H$30:$K$30))*(1-((Assumptions!$B$50)+0.02))-(Assumptions!$G$37)+CHOOSE(MATCH(Scenario,{"Bear","Base","Bull"},0),Assumptions!$B$84,Assumptions!$C$84,Assumptions!$D$84))*(1+(Assumptions!$B$55))/((Assumptions!$B$54)-(Assumptions!$B$55))/(1+(Assumptions!$B$54))^4+$B$23)/Assumptions!$B$58</f>
        <v>128.75823837546</v>
      </c>
      <c r="E57" s="294" t="n">
        <f aca="false">((IS!$F$14*(1+AVERAGE(IS!$H$15:$K$15)))*((AVERAGE(IS!$H$30:$K$30))*(1-((Assumptions!$B$50)-0.02))-(Assumptions!$G$37)+CHOOSE(MATCH(Scenario,{"Bear","Base","Bull"},0),Assumptions!$B$84,Assumptions!$C$84,Assumptions!$D$84))/(1+(Assumptions!$B$54))^1+(IS!$F$14*(1+AVERAGE(IS!$H$15:$K$15))^2)*((AVERAGE(IS!$H$30:$K$30))*(1-((Assumptions!$B$50)-0.02))-(Assumptions!$G$37)+CHOOSE(MATCH(Scenario,{"Bear","Base","Bull"},0),Assumptions!$B$84,Assumptions!$C$84,Assumptions!$D$84))/(1+(Assumptions!$B$54))^2+(IS!$F$14*(1+AVERAGE(IS!$H$15:$K$15))^3)*((AVERAGE(IS!$H$30:$K$30))*(1-((Assumptions!$B$50)-0.02))-(Assumptions!$G$37)+CHOOSE(MATCH(Scenario,{"Bear","Base","Bull"},0),Assumptions!$B$84,Assumptions!$C$84,Assumptions!$D$84))/(1+(Assumptions!$B$54))^3+(IS!$F$14*(1+AVERAGE(IS!$H$15:$K$15))^4)*((AVERAGE(IS!$H$30:$K$30))*(1-((Assumptions!$B$50)-0.02))-(Assumptions!$G$37)+CHOOSE(MATCH(Scenario,{"Bear","Base","Bull"},0),Assumptions!$B$84,Assumptions!$C$84,Assumptions!$D$84))/(1+(Assumptions!$B$54))^4+(IS!$F$14*(1+AVERAGE(IS!$H$15:$K$15))^4)*((AVERAGE(IS!$H$30:$K$30))*(1-((Assumptions!$B$50)-0.02))-(Assumptions!$G$37)+CHOOSE(MATCH(Scenario,{"Bear","Base","Bull"},0),Assumptions!$B$84,Assumptions!$C$84,Assumptions!$D$84))*(1+(Assumptions!$B$55))/((Assumptions!$B$54)-(Assumptions!$B$55))/(1+(Assumptions!$B$54))^4+$B$23)/Assumptions!$B$58</f>
        <v>134.830340447905</v>
      </c>
      <c r="F57" s="295" t="n">
        <f aca="false">ABS(E57-D57)</f>
        <v>6.07210207244478</v>
      </c>
      <c r="G57" s="141" t="s">
        <v>468</v>
      </c>
    </row>
    <row r="58" customFormat="false" ht="14.25" hidden="false" customHeight="false" outlineLevel="0" collapsed="false">
      <c r="A58" s="290" t="s">
        <v>469</v>
      </c>
      <c r="B58" s="291" t="s">
        <v>466</v>
      </c>
      <c r="C58" s="292" t="s">
        <v>465</v>
      </c>
      <c r="D58" s="293" t="n">
        <f aca="false">((IS!$F$14*(1+AVERAGE(IS!$H$15:$K$15)))*((AVERAGE(IS!$H$30:$K$30))*(1-(Assumptions!$B$50))-((Assumptions!$G$37)+0.005))/(1+(Assumptions!$B$54))^1+(IS!$F$14*(1+AVERAGE(IS!$H$15:$K$15))^2)*((AVERAGE(IS!$H$30:$K$30))*(1-(Assumptions!$B$50))-((Assumptions!$G$37)+0.005))/(1+(Assumptions!$B$54))^2+(IS!$F$14*(1+AVERAGE(IS!$H$15:$K$15))^3)*((AVERAGE(IS!$H$30:$K$30))*(1-(Assumptions!$B$50))-((Assumptions!$G$37)+0.005))/(1+(Assumptions!$B$54))^3+(IS!$F$14*(1+AVERAGE(IS!$H$15:$K$15))^4)*((AVERAGE(IS!$H$30:$K$30))*(1-(Assumptions!$B$50))-((Assumptions!$G$37)+0.005))/(1+(Assumptions!$B$54))^4+(IS!$F$14*(1+AVERAGE(IS!$H$15:$K$15))^4)*((AVERAGE(IS!$H$30:$K$30))*(1-(Assumptions!$B$50))-((Assumptions!$G$37)+0.005))*(1+(Assumptions!$B$55))/((Assumptions!$B$54)-(Assumptions!$B$55))/(1+(Assumptions!$B$54))^4+$B$23)/Assumptions!$B$58</f>
        <v>116.744436842432</v>
      </c>
      <c r="E58" s="294" t="n">
        <f aca="false">((IS!$F$14*(1+AVERAGE(IS!$H$15:$K$15)))*((AVERAGE(IS!$H$30:$K$30))*(1-(Assumptions!$B$50))-((Assumptions!$G$37)-0.005))/(1+(Assumptions!$B$54))^1+(IS!$F$14*(1+AVERAGE(IS!$H$15:$K$15))^2)*((AVERAGE(IS!$H$30:$K$30))*(1-(Assumptions!$B$50))-((Assumptions!$G$37)-0.005))/(1+(Assumptions!$B$54))^2+(IS!$F$14*(1+AVERAGE(IS!$H$15:$K$15))^3)*((AVERAGE(IS!$H$30:$K$30))*(1-(Assumptions!$B$50))-((Assumptions!$G$37)-0.005))/(1+(Assumptions!$B$54))^3+(IS!$F$14*(1+AVERAGE(IS!$H$15:$K$15))^4)*((AVERAGE(IS!$H$30:$K$30))*(1-(Assumptions!$B$50))-((Assumptions!$G$37)-0.005))/(1+(Assumptions!$B$54))^4+(IS!$F$14*(1+AVERAGE(IS!$H$15:$K$15))^4)*((AVERAGE(IS!$H$30:$K$30))*(1-(Assumptions!$B$50))-((Assumptions!$G$37)-0.005))*(1+(Assumptions!$B$55))/((Assumptions!$B$54)-(Assumptions!$B$55))/(1+(Assumptions!$B$54))^4+$B$23)/Assumptions!$B$58</f>
        <v>121.304998227054</v>
      </c>
      <c r="F58" s="295" t="n">
        <f aca="false">ABS(E58-D58)</f>
        <v>4.56056138462135</v>
      </c>
      <c r="G58" s="141" t="s">
        <v>470</v>
      </c>
    </row>
    <row r="64" customFormat="false" ht="14.25" hidden="false" customHeight="false" outlineLevel="0" collapsed="false">
      <c r="A64" s="137" t="s">
        <v>471</v>
      </c>
      <c r="B64" s="138"/>
      <c r="C64" s="138"/>
      <c r="D64" s="138"/>
      <c r="E64" s="138"/>
      <c r="F64" s="138"/>
      <c r="G64" s="138"/>
    </row>
    <row r="65" customFormat="false" ht="14.25" hidden="false" customHeight="false" outlineLevel="0" collapsed="false">
      <c r="A65" s="144" t="s">
        <v>13</v>
      </c>
      <c r="B65" s="144" t="s">
        <v>472</v>
      </c>
      <c r="C65" s="144" t="s">
        <v>473</v>
      </c>
      <c r="D65" s="144" t="s">
        <v>474</v>
      </c>
      <c r="E65" s="144" t="s">
        <v>475</v>
      </c>
      <c r="F65" s="144" t="s">
        <v>211</v>
      </c>
    </row>
    <row r="66" customFormat="false" ht="14.25" hidden="false" customHeight="false" outlineLevel="0" collapsed="false">
      <c r="A66" s="290" t="s">
        <v>476</v>
      </c>
      <c r="B66" s="296" t="n">
        <f aca="false">C37</f>
        <v>122.995533539649</v>
      </c>
      <c r="C66" s="297" t="n">
        <f aca="false">D36</f>
        <v>139.498856988209</v>
      </c>
      <c r="D66" s="298" t="n">
        <f aca="false">E35</f>
        <v>161.636640078364</v>
      </c>
      <c r="E66" s="299" t="n">
        <f aca="false">D66-B66</f>
        <v>38.6411065387157</v>
      </c>
      <c r="F66" s="141" t="s">
        <v>477</v>
      </c>
    </row>
    <row r="67" customFormat="false" ht="14.25" hidden="false" customHeight="false" outlineLevel="0" collapsed="false">
      <c r="A67" s="290" t="s">
        <v>478</v>
      </c>
      <c r="B67" s="296" t="n">
        <f aca="false">MIN(B44:F48)</f>
        <v>99.9365866126439</v>
      </c>
      <c r="C67" s="297" t="n">
        <f aca="false">MEDIAN(B44:F48)</f>
        <v>126.201967042231</v>
      </c>
      <c r="D67" s="298" t="n">
        <f aca="false">MAX(B44:F48)</f>
        <v>156.743144932008</v>
      </c>
      <c r="E67" s="299" t="n">
        <f aca="false">D67-B67</f>
        <v>56.8065583193639</v>
      </c>
      <c r="F67" s="141" t="s">
        <v>479</v>
      </c>
    </row>
    <row r="68" customFormat="false" ht="14.25" hidden="false" customHeight="false" outlineLevel="0" collapsed="false">
      <c r="A68" s="290" t="s">
        <v>480</v>
      </c>
      <c r="B68" s="300" t="n">
        <v>75.86</v>
      </c>
      <c r="C68" s="297" t="n">
        <f aca="false">B26</f>
        <v>139.498856988209</v>
      </c>
      <c r="D68" s="300" t="n">
        <v>265.54</v>
      </c>
      <c r="E68" s="299" t="n">
        <f aca="false">D68-B68</f>
        <v>189.68</v>
      </c>
      <c r="F68" s="141" t="s">
        <v>481</v>
      </c>
    </row>
    <row r="69" customFormat="false" ht="14.25" hidden="false" customHeight="false" outlineLevel="0" collapsed="false">
      <c r="A69" s="290" t="s">
        <v>482</v>
      </c>
      <c r="B69" s="301" t="n">
        <f aca="false">IS!$K$44*Assumptions!$B$97*$E$16</f>
        <v>182.394928882173</v>
      </c>
      <c r="C69" s="302" t="n">
        <f aca="false">IS!$K$44*Assumptions!$C$97*$E$16</f>
        <v>215.557643224387</v>
      </c>
      <c r="D69" s="301" t="n">
        <f aca="false">IS!$K$44*Assumptions!$D$97*$E$16</f>
        <v>248.7203575666</v>
      </c>
      <c r="E69" s="299" t="n">
        <f aca="false">D69-B69</f>
        <v>66.3254286844267</v>
      </c>
      <c r="F69" s="141" t="s">
        <v>483</v>
      </c>
    </row>
    <row r="70" customFormat="false" ht="14.25" hidden="false" customHeight="false" outlineLevel="0" collapsed="false">
      <c r="A70" s="290" t="s">
        <v>484</v>
      </c>
      <c r="B70" s="303" t="n">
        <f aca="false">((IS!$K$29+CFS!$J$10)*Assumptions!$B$98*$E$16+$B$23)/Assumptions!$B$58</f>
        <v>155.117403800516</v>
      </c>
      <c r="C70" s="304" t="n">
        <f aca="false">((IS!$K$29+CFS!$J$10)*Assumptions!$C$98*$E$16+$B$23)/Assumptions!$B$58</f>
        <v>183.684019443319</v>
      </c>
      <c r="D70" s="303" t="n">
        <f aca="false">((IS!$K$29+CFS!$J$10)*Assumptions!$D$98*$E$16+$B$23)/Assumptions!$B$58</f>
        <v>212.250635086123</v>
      </c>
      <c r="E70" s="299" t="n">
        <f aca="false">D70-B70</f>
        <v>57.1332312856068</v>
      </c>
      <c r="F70" s="141" t="s">
        <v>485</v>
      </c>
    </row>
    <row r="71" customFormat="false" ht="14.25" hidden="false" customHeight="false" outlineLevel="0" collapsed="false">
      <c r="A71" s="290" t="s">
        <v>486</v>
      </c>
      <c r="B71" s="296" t="n">
        <v>245.27</v>
      </c>
      <c r="C71" s="297" t="n">
        <f aca="false">(B71+D71)/2</f>
        <v>293.17</v>
      </c>
      <c r="D71" s="298" t="n">
        <v>341.07</v>
      </c>
      <c r="E71" s="299" t="n">
        <f aca="false">D71-B71</f>
        <v>95.8</v>
      </c>
      <c r="F71" s="141" t="s">
        <v>487</v>
      </c>
    </row>
    <row r="72" customFormat="false" ht="14.25" hidden="false" customHeight="false" outlineLevel="0" collapsed="false">
      <c r="A72" s="290" t="s">
        <v>488</v>
      </c>
      <c r="B72" s="296" t="n">
        <v>215</v>
      </c>
      <c r="C72" s="297" t="n">
        <v>340</v>
      </c>
      <c r="D72" s="298" t="n">
        <v>405</v>
      </c>
      <c r="E72" s="299" t="n">
        <f aca="false">D72-B72</f>
        <v>190</v>
      </c>
      <c r="F72" s="141" t="s">
        <v>489</v>
      </c>
    </row>
    <row r="73" customFormat="false" ht="14.25" hidden="false" customHeight="false" outlineLevel="0" collapsed="false">
      <c r="A73" s="305" t="s">
        <v>441</v>
      </c>
      <c r="B73" s="306" t="n">
        <f aca="false">Assumptions!$B$59</f>
        <v>338.4</v>
      </c>
      <c r="C73" s="306" t="n">
        <f aca="false">Assumptions!$B$59</f>
        <v>338.4</v>
      </c>
      <c r="D73" s="306" t="n">
        <f aca="false">Assumptions!$B$59</f>
        <v>338.4</v>
      </c>
      <c r="E73" s="307" t="n">
        <v>0</v>
      </c>
      <c r="F73" s="288" t="s">
        <v>490</v>
      </c>
    </row>
  </sheetData>
  <mergeCells count="6">
    <mergeCell ref="A1:J1"/>
    <mergeCell ref="A2:J2"/>
    <mergeCell ref="A6:F6"/>
    <mergeCell ref="A19:D19"/>
    <mergeCell ref="A31:H31"/>
    <mergeCell ref="A40:H40"/>
  </mergeCells>
  <conditionalFormatting sqref="B44:F48">
    <cfRule type="colorScale" priority="2">
      <colorScale>
        <cfvo type="min" val="0"/>
        <cfvo type="percentile" val="50"/>
        <cfvo type="max" val="0"/>
        <color rgb="FFFCE9E9"/>
        <color rgb="FFFFFFFF"/>
        <color rgb="FFE2F3E5"/>
      </colorScale>
    </cfRule>
  </conditionalFormatting>
  <conditionalFormatting sqref="B34:F38">
    <cfRule type="colorScale" priority="3">
      <colorScale>
        <cfvo type="min" val="0"/>
        <cfvo type="percentile" val="50"/>
        <cfvo type="max" val="0"/>
        <color rgb="FFFCE9E9"/>
        <color rgb="FFFFFFFF"/>
        <color rgb="FFE2F3E5"/>
      </colorScale>
    </cfRule>
  </conditionalFormatting>
  <printOptions headings="false" gridLines="false" gridLinesSet="true" horizontalCentered="false" verticalCentered="false"/>
  <pageMargins left="0.25" right="0.25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C759"/>
    <pageSetUpPr fitToPage="true"/>
  </sheetPr>
  <dimension ref="A1:J125"/>
  <sheetViews>
    <sheetView showFormulas="false" showGridLines="false" showRowColHeaders="true" showZeros="true" rightToLeft="false" tabSelected="false" showOutlineSymbols="true" defaultGridColor="true" view="normal" topLeftCell="A47" colorId="64" zoomScale="100" zoomScaleNormal="100" zoomScalePageLayoutView="100" workbookViewId="0">
      <selection pane="topLeft" activeCell="G36" activeCellId="0" sqref="G36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4"/>
    <col collapsed="false" customWidth="true" hidden="false" outlineLevel="0" max="7" min="7" style="0" width="22"/>
    <col collapsed="false" customWidth="true" hidden="false" outlineLevel="0" max="8" min="8" style="0" width="24"/>
    <col collapsed="false" customWidth="true" hidden="false" outlineLevel="0" max="10" min="9" style="0" width="12"/>
  </cols>
  <sheetData>
    <row r="1" customFormat="false" ht="31.5" hidden="false" customHeight="true" outlineLevel="0" collapsed="false">
      <c r="A1" s="103" t="s">
        <v>491</v>
      </c>
      <c r="B1" s="103"/>
      <c r="C1" s="103"/>
      <c r="D1" s="103"/>
      <c r="E1" s="103"/>
      <c r="F1" s="103"/>
      <c r="G1" s="103"/>
      <c r="H1" s="103"/>
      <c r="I1" s="103"/>
      <c r="J1" s="103"/>
    </row>
    <row r="2" customFormat="false" ht="19.5" hidden="false" customHeight="true" outlineLevel="0" collapsed="false">
      <c r="A2" s="308" t="s">
        <v>492</v>
      </c>
      <c r="B2" s="308"/>
      <c r="C2" s="308"/>
      <c r="D2" s="308"/>
      <c r="E2" s="308"/>
      <c r="F2" s="308"/>
      <c r="G2" s="308"/>
      <c r="H2" s="308"/>
      <c r="I2" s="308"/>
      <c r="J2" s="308"/>
    </row>
    <row r="3" customFormat="false" ht="6" hidden="false" customHeight="true" outlineLevel="0" collapsed="false">
      <c r="A3" s="309" t="s">
        <v>493</v>
      </c>
      <c r="B3" s="310" t="str">
        <f aca="false">IF(AND(E87=0,COUNTIF(B122:J122,"✓")=9,COUNTIF(B123:J123,"✓")+COUNTIF(B123:J123,"n/a*")=9),"✅ ALL CHECKS PASS","⚠ "&amp;(E87+(9-COUNTIF(B122:J122,"✓"))+(9-COUNTIF(B123:J123,"✓")-COUNTIF(B123:J123,"n/a*")))&amp;" ISSUES — see details below")</f>
        <v>✅ ALL CHECKS PASS</v>
      </c>
      <c r="C3" s="311"/>
      <c r="D3" s="311"/>
      <c r="E3" s="311"/>
      <c r="F3" s="311"/>
      <c r="G3" s="311"/>
      <c r="H3" s="311"/>
      <c r="I3" s="311"/>
      <c r="J3" s="311"/>
    </row>
    <row r="5" customFormat="false" ht="21.75" hidden="false" customHeight="true" outlineLevel="0" collapsed="false">
      <c r="A5" s="312" t="s">
        <v>494</v>
      </c>
      <c r="B5" s="312"/>
      <c r="C5" s="312"/>
      <c r="D5" s="312"/>
      <c r="E5" s="312"/>
      <c r="F5" s="312"/>
      <c r="G5" s="312"/>
      <c r="H5" s="312"/>
      <c r="I5" s="312"/>
      <c r="J5" s="312"/>
    </row>
    <row r="6" customFormat="false" ht="18.75" hidden="false" customHeight="true" outlineLevel="0" collapsed="false">
      <c r="A6" s="313" t="s">
        <v>495</v>
      </c>
      <c r="B6" s="314" t="s">
        <v>496</v>
      </c>
      <c r="C6" s="314"/>
      <c r="D6" s="314"/>
      <c r="E6" s="315" t="s">
        <v>497</v>
      </c>
      <c r="F6" s="316" t="s">
        <v>498</v>
      </c>
      <c r="G6" s="316"/>
      <c r="H6" s="317" t="s">
        <v>499</v>
      </c>
      <c r="I6" s="317"/>
      <c r="J6" s="317"/>
    </row>
    <row r="7" customFormat="false" ht="18.75" hidden="false" customHeight="true" outlineLevel="0" collapsed="false">
      <c r="A7" s="318" t="s">
        <v>500</v>
      </c>
      <c r="B7" s="319" t="s">
        <v>501</v>
      </c>
      <c r="C7" s="319"/>
      <c r="D7" s="319"/>
      <c r="E7" s="9" t="s">
        <v>502</v>
      </c>
      <c r="F7" s="320" t="s">
        <v>503</v>
      </c>
      <c r="G7" s="320"/>
      <c r="H7" s="321" t="s">
        <v>499</v>
      </c>
      <c r="I7" s="321"/>
      <c r="J7" s="321"/>
    </row>
    <row r="8" customFormat="false" ht="18.75" hidden="false" customHeight="true" outlineLevel="0" collapsed="false">
      <c r="A8" s="313" t="s">
        <v>504</v>
      </c>
      <c r="B8" s="314" t="s">
        <v>505</v>
      </c>
      <c r="C8" s="314"/>
      <c r="D8" s="314"/>
      <c r="E8" s="315" t="s">
        <v>506</v>
      </c>
      <c r="F8" s="316" t="s">
        <v>507</v>
      </c>
      <c r="G8" s="316"/>
      <c r="H8" s="317" t="s">
        <v>499</v>
      </c>
      <c r="I8" s="317"/>
      <c r="J8" s="317"/>
    </row>
    <row r="9" customFormat="false" ht="18.75" hidden="false" customHeight="true" outlineLevel="0" collapsed="false">
      <c r="A9" s="318" t="s">
        <v>508</v>
      </c>
      <c r="B9" s="319" t="s">
        <v>509</v>
      </c>
      <c r="C9" s="319"/>
      <c r="D9" s="319"/>
      <c r="E9" s="9" t="s">
        <v>510</v>
      </c>
      <c r="F9" s="320" t="s">
        <v>511</v>
      </c>
      <c r="G9" s="320"/>
      <c r="H9" s="321" t="s">
        <v>512</v>
      </c>
      <c r="I9" s="321"/>
      <c r="J9" s="321"/>
    </row>
    <row r="10" customFormat="false" ht="18.75" hidden="false" customHeight="true" outlineLevel="0" collapsed="false">
      <c r="A10" s="313" t="s">
        <v>513</v>
      </c>
      <c r="B10" s="314" t="s">
        <v>514</v>
      </c>
      <c r="C10" s="314"/>
      <c r="D10" s="314"/>
      <c r="E10" s="315" t="s">
        <v>515</v>
      </c>
      <c r="F10" s="316" t="s">
        <v>516</v>
      </c>
      <c r="G10" s="316"/>
      <c r="H10" s="317" t="s">
        <v>512</v>
      </c>
      <c r="I10" s="317"/>
      <c r="J10" s="317"/>
    </row>
    <row r="11" customFormat="false" ht="18.75" hidden="false" customHeight="true" outlineLevel="0" collapsed="false">
      <c r="A11" s="318" t="s">
        <v>517</v>
      </c>
      <c r="B11" s="319" t="s">
        <v>518</v>
      </c>
      <c r="C11" s="319"/>
      <c r="D11" s="319"/>
      <c r="E11" s="9" t="s">
        <v>519</v>
      </c>
      <c r="F11" s="320" t="s">
        <v>520</v>
      </c>
      <c r="G11" s="320"/>
      <c r="H11" s="321" t="s">
        <v>521</v>
      </c>
      <c r="I11" s="321"/>
      <c r="J11" s="321"/>
    </row>
    <row r="12" customFormat="false" ht="18.75" hidden="false" customHeight="true" outlineLevel="0" collapsed="false">
      <c r="A12" s="313" t="s">
        <v>522</v>
      </c>
      <c r="B12" s="314" t="s">
        <v>523</v>
      </c>
      <c r="C12" s="314"/>
      <c r="D12" s="314"/>
      <c r="E12" s="315" t="s">
        <v>524</v>
      </c>
      <c r="F12" s="316" t="s">
        <v>525</v>
      </c>
      <c r="G12" s="316"/>
      <c r="H12" s="317" t="s">
        <v>526</v>
      </c>
      <c r="I12" s="317"/>
      <c r="J12" s="317"/>
    </row>
    <row r="14" customFormat="false" ht="21.75" hidden="false" customHeight="true" outlineLevel="0" collapsed="false">
      <c r="A14" s="312" t="s">
        <v>527</v>
      </c>
      <c r="B14" s="312"/>
      <c r="C14" s="312"/>
      <c r="D14" s="312"/>
      <c r="E14" s="312"/>
      <c r="F14" s="312"/>
      <c r="G14" s="312"/>
      <c r="H14" s="312"/>
      <c r="I14" s="312"/>
      <c r="J14" s="312"/>
    </row>
    <row r="15" customFormat="false" ht="24" hidden="false" customHeight="true" outlineLevel="0" collapsed="false">
      <c r="A15" s="322" t="s">
        <v>528</v>
      </c>
      <c r="B15" s="323" t="s">
        <v>113</v>
      </c>
      <c r="C15" s="323" t="s">
        <v>114</v>
      </c>
      <c r="D15" s="323" t="s">
        <v>89</v>
      </c>
      <c r="E15" s="323" t="s">
        <v>90</v>
      </c>
      <c r="F15" s="323" t="s">
        <v>91</v>
      </c>
      <c r="G15" s="323" t="s">
        <v>529</v>
      </c>
      <c r="H15" s="323" t="s">
        <v>530</v>
      </c>
      <c r="I15" s="323"/>
      <c r="J15" s="323"/>
    </row>
    <row r="16" customFormat="false" ht="15.75" hidden="false" customHeight="true" outlineLevel="0" collapsed="false">
      <c r="A16" s="324" t="s">
        <v>277</v>
      </c>
      <c r="B16" s="325" t="n">
        <v>297392</v>
      </c>
      <c r="C16" s="325" t="n">
        <v>316199</v>
      </c>
      <c r="D16" s="325" t="n">
        <v>298085</v>
      </c>
      <c r="E16" s="325" t="n">
        <v>294866</v>
      </c>
      <c r="F16" s="325" t="n">
        <v>307003</v>
      </c>
      <c r="G16" s="326" t="str">
        <f aca="false" t="array" ref="G16">IF(SUMPRODUCT(ABS(B16:F16-IS!B8:F8))&lt;1,"✓","✗ "&amp;TEXT(SUMPRODUCT(ABS(B16:F16-IS!B8:F8)),"#,##0.0"))</f>
        <v>✓</v>
      </c>
      <c r="H16" s="327" t="s">
        <v>531</v>
      </c>
      <c r="I16" s="327"/>
      <c r="J16" s="327"/>
    </row>
    <row r="17" customFormat="false" ht="15.75" hidden="false" customHeight="true" outlineLevel="0" collapsed="false">
      <c r="A17" s="328" t="s">
        <v>532</v>
      </c>
      <c r="B17" s="329" t="n">
        <v>68425</v>
      </c>
      <c r="C17" s="329" t="n">
        <v>78129</v>
      </c>
      <c r="D17" s="329" t="n">
        <v>85200</v>
      </c>
      <c r="E17" s="329" t="n">
        <v>96169</v>
      </c>
      <c r="F17" s="329" t="n">
        <v>109158</v>
      </c>
      <c r="G17" s="330" t="str">
        <f aca="false" t="array" ref="G17">IF(SUMPRODUCT(ABS(B17:F17-IS!B13:F13))&lt;1,"✓","✗ "&amp;TEXT(SUMPRODUCT(ABS(B17:F17-IS!B13:F13)),"#,##0.0"))</f>
        <v>✓</v>
      </c>
      <c r="H17" s="331" t="s">
        <v>531</v>
      </c>
      <c r="I17" s="331"/>
      <c r="J17" s="331"/>
    </row>
    <row r="18" customFormat="false" ht="15.75" hidden="false" customHeight="true" outlineLevel="0" collapsed="false">
      <c r="A18" s="324" t="s">
        <v>533</v>
      </c>
      <c r="B18" s="325" t="n">
        <v>365817</v>
      </c>
      <c r="C18" s="325" t="n">
        <v>394328</v>
      </c>
      <c r="D18" s="325" t="n">
        <v>383285</v>
      </c>
      <c r="E18" s="325" t="n">
        <v>391035</v>
      </c>
      <c r="F18" s="325" t="n">
        <v>416161</v>
      </c>
      <c r="G18" s="326" t="str">
        <f aca="false" t="array" ref="G18">IF(SUMPRODUCT(ABS(B18:F18-IS!B14:F14))&lt;1,"✓","✗ "&amp;TEXT(SUMPRODUCT(ABS(B18:F18-IS!B14:F14)),"#,##0.0"))</f>
        <v>✓</v>
      </c>
      <c r="H18" s="327" t="s">
        <v>534</v>
      </c>
      <c r="I18" s="327"/>
      <c r="J18" s="327"/>
    </row>
    <row r="19" customFormat="false" ht="15.75" hidden="false" customHeight="true" outlineLevel="0" collapsed="false">
      <c r="A19" s="328" t="s">
        <v>284</v>
      </c>
      <c r="B19" s="329" t="n">
        <v>192266</v>
      </c>
      <c r="C19" s="329" t="n">
        <v>201471</v>
      </c>
      <c r="D19" s="329" t="n">
        <v>189282</v>
      </c>
      <c r="E19" s="329" t="n">
        <v>185233</v>
      </c>
      <c r="F19" s="329" t="n">
        <v>194116</v>
      </c>
      <c r="G19" s="330" t="str">
        <f aca="false" t="array" ref="G19">IF(SUMPRODUCT(ABS(B19:F19-IS!B19:F19))&lt;1,"✓","✗ "&amp;TEXT(SUMPRODUCT(ABS(B19:F19-IS!B19:F19)),"#,##0.0"))</f>
        <v>✓</v>
      </c>
      <c r="H19" s="331" t="s">
        <v>531</v>
      </c>
      <c r="I19" s="331"/>
      <c r="J19" s="331"/>
    </row>
    <row r="20" customFormat="false" ht="15.75" hidden="false" customHeight="true" outlineLevel="0" collapsed="false">
      <c r="A20" s="324" t="s">
        <v>285</v>
      </c>
      <c r="B20" s="325" t="n">
        <v>20715</v>
      </c>
      <c r="C20" s="325" t="n">
        <v>22075</v>
      </c>
      <c r="D20" s="325" t="n">
        <v>24855</v>
      </c>
      <c r="E20" s="325" t="n">
        <v>25119</v>
      </c>
      <c r="F20" s="325" t="n">
        <v>26844</v>
      </c>
      <c r="G20" s="326" t="str">
        <f aca="false" t="array" ref="G20">IF(SUMPRODUCT(ABS(B20:F20-IS!B20:F20))&lt;1,"✓","✗ "&amp;TEXT(SUMPRODUCT(ABS(B20:F20-IS!B20:F20)),"#,##0.0"))</f>
        <v>✓</v>
      </c>
      <c r="H20" s="327" t="s">
        <v>531</v>
      </c>
      <c r="I20" s="327"/>
      <c r="J20" s="327"/>
    </row>
    <row r="21" customFormat="false" ht="15.75" hidden="false" customHeight="true" outlineLevel="0" collapsed="false">
      <c r="A21" s="328" t="s">
        <v>286</v>
      </c>
      <c r="B21" s="329" t="n">
        <v>212981</v>
      </c>
      <c r="C21" s="329" t="n">
        <v>223546</v>
      </c>
      <c r="D21" s="329" t="n">
        <v>214137</v>
      </c>
      <c r="E21" s="329" t="n">
        <v>210352</v>
      </c>
      <c r="F21" s="329" t="n">
        <v>220960</v>
      </c>
      <c r="G21" s="330" t="str">
        <f aca="false" t="array" ref="G21">IF(SUMPRODUCT(ABS(B21:F21-IS!B21:F21))&lt;1,"✓","✗ "&amp;TEXT(SUMPRODUCT(ABS(B21:F21-IS!B21:F21)),"#,##0.0"))</f>
        <v>✓</v>
      </c>
      <c r="H21" s="331" t="s">
        <v>534</v>
      </c>
      <c r="I21" s="331"/>
      <c r="J21" s="331"/>
    </row>
    <row r="22" customFormat="false" ht="15.75" hidden="false" customHeight="true" outlineLevel="0" collapsed="false">
      <c r="A22" s="324" t="s">
        <v>535</v>
      </c>
      <c r="B22" s="325" t="n">
        <v>152836</v>
      </c>
      <c r="C22" s="325" t="n">
        <v>170782</v>
      </c>
      <c r="D22" s="325" t="n">
        <v>169148</v>
      </c>
      <c r="E22" s="325" t="n">
        <v>180683</v>
      </c>
      <c r="F22" s="325" t="n">
        <v>195201</v>
      </c>
      <c r="G22" s="326" t="str">
        <f aca="false" t="array" ref="G22">IF(SUMPRODUCT(ABS(B22:F22-IS!B22:F22))&lt;1,"✓","✗ "&amp;TEXT(SUMPRODUCT(ABS(B22:F22-IS!B22:F22)),"#,##0.0"))</f>
        <v>✓</v>
      </c>
      <c r="H22" s="327" t="s">
        <v>534</v>
      </c>
      <c r="I22" s="327"/>
      <c r="J22" s="327"/>
    </row>
    <row r="23" customFormat="false" ht="15.75" hidden="false" customHeight="true" outlineLevel="0" collapsed="false">
      <c r="A23" s="328" t="s">
        <v>536</v>
      </c>
      <c r="B23" s="329" t="n">
        <v>21914</v>
      </c>
      <c r="C23" s="329" t="n">
        <v>26251</v>
      </c>
      <c r="D23" s="329" t="n">
        <v>29915</v>
      </c>
      <c r="E23" s="329" t="n">
        <v>31370</v>
      </c>
      <c r="F23" s="329" t="n">
        <v>34550</v>
      </c>
      <c r="G23" s="330" t="str">
        <f aca="false" t="array" ref="G23">IF(SUMPRODUCT(ABS(B23:F23-IS!B26:F26))&lt;1,"✓","✗ "&amp;TEXT(SUMPRODUCT(ABS(B23:F23-IS!B26:F26)),"#,##0.0"))</f>
        <v>✓</v>
      </c>
      <c r="H23" s="331" t="s">
        <v>531</v>
      </c>
      <c r="I23" s="331"/>
      <c r="J23" s="331"/>
    </row>
    <row r="24" customFormat="false" ht="15.75" hidden="false" customHeight="true" outlineLevel="0" collapsed="false">
      <c r="A24" s="324" t="s">
        <v>537</v>
      </c>
      <c r="B24" s="325" t="n">
        <v>21973</v>
      </c>
      <c r="C24" s="325" t="n">
        <v>25094</v>
      </c>
      <c r="D24" s="325" t="n">
        <v>24932</v>
      </c>
      <c r="E24" s="325" t="n">
        <v>26097</v>
      </c>
      <c r="F24" s="325" t="n">
        <v>27601</v>
      </c>
      <c r="G24" s="326" t="str">
        <f aca="false" t="array" ref="G24">IF(SUMPRODUCT(ABS(B24:F24-IS!B27:F27))&lt;1,"✓","✗ "&amp;TEXT(SUMPRODUCT(ABS(B24:F24-IS!B27:F27)),"#,##0.0"))</f>
        <v>✓</v>
      </c>
      <c r="H24" s="327" t="s">
        <v>531</v>
      </c>
      <c r="I24" s="327"/>
      <c r="J24" s="327"/>
    </row>
    <row r="25" customFormat="false" ht="15.75" hidden="false" customHeight="true" outlineLevel="0" collapsed="false">
      <c r="A25" s="328" t="s">
        <v>292</v>
      </c>
      <c r="B25" s="329" t="n">
        <v>43887</v>
      </c>
      <c r="C25" s="329" t="n">
        <v>51345</v>
      </c>
      <c r="D25" s="329" t="n">
        <v>54847</v>
      </c>
      <c r="E25" s="329" t="n">
        <v>57467</v>
      </c>
      <c r="F25" s="329" t="n">
        <v>62151</v>
      </c>
      <c r="G25" s="330" t="str">
        <f aca="false" t="array" ref="G25">IF(SUMPRODUCT(ABS(B25:F25-IS!B28:F28))&lt;1,"✓","✗ "&amp;TEXT(SUMPRODUCT(ABS(B25:F25-IS!B28:F28)),"#,##0.0"))</f>
        <v>✓</v>
      </c>
      <c r="H25" s="331" t="s">
        <v>534</v>
      </c>
      <c r="I25" s="331"/>
      <c r="J25" s="331"/>
    </row>
    <row r="26" customFormat="false" ht="15.75" hidden="false" customHeight="true" outlineLevel="0" collapsed="false">
      <c r="A26" s="324" t="s">
        <v>538</v>
      </c>
      <c r="B26" s="325" t="n">
        <v>108949</v>
      </c>
      <c r="C26" s="325" t="n">
        <v>119437</v>
      </c>
      <c r="D26" s="325" t="n">
        <v>114301</v>
      </c>
      <c r="E26" s="325" t="n">
        <v>123216</v>
      </c>
      <c r="F26" s="325" t="n">
        <v>133050</v>
      </c>
      <c r="G26" s="326" t="str">
        <f aca="false" t="array" ref="G26">IF(SUMPRODUCT(ABS(B26:F26-IS!B29:F29))&lt;1,"✓","✗ "&amp;TEXT(SUMPRODUCT(ABS(B26:F26-IS!B29:F29)),"#,##0.0"))</f>
        <v>✓</v>
      </c>
      <c r="H26" s="327" t="s">
        <v>531</v>
      </c>
      <c r="I26" s="327"/>
      <c r="J26" s="327"/>
    </row>
    <row r="27" customFormat="false" ht="15.75" hidden="false" customHeight="true" outlineLevel="0" collapsed="false">
      <c r="A27" s="328" t="s">
        <v>539</v>
      </c>
      <c r="B27" s="329" t="n">
        <v>258</v>
      </c>
      <c r="C27" s="329" t="n">
        <v>-334</v>
      </c>
      <c r="D27" s="329" t="n">
        <v>-565</v>
      </c>
      <c r="E27" s="329" t="n">
        <v>269</v>
      </c>
      <c r="F27" s="329" t="n">
        <v>-321</v>
      </c>
      <c r="G27" s="330" t="str">
        <f aca="false" t="array" ref="G27">IF(SUMPRODUCT(ABS(B27:F27-IS!B35:F35))&lt;1,"✓","✗ "&amp;TEXT(SUMPRODUCT(ABS(B27:F27-IS!B35:F35)),"#,##0.0"))</f>
        <v>✓</v>
      </c>
      <c r="H27" s="331" t="s">
        <v>531</v>
      </c>
      <c r="I27" s="331"/>
      <c r="J27" s="331"/>
    </row>
    <row r="28" customFormat="false" ht="15.75" hidden="false" customHeight="true" outlineLevel="0" collapsed="false">
      <c r="A28" s="324" t="s">
        <v>540</v>
      </c>
      <c r="B28" s="325" t="n">
        <v>109207</v>
      </c>
      <c r="C28" s="325" t="n">
        <v>119103</v>
      </c>
      <c r="D28" s="325" t="n">
        <v>113736</v>
      </c>
      <c r="E28" s="325" t="n">
        <v>123485</v>
      </c>
      <c r="F28" s="325" t="n">
        <v>132729</v>
      </c>
      <c r="G28" s="326" t="str">
        <f aca="false" t="array" ref="G28">IF(SUMPRODUCT(ABS(B28:F28-IS!B36:F36))&lt;1,"✓","✗ "&amp;TEXT(SUMPRODUCT(ABS(B28:F28-IS!B36:F36)),"#,##0.0"))</f>
        <v>✓</v>
      </c>
      <c r="H28" s="327" t="s">
        <v>534</v>
      </c>
      <c r="I28" s="327"/>
      <c r="J28" s="327"/>
    </row>
    <row r="29" customFormat="false" ht="15.75" hidden="false" customHeight="true" outlineLevel="0" collapsed="false">
      <c r="A29" s="328" t="s">
        <v>301</v>
      </c>
      <c r="B29" s="329" t="n">
        <v>14527</v>
      </c>
      <c r="C29" s="329" t="n">
        <v>19300</v>
      </c>
      <c r="D29" s="329" t="n">
        <v>16741</v>
      </c>
      <c r="E29" s="329" t="n">
        <v>29749</v>
      </c>
      <c r="F29" s="329" t="n">
        <v>20719</v>
      </c>
      <c r="G29" s="330" t="str">
        <f aca="false" t="array" ref="G29">IF(SUMPRODUCT(ABS(B29:F29-IS!B37:F37))&lt;1,"✓","✗ "&amp;TEXT(SUMPRODUCT(ABS(B29:F29-IS!B37:F37)),"#,##0.0"))</f>
        <v>✓</v>
      </c>
      <c r="H29" s="331" t="s">
        <v>531</v>
      </c>
      <c r="I29" s="331"/>
      <c r="J29" s="331"/>
    </row>
    <row r="30" customFormat="false" ht="15.75" hidden="false" customHeight="true" outlineLevel="0" collapsed="false">
      <c r="A30" s="324" t="s">
        <v>541</v>
      </c>
      <c r="B30" s="325" t="n">
        <v>94680</v>
      </c>
      <c r="C30" s="325" t="n">
        <v>99803</v>
      </c>
      <c r="D30" s="325" t="n">
        <v>96995</v>
      </c>
      <c r="E30" s="325" t="n">
        <v>93736</v>
      </c>
      <c r="F30" s="325" t="n">
        <v>112010</v>
      </c>
      <c r="G30" s="326" t="str">
        <f aca="false" t="array" ref="G30">IF(SUMPRODUCT(ABS(B30:F30-IS!B39:F39))&lt;1,"✓","✗ "&amp;TEXT(SUMPRODUCT(ABS(B30:F30-IS!B39:F39)),"#,##0.0"))</f>
        <v>✓</v>
      </c>
      <c r="H30" s="327" t="s">
        <v>531</v>
      </c>
      <c r="I30" s="327"/>
      <c r="J30" s="327"/>
    </row>
    <row r="31" customFormat="false" ht="15.75" hidden="false" customHeight="true" outlineLevel="0" collapsed="false">
      <c r="A31" s="328" t="s">
        <v>104</v>
      </c>
      <c r="B31" s="332" t="n">
        <v>5.61</v>
      </c>
      <c r="C31" s="332" t="n">
        <v>6.11</v>
      </c>
      <c r="D31" s="332" t="n">
        <v>6.13</v>
      </c>
      <c r="E31" s="332" t="n">
        <v>6.08</v>
      </c>
      <c r="F31" s="332" t="n">
        <v>7.46</v>
      </c>
      <c r="G31" s="330" t="str">
        <f aca="false" t="array" ref="G31">IF(SUMPRODUCT(ABS(B31:F31-IS!B44:F44))&lt;0.05,"✓","✗ "&amp;TEXT(SUMPRODUCT(ABS(B31:F31-IS!B44:F44)),"#,##0.0"))</f>
        <v>✓</v>
      </c>
      <c r="H31" s="331" t="s">
        <v>531</v>
      </c>
      <c r="I31" s="331"/>
      <c r="J31" s="331"/>
    </row>
    <row r="34" customFormat="false" ht="21.75" hidden="false" customHeight="true" outlineLevel="0" collapsed="false">
      <c r="A34" s="312" t="s">
        <v>542</v>
      </c>
      <c r="B34" s="312"/>
      <c r="C34" s="312"/>
      <c r="D34" s="312"/>
      <c r="E34" s="312"/>
      <c r="F34" s="312"/>
      <c r="G34" s="312"/>
      <c r="H34" s="312"/>
      <c r="I34" s="312"/>
      <c r="J34" s="312"/>
    </row>
    <row r="35" customFormat="false" ht="24" hidden="false" customHeight="true" outlineLevel="0" collapsed="false">
      <c r="A35" s="322" t="s">
        <v>528</v>
      </c>
      <c r="B35" s="323" t="s">
        <v>113</v>
      </c>
      <c r="C35" s="323" t="s">
        <v>114</v>
      </c>
      <c r="D35" s="323" t="s">
        <v>89</v>
      </c>
      <c r="E35" s="323" t="s">
        <v>90</v>
      </c>
      <c r="F35" s="323" t="s">
        <v>91</v>
      </c>
      <c r="G35" s="323" t="s">
        <v>529</v>
      </c>
      <c r="H35" s="323" t="s">
        <v>530</v>
      </c>
      <c r="I35" s="323"/>
      <c r="J35" s="323"/>
    </row>
    <row r="36" customFormat="false" ht="15.75" hidden="false" customHeight="true" outlineLevel="0" collapsed="false">
      <c r="A36" s="324" t="s">
        <v>543</v>
      </c>
      <c r="B36" s="325" t="n">
        <v>34940</v>
      </c>
      <c r="C36" s="325" t="n">
        <v>23646</v>
      </c>
      <c r="D36" s="325" t="n">
        <v>29965</v>
      </c>
      <c r="E36" s="325" t="n">
        <v>29943</v>
      </c>
      <c r="F36" s="325" t="n">
        <v>35934</v>
      </c>
      <c r="G36" s="326" t="str">
        <f aca="false">IF((ABS(B36-(BS!C5))+ABS(C36-(BS!D5))+ABS(D36-(BS!E5))+ABS(E36-(BS!F5))+ABS(F36-(BS!G5)))&lt;5,"✓","✗ "&amp;TEXT(ABS(B36-(BS!C5))+ABS(C36-(BS!D5))+ABS(D36-(BS!E5))+ABS(E36-(BS!F5))+ABS(F36-(BS!G5)),"#,##0"))</f>
        <v>✓</v>
      </c>
      <c r="H36" s="327" t="s">
        <v>544</v>
      </c>
      <c r="I36" s="327"/>
      <c r="J36" s="327"/>
    </row>
    <row r="37" customFormat="false" ht="15.75" hidden="false" customHeight="true" outlineLevel="0" collapsed="false">
      <c r="A37" s="328" t="s">
        <v>545</v>
      </c>
      <c r="B37" s="329" t="n">
        <v>27699</v>
      </c>
      <c r="C37" s="329" t="n">
        <v>24658</v>
      </c>
      <c r="D37" s="329" t="n">
        <v>31590</v>
      </c>
      <c r="E37" s="329" t="n">
        <v>35228</v>
      </c>
      <c r="F37" s="329" t="n">
        <v>18763</v>
      </c>
      <c r="G37" s="330" t="str">
        <f aca="false">IF((ABS(B37-(BS!C6))+ABS(C37-(BS!D6))+ABS(D37-(BS!E6))+ABS(E37-(BS!F6))+ABS(F37-(BS!G6)))&lt;5,"✓","✗ "&amp;TEXT(ABS(B37-(BS!C6))+ABS(C37-(BS!D6))+ABS(D37-(BS!E6))+ABS(E37-(BS!F6))+ABS(F37-(BS!G6)),"#,##0"))</f>
        <v>✓</v>
      </c>
      <c r="H37" s="331" t="s">
        <v>544</v>
      </c>
      <c r="I37" s="331"/>
      <c r="J37" s="331"/>
    </row>
    <row r="38" customFormat="false" ht="15.75" hidden="false" customHeight="true" outlineLevel="0" collapsed="false">
      <c r="A38" s="324" t="s">
        <v>546</v>
      </c>
      <c r="B38" s="325" t="n">
        <v>127877</v>
      </c>
      <c r="C38" s="325" t="n">
        <v>120805</v>
      </c>
      <c r="D38" s="325" t="n">
        <v>100544</v>
      </c>
      <c r="E38" s="325" t="n">
        <v>91479</v>
      </c>
      <c r="F38" s="325" t="n">
        <v>77723</v>
      </c>
      <c r="G38" s="326" t="str">
        <f aca="false">IF((ABS(B38-(BS!C15))+ABS(C38-(BS!D15))+ABS(D38-(BS!E15))+ABS(E38-(BS!F15))+ABS(F38-(BS!G15)))&lt;5,"✓","✗ "&amp;TEXT(ABS(B38-(BS!C15))+ABS(C38-(BS!D15))+ABS(D38-(BS!E15))+ABS(E38-(BS!F15))+ABS(F38-(BS!G15)),"#,##0"))</f>
        <v>✓</v>
      </c>
      <c r="H38" s="327" t="s">
        <v>544</v>
      </c>
      <c r="I38" s="327"/>
      <c r="J38" s="327"/>
    </row>
    <row r="39" customFormat="false" ht="15.75" hidden="false" customHeight="true" outlineLevel="0" collapsed="false">
      <c r="A39" s="328" t="s">
        <v>332</v>
      </c>
      <c r="B39" s="329" t="n">
        <v>26278</v>
      </c>
      <c r="C39" s="329" t="n">
        <v>28184</v>
      </c>
      <c r="D39" s="329" t="n">
        <v>29508</v>
      </c>
      <c r="E39" s="329" t="n">
        <v>33410</v>
      </c>
      <c r="F39" s="329" t="n">
        <v>39777</v>
      </c>
      <c r="G39" s="330" t="str">
        <f aca="false">IF((ABS(B39-(BS!C7))+ABS(C39-(BS!D7))+ABS(D39-(BS!E7))+ABS(E39-(BS!F7))+ABS(F39-(BS!G7)))&lt;5,"✓","✗ "&amp;TEXT(ABS(B39-(BS!C7))+ABS(C39-(BS!D7))+ABS(D39-(BS!E7))+ABS(E39-(BS!F7))+ABS(F39-(BS!G7)),"#,##0"))</f>
        <v>✓</v>
      </c>
      <c r="H39" s="331" t="s">
        <v>544</v>
      </c>
      <c r="I39" s="331"/>
      <c r="J39" s="331"/>
    </row>
    <row r="40" customFormat="false" ht="15.75" hidden="false" customHeight="true" outlineLevel="0" collapsed="false">
      <c r="A40" s="324" t="s">
        <v>333</v>
      </c>
      <c r="B40" s="325" t="n">
        <v>6580</v>
      </c>
      <c r="C40" s="325" t="n">
        <v>4946</v>
      </c>
      <c r="D40" s="325" t="n">
        <v>6331</v>
      </c>
      <c r="E40" s="325" t="n">
        <v>7286</v>
      </c>
      <c r="F40" s="325" t="n">
        <v>5718</v>
      </c>
      <c r="G40" s="326" t="str">
        <f aca="false">IF((ABS(B40-(BS!C8))+ABS(C40-(BS!D8))+ABS(D40-(BS!E8))+ABS(E40-(BS!F8))+ABS(F40-(BS!G8)))&lt;5,"✓","✗ "&amp;TEXT(ABS(B40-(BS!C8))+ABS(C40-(BS!D8))+ABS(D40-(BS!E8))+ABS(E40-(BS!F8))+ABS(F40-(BS!G8)),"#,##0"))</f>
        <v>✓</v>
      </c>
      <c r="H40" s="327" t="s">
        <v>544</v>
      </c>
      <c r="I40" s="327"/>
      <c r="J40" s="327"/>
    </row>
    <row r="41" customFormat="false" ht="15.75" hidden="false" customHeight="true" outlineLevel="0" collapsed="false">
      <c r="A41" s="333" t="s">
        <v>334</v>
      </c>
      <c r="B41" s="334" t="n">
        <v>25228</v>
      </c>
      <c r="C41" s="334" t="n">
        <v>32748</v>
      </c>
      <c r="D41" s="334" t="n">
        <v>31477</v>
      </c>
      <c r="E41" s="334" t="n">
        <v>32833</v>
      </c>
      <c r="F41" s="334" t="n">
        <v>33180</v>
      </c>
      <c r="G41" s="330" t="str">
        <f aca="false">IF((ABS(B41-(BS!C9))+ABS(C41-(BS!D9))+ABS(D41-(BS!E9))+ABS(E41-(BS!F9))+ABS(F41-(BS!G9)))&lt;5,"✓","✗ "&amp;TEXT(ABS(B41-(BS!C9))+ABS(C41-(BS!D9))+ABS(D41-(BS!E9))+ABS(E41-(BS!F9))+ABS(F41-(BS!G9)),"#,##0"))</f>
        <v>✓</v>
      </c>
      <c r="H41" s="331" t="s">
        <v>544</v>
      </c>
      <c r="I41" s="331"/>
      <c r="J41" s="331"/>
    </row>
    <row r="42" customFormat="false" ht="15.75" hidden="false" customHeight="true" outlineLevel="0" collapsed="false">
      <c r="A42" s="333" t="s">
        <v>335</v>
      </c>
      <c r="B42" s="334" t="n">
        <v>14111</v>
      </c>
      <c r="C42" s="334" t="n">
        <v>21223</v>
      </c>
      <c r="D42" s="334" t="n">
        <v>14695</v>
      </c>
      <c r="E42" s="334" t="n">
        <v>14287</v>
      </c>
      <c r="F42" s="334" t="n">
        <v>14585</v>
      </c>
      <c r="G42" s="330" t="str">
        <f aca="false">IF((ABS(B42-(BS!C10))+ABS(C42-(BS!D10))+ABS(D42-(BS!E10))+ABS(E42-(BS!F10))+ABS(F42-(BS!G10)))&lt;5,"✓","✗ "&amp;TEXT(ABS(B42-(BS!C10))+ABS(C42-(BS!D10))+ABS(D42-(BS!E10))+ABS(E42-(BS!F10))+ABS(F42-(BS!G10)),"#,##0"))</f>
        <v>✓</v>
      </c>
      <c r="H42" s="335" t="s">
        <v>544</v>
      </c>
      <c r="I42" s="335"/>
      <c r="J42" s="335"/>
    </row>
    <row r="43" customFormat="false" ht="15.75" hidden="false" customHeight="true" outlineLevel="0" collapsed="false">
      <c r="A43" s="336" t="s">
        <v>547</v>
      </c>
      <c r="B43" s="337" t="n">
        <v>134836</v>
      </c>
      <c r="C43" s="337" t="n">
        <v>135405</v>
      </c>
      <c r="D43" s="337" t="n">
        <v>143566</v>
      </c>
      <c r="E43" s="337" t="n">
        <v>152987</v>
      </c>
      <c r="F43" s="337" t="n">
        <v>147957</v>
      </c>
      <c r="G43" s="326" t="str">
        <f aca="false">IF((ABS(B43-(BS!C11))+ABS(C43-(BS!D11))+ABS(D43-(BS!E11))+ABS(E43-(BS!F11))+ABS(F43-(BS!G11)))&lt;5,"✓","✗ "&amp;TEXT(ABS(B43-(BS!C11))+ABS(C43-(BS!D11))+ABS(D43-(BS!E11))+ABS(E43-(BS!F11))+ABS(F43-(BS!G11)),"#,##0"))</f>
        <v>✓</v>
      </c>
      <c r="H43" s="327" t="s">
        <v>534</v>
      </c>
      <c r="I43" s="327"/>
      <c r="J43" s="327"/>
    </row>
    <row r="44" customFormat="false" ht="15.75" hidden="false" customHeight="true" outlineLevel="0" collapsed="false">
      <c r="A44" s="328" t="s">
        <v>338</v>
      </c>
      <c r="B44" s="329" t="n">
        <v>39440</v>
      </c>
      <c r="C44" s="329" t="n">
        <v>42117</v>
      </c>
      <c r="D44" s="329" t="n">
        <v>43715</v>
      </c>
      <c r="E44" s="329" t="n">
        <v>45680</v>
      </c>
      <c r="F44" s="329" t="n">
        <v>49834</v>
      </c>
      <c r="G44" s="330" t="str">
        <f aca="false">IF((ABS(B44-(BS!C14))+ABS(C44-(BS!D14))+ABS(D44-(BS!E14))+ABS(E44-(BS!F14))+ABS(F44-(BS!G14)))&lt;5,"✓","✗ "&amp;TEXT(ABS(B44-(BS!C14))+ABS(C44-(BS!D14))+ABS(D44-(BS!E14))+ABS(E44-(BS!F14))+ABS(F44-(BS!G14)),"#,##0"))</f>
        <v>✓</v>
      </c>
      <c r="H44" s="331" t="s">
        <v>544</v>
      </c>
      <c r="I44" s="331"/>
      <c r="J44" s="331"/>
    </row>
    <row r="45" customFormat="false" ht="15.75" hidden="false" customHeight="true" outlineLevel="0" collapsed="false">
      <c r="A45" s="324" t="s">
        <v>340</v>
      </c>
      <c r="B45" s="325" t="n">
        <v>48849</v>
      </c>
      <c r="C45" s="325" t="n">
        <v>54428</v>
      </c>
      <c r="D45" s="325" t="n">
        <v>64758</v>
      </c>
      <c r="E45" s="325" t="n">
        <v>74834</v>
      </c>
      <c r="F45" s="325" t="n">
        <v>83727</v>
      </c>
      <c r="G45" s="326" t="str">
        <f aca="false">IF((ABS(B45-(BS!C16))+ABS(C45-(BS!D16))+ABS(D45-(BS!E16))+ABS(E45-(BS!F16))+ABS(F45-(BS!G16)))&lt;5,"✓","✗ "&amp;TEXT(ABS(B45-(BS!C16))+ABS(C45-(BS!D16))+ABS(D45-(BS!E16))+ABS(E45-(BS!F16))+ABS(F45-(BS!G16)),"#,##0"))</f>
        <v>✓</v>
      </c>
      <c r="H45" s="327" t="s">
        <v>544</v>
      </c>
      <c r="I45" s="327"/>
      <c r="J45" s="327"/>
    </row>
    <row r="46" customFormat="false" ht="15.75" hidden="false" customHeight="true" outlineLevel="0" collapsed="false">
      <c r="A46" s="338" t="s">
        <v>548</v>
      </c>
      <c r="B46" s="339" t="n">
        <v>351002</v>
      </c>
      <c r="C46" s="339" t="n">
        <v>352755</v>
      </c>
      <c r="D46" s="339" t="n">
        <v>352583</v>
      </c>
      <c r="E46" s="339" t="n">
        <v>364980</v>
      </c>
      <c r="F46" s="339" t="n">
        <v>359241</v>
      </c>
      <c r="G46" s="330" t="str">
        <f aca="false">IF((ABS(B46-(BS!C18))+ABS(C46-(BS!D18))+ABS(D46-(BS!E18))+ABS(E46-(BS!F18))+ABS(F46-(BS!G18)))&lt;5,"✓","✗ "&amp;TEXT(ABS(B46-(BS!C18))+ABS(C46-(BS!D18))+ABS(D46-(BS!E18))+ABS(E46-(BS!F18))+ABS(F46-(BS!G18)),"#,##0"))</f>
        <v>✓</v>
      </c>
      <c r="H46" s="331" t="s">
        <v>544</v>
      </c>
      <c r="I46" s="331"/>
      <c r="J46" s="331"/>
    </row>
    <row r="47" customFormat="false" ht="15.75" hidden="false" customHeight="true" outlineLevel="0" collapsed="false">
      <c r="A47" s="340" t="s">
        <v>344</v>
      </c>
      <c r="B47" s="341" t="n">
        <v>54763</v>
      </c>
      <c r="C47" s="341" t="n">
        <v>64115</v>
      </c>
      <c r="D47" s="341" t="n">
        <v>62611</v>
      </c>
      <c r="E47" s="341" t="n">
        <v>68960</v>
      </c>
      <c r="F47" s="341" t="n">
        <v>69860</v>
      </c>
      <c r="G47" s="326" t="str">
        <f aca="false">IF((ABS(B47-(BS!C21))+ABS(C47-(BS!D21))+ABS(D47-(BS!E21))+ABS(E47-(BS!F21))+ABS(F47-(BS!G21)))&lt;5,"✓","✗ "&amp;TEXT(ABS(B47-(BS!C21))+ABS(C47-(BS!D21))+ABS(D47-(BS!E21))+ABS(E47-(BS!F21))+ABS(F47-(BS!G21)),"#,##0"))</f>
        <v>✓</v>
      </c>
      <c r="H47" s="327" t="s">
        <v>544</v>
      </c>
      <c r="I47" s="327"/>
      <c r="J47" s="327"/>
    </row>
    <row r="48" customFormat="false" ht="15.75" hidden="false" customHeight="true" outlineLevel="0" collapsed="false">
      <c r="A48" s="333" t="s">
        <v>345</v>
      </c>
      <c r="B48" s="334" t="n">
        <v>47493</v>
      </c>
      <c r="C48" s="334" t="n">
        <v>60845</v>
      </c>
      <c r="D48" s="334" t="n">
        <v>58829</v>
      </c>
      <c r="E48" s="334" t="n">
        <v>78304</v>
      </c>
      <c r="F48" s="334" t="n">
        <v>66387</v>
      </c>
      <c r="G48" s="330" t="str">
        <f aca="false">IF((ABS(B48-(BS!C22))+ABS(C48-(BS!D22))+ABS(D48-(BS!E22))+ABS(E48-(BS!F22))+ABS(F48-(BS!G22)))&lt;5,"✓","✗ "&amp;TEXT(ABS(B48-(BS!C22))+ABS(C48-(BS!D22))+ABS(D48-(BS!E22))+ABS(E48-(BS!F22))+ABS(F48-(BS!G22)),"#,##0"))</f>
        <v>✓</v>
      </c>
      <c r="H48" s="331" t="s">
        <v>544</v>
      </c>
      <c r="I48" s="331"/>
      <c r="J48" s="331"/>
    </row>
    <row r="49" customFormat="false" ht="15.75" hidden="false" customHeight="true" outlineLevel="0" collapsed="false">
      <c r="A49" s="333" t="s">
        <v>346</v>
      </c>
      <c r="B49" s="334" t="n">
        <v>7612</v>
      </c>
      <c r="C49" s="334" t="n">
        <v>7912</v>
      </c>
      <c r="D49" s="334" t="n">
        <v>8061</v>
      </c>
      <c r="E49" s="334" t="n">
        <v>8249</v>
      </c>
      <c r="F49" s="334" t="n">
        <v>9055</v>
      </c>
      <c r="G49" s="330" t="str">
        <f aca="false">IF((ABS(B49-(BS!C23))+ABS(C49-(BS!D23))+ABS(D49-(BS!E23))+ABS(E49-(BS!F23))+ABS(F49-(BS!G23)))&lt;5,"✓","✗ "&amp;TEXT(ABS(B49-(BS!C23))+ABS(C49-(BS!D23))+ABS(D49-(BS!E23))+ABS(E49-(BS!F23))+ABS(F49-(BS!G23)),"#,##0"))</f>
        <v>✓</v>
      </c>
      <c r="H49" s="335" t="s">
        <v>544</v>
      </c>
      <c r="I49" s="335"/>
      <c r="J49" s="335"/>
    </row>
    <row r="50" customFormat="false" ht="15.75" hidden="false" customHeight="true" outlineLevel="0" collapsed="false">
      <c r="A50" s="333" t="s">
        <v>347</v>
      </c>
      <c r="B50" s="334" t="n">
        <v>6000</v>
      </c>
      <c r="C50" s="334" t="n">
        <v>9982</v>
      </c>
      <c r="D50" s="334" t="n">
        <v>5985</v>
      </c>
      <c r="E50" s="334" t="n">
        <v>9967</v>
      </c>
      <c r="F50" s="334" t="n">
        <v>7979</v>
      </c>
      <c r="G50" s="330" t="str">
        <f aca="false">IF((ABS(B50-(BS!C24))+ABS(C50-(BS!D24))+ABS(D50-(BS!E24))+ABS(E50-(BS!F24))+ABS(F50-(BS!G24)))&lt;5,"✓","✗ "&amp;TEXT(ABS(B50-(BS!C24))+ABS(C50-(BS!D24))+ABS(D50-(BS!E24))+ABS(E50-(BS!F24))+ABS(F50-(BS!G24)),"#,##0"))</f>
        <v>✓</v>
      </c>
      <c r="H50" s="335" t="s">
        <v>544</v>
      </c>
      <c r="I50" s="335"/>
      <c r="J50" s="335"/>
    </row>
    <row r="51" customFormat="false" ht="15.75" hidden="false" customHeight="true" outlineLevel="0" collapsed="false">
      <c r="A51" s="328" t="s">
        <v>549</v>
      </c>
      <c r="B51" s="342" t="n">
        <v>9613</v>
      </c>
      <c r="C51" s="342" t="n">
        <v>11128</v>
      </c>
      <c r="D51" s="342" t="n">
        <v>9822</v>
      </c>
      <c r="E51" s="342" t="n">
        <v>10912</v>
      </c>
      <c r="F51" s="342" t="n">
        <v>12350</v>
      </c>
      <c r="G51" s="330" t="str">
        <f aca="false">IF((ABS(B51-(BS!C25))+ABS(C51-(BS!D25))+ABS(D51-(BS!E25))+ABS(E51-(BS!F25))+ABS(F51-(BS!G25)))&lt;5,"✓","✗ "&amp;TEXT(ABS(B51-(BS!C25))+ABS(C51-(BS!D25))+ABS(D51-(BS!E25))+ABS(E51-(BS!F25))+ABS(F51-(BS!G25)),"#,##0"))</f>
        <v>✓</v>
      </c>
      <c r="H51" s="335" t="s">
        <v>550</v>
      </c>
      <c r="I51" s="335"/>
      <c r="J51" s="335"/>
    </row>
    <row r="52" customFormat="false" ht="15.75" hidden="false" customHeight="true" outlineLevel="0" collapsed="false">
      <c r="A52" s="336" t="s">
        <v>551</v>
      </c>
      <c r="B52" s="337" t="n">
        <v>125481</v>
      </c>
      <c r="C52" s="337" t="n">
        <v>153982</v>
      </c>
      <c r="D52" s="337" t="n">
        <v>145308</v>
      </c>
      <c r="E52" s="337" t="n">
        <v>176392</v>
      </c>
      <c r="F52" s="337" t="n">
        <v>165631</v>
      </c>
      <c r="G52" s="326" t="str">
        <f aca="false">IF((ABS(B52-(BS!C26))+ABS(C52-(BS!D26))+ABS(D52-(BS!E26))+ABS(E52-(BS!F26))+ABS(F52-(BS!G26)))&lt;5,"✓","✗ "&amp;TEXT(ABS(B52-(BS!C26))+ABS(C52-(BS!D26))+ABS(D52-(BS!E26))+ABS(E52-(BS!F26))+ABS(F52-(BS!G26)),"#,##0"))</f>
        <v>✓</v>
      </c>
      <c r="H52" s="327" t="s">
        <v>534</v>
      </c>
      <c r="I52" s="327"/>
      <c r="J52" s="327"/>
    </row>
    <row r="53" customFormat="false" ht="15.75" hidden="false" customHeight="true" outlineLevel="0" collapsed="false">
      <c r="A53" s="328" t="s">
        <v>552</v>
      </c>
      <c r="B53" s="329" t="n">
        <v>109106</v>
      </c>
      <c r="C53" s="329" t="n">
        <v>98959</v>
      </c>
      <c r="D53" s="329" t="n">
        <v>95281</v>
      </c>
      <c r="E53" s="329" t="n">
        <v>85750</v>
      </c>
      <c r="F53" s="329" t="n">
        <v>78328</v>
      </c>
      <c r="G53" s="330" t="str">
        <f aca="false">IF((ABS(B53-(BS!C29))+ABS(C53-(BS!D29))+ABS(D53-(BS!E29))+ABS(E53-(BS!F29))+ABS(F53-(BS!G29)))&lt;5,"✓","✗ "&amp;TEXT(ABS(B53-(BS!C29))+ABS(C53-(BS!D29))+ABS(D53-(BS!E29))+ABS(E53-(BS!F29))+ABS(F53-(BS!G29)),"#,##0"))</f>
        <v>✓</v>
      </c>
      <c r="H53" s="331" t="s">
        <v>544</v>
      </c>
      <c r="I53" s="331"/>
      <c r="J53" s="331"/>
    </row>
    <row r="54" customFormat="false" ht="15.75" hidden="false" customHeight="true" outlineLevel="0" collapsed="false">
      <c r="A54" s="324" t="s">
        <v>350</v>
      </c>
      <c r="B54" s="325" t="n">
        <v>53325</v>
      </c>
      <c r="C54" s="325" t="n">
        <v>49142</v>
      </c>
      <c r="D54" s="325" t="n">
        <v>49848</v>
      </c>
      <c r="E54" s="325" t="n">
        <v>45888</v>
      </c>
      <c r="F54" s="325" t="n">
        <v>41549</v>
      </c>
      <c r="G54" s="326" t="str">
        <f aca="false">IF((ABS(B54-(BS!C30))+ABS(C54-(BS!D30))+ABS(D54-(BS!E30))+ABS(E54-(BS!F30))+ABS(F54-(BS!G30)))&lt;5,"✓","✗ "&amp;TEXT(ABS(B54-(BS!C30))+ABS(C54-(BS!D30))+ABS(D54-(BS!E30))+ABS(E54-(BS!F30))+ABS(F54-(BS!G30)),"#,##0"))</f>
        <v>✓</v>
      </c>
      <c r="H54" s="327" t="s">
        <v>544</v>
      </c>
      <c r="I54" s="327"/>
      <c r="J54" s="327"/>
    </row>
    <row r="55" customFormat="false" ht="15.75" hidden="false" customHeight="true" outlineLevel="0" collapsed="false">
      <c r="A55" s="338" t="s">
        <v>553</v>
      </c>
      <c r="B55" s="339" t="n">
        <v>287912</v>
      </c>
      <c r="C55" s="339" t="n">
        <v>302083</v>
      </c>
      <c r="D55" s="339" t="n">
        <v>290437</v>
      </c>
      <c r="E55" s="339" t="n">
        <v>308030</v>
      </c>
      <c r="F55" s="339" t="n">
        <v>285508</v>
      </c>
      <c r="G55" s="330" t="str">
        <f aca="false">IF((ABS(B55-(BS!C32))+ABS(C55-(BS!D32))+ABS(D55-(BS!E32))+ABS(E55-(BS!F32))+ABS(F55-(BS!G32)))&lt;5,"✓","✗ "&amp;TEXT(ABS(B55-(BS!C32))+ABS(C55-(BS!D32))+ABS(D55-(BS!E32))+ABS(E55-(BS!F32))+ABS(F55-(BS!G32)),"#,##0"))</f>
        <v>✓</v>
      </c>
      <c r="H55" s="331" t="s">
        <v>544</v>
      </c>
      <c r="I55" s="331"/>
      <c r="J55" s="331"/>
    </row>
    <row r="56" customFormat="false" ht="15.75" hidden="false" customHeight="true" outlineLevel="0" collapsed="false">
      <c r="A56" s="333" t="s">
        <v>554</v>
      </c>
      <c r="B56" s="334" t="n">
        <v>57365</v>
      </c>
      <c r="C56" s="334" t="n">
        <v>64849</v>
      </c>
      <c r="D56" s="334" t="n">
        <v>73812</v>
      </c>
      <c r="E56" s="334" t="n">
        <v>83276</v>
      </c>
      <c r="F56" s="334" t="n">
        <v>93568</v>
      </c>
      <c r="G56" s="330" t="str">
        <f aca="false">IF((ABS(B56-(BS!C35))+ABS(C56-(BS!D35))+ABS(D56-(BS!E35))+ABS(E56-(BS!F35))+ABS(F56-(BS!G35)))&lt;5,"✓","✗ "&amp;TEXT(ABS(B56-(BS!C35))+ABS(C56-(BS!D35))+ABS(D56-(BS!E35))+ABS(E56-(BS!F35))+ABS(F56-(BS!G35)),"#,##0"))</f>
        <v>✓</v>
      </c>
      <c r="H56" s="335" t="s">
        <v>544</v>
      </c>
      <c r="I56" s="335"/>
      <c r="J56" s="335"/>
    </row>
    <row r="57" customFormat="false" ht="15.75" hidden="false" customHeight="true" outlineLevel="0" collapsed="false">
      <c r="A57" s="333" t="s">
        <v>555</v>
      </c>
      <c r="B57" s="334" t="n">
        <v>5562</v>
      </c>
      <c r="C57" s="334" t="n">
        <v>-3068</v>
      </c>
      <c r="D57" s="334" t="n">
        <v>-214</v>
      </c>
      <c r="E57" s="334" t="n">
        <v>-19154</v>
      </c>
      <c r="F57" s="334" t="n">
        <v>-14264</v>
      </c>
      <c r="G57" s="330" t="str">
        <f aca="false">IF((ABS(B57-(BS!C36))+ABS(C57-(BS!D36))+ABS(D57-(BS!E36))+ABS(E57-(BS!F36))+ABS(F57-(BS!G36)))&lt;5,"✓","✗ "&amp;TEXT(ABS(B57-(BS!C36))+ABS(C57-(BS!D36))+ABS(D57-(BS!E36))+ABS(E57-(BS!F36))+ABS(F57-(BS!G36)),"#,##0"))</f>
        <v>✓</v>
      </c>
      <c r="H57" s="335" t="s">
        <v>544</v>
      </c>
      <c r="I57" s="335"/>
      <c r="J57" s="335"/>
    </row>
    <row r="58" customFormat="false" ht="15.75" hidden="false" customHeight="true" outlineLevel="0" collapsed="false">
      <c r="A58" s="333" t="s">
        <v>556</v>
      </c>
      <c r="B58" s="334" t="n">
        <v>163</v>
      </c>
      <c r="C58" s="334" t="n">
        <v>-11109</v>
      </c>
      <c r="D58" s="334" t="n">
        <v>-11452</v>
      </c>
      <c r="E58" s="334" t="n">
        <v>-7172</v>
      </c>
      <c r="F58" s="334" t="n">
        <v>-5571</v>
      </c>
      <c r="G58" s="330" t="str">
        <f aca="false">IF((ABS(B58-(BS!C37))+ABS(C58-(BS!D37))+ABS(D58-(BS!E37))+ABS(E58-(BS!F37))+ABS(F58-(BS!G37)))&lt;5,"✓","✗ "&amp;TEXT(ABS(B58-(BS!C37))+ABS(C58-(BS!D37))+ABS(D58-(BS!E37))+ABS(E58-(BS!F37))+ABS(F58-(BS!G37)),"#,##0"))</f>
        <v>✓</v>
      </c>
      <c r="H58" s="335" t="s">
        <v>544</v>
      </c>
      <c r="I58" s="335"/>
      <c r="J58" s="335"/>
    </row>
    <row r="59" customFormat="false" ht="15.75" hidden="false" customHeight="true" outlineLevel="0" collapsed="false">
      <c r="A59" s="324" t="s">
        <v>557</v>
      </c>
      <c r="B59" s="325" t="n">
        <v>63090</v>
      </c>
      <c r="C59" s="325" t="n">
        <v>50672</v>
      </c>
      <c r="D59" s="325" t="n">
        <v>62146</v>
      </c>
      <c r="E59" s="325" t="n">
        <v>56950</v>
      </c>
      <c r="F59" s="325" t="n">
        <v>73733</v>
      </c>
      <c r="G59" s="326" t="str">
        <f aca="false">IF((ABS(B59-(BS!C38))+ABS(C59-(BS!D38))+ABS(D59-(BS!E38))+ABS(E59-(BS!F38))+ABS(F59-(BS!G38)))&lt;5,"✓","✗ "&amp;TEXT(ABS(B59-(BS!C38))+ABS(C59-(BS!D38))+ABS(D59-(BS!E38))+ABS(E59-(BS!F38))+ABS(F59-(BS!G38)),"#,##0"))</f>
        <v>✓</v>
      </c>
      <c r="H59" s="327" t="s">
        <v>544</v>
      </c>
      <c r="I59" s="327"/>
      <c r="J59" s="327"/>
    </row>
    <row r="60" customFormat="false" ht="15.75" hidden="false" customHeight="true" outlineLevel="0" collapsed="false">
      <c r="A60" s="338" t="s">
        <v>558</v>
      </c>
      <c r="B60" s="339" t="n">
        <v>351002</v>
      </c>
      <c r="C60" s="339" t="n">
        <v>352755</v>
      </c>
      <c r="D60" s="339" t="n">
        <v>352583</v>
      </c>
      <c r="E60" s="339" t="n">
        <v>364980</v>
      </c>
      <c r="F60" s="339" t="n">
        <v>359241</v>
      </c>
      <c r="G60" s="330" t="str">
        <f aca="false">IF((ABS(B60-(BS!C39))+ABS(C60-(BS!D39))+ABS(D60-(BS!E39))+ABS(E60-(BS!F39))+ABS(F60-(BS!G39)))&lt;5,"✓","✗ "&amp;TEXT(ABS(B60-(BS!C39))+ABS(C60-(BS!D39))+ABS(D60-(BS!E39))+ABS(E60-(BS!F39))+ABS(F60-(BS!G39)),"#,##0"))</f>
        <v>✓</v>
      </c>
      <c r="H60" s="331" t="s">
        <v>559</v>
      </c>
      <c r="I60" s="331"/>
      <c r="J60" s="331"/>
    </row>
    <row r="61" customFormat="false" ht="15.75" hidden="false" customHeight="true" outlineLevel="0" collapsed="false">
      <c r="A61" s="336" t="s">
        <v>560</v>
      </c>
      <c r="B61" s="343" t="n">
        <f aca="false">BS!C18-BS!C39</f>
        <v>0</v>
      </c>
      <c r="C61" s="343" t="n">
        <f aca="false">BS!D18-BS!D39</f>
        <v>0</v>
      </c>
      <c r="D61" s="343" t="n">
        <f aca="false">BS!E18-BS!E39</f>
        <v>0</v>
      </c>
      <c r="E61" s="343" t="n">
        <f aca="false">BS!F18-BS!F39</f>
        <v>0</v>
      </c>
      <c r="F61" s="343" t="n">
        <f aca="false">BS!G18-BS!G39</f>
        <v>0</v>
      </c>
      <c r="G61" s="326" t="str">
        <f aca="false">IF(ABS(BS!C18-BS!C39)+ABS(BS!D18-BS!D39)+ABS(BS!E18-BS!E39)+ABS(BS!F18-BS!F39)+ABS(BS!G18-BS!G39)&lt;5,"✓","✗ BS imbalances detected")</f>
        <v>✓</v>
      </c>
      <c r="H61" s="327" t="s">
        <v>561</v>
      </c>
      <c r="I61" s="327"/>
      <c r="J61" s="327"/>
    </row>
    <row r="64" customFormat="false" ht="21.75" hidden="false" customHeight="true" outlineLevel="0" collapsed="false">
      <c r="A64" s="312" t="s">
        <v>562</v>
      </c>
      <c r="B64" s="312"/>
      <c r="C64" s="312"/>
      <c r="D64" s="312"/>
      <c r="E64" s="312"/>
      <c r="F64" s="312"/>
      <c r="G64" s="312"/>
      <c r="H64" s="312"/>
      <c r="I64" s="312"/>
      <c r="J64" s="312"/>
    </row>
    <row r="65" customFormat="false" ht="24" hidden="false" customHeight="true" outlineLevel="0" collapsed="false">
      <c r="A65" s="322" t="s">
        <v>528</v>
      </c>
      <c r="B65" s="323" t="s">
        <v>113</v>
      </c>
      <c r="C65" s="323" t="s">
        <v>114</v>
      </c>
      <c r="D65" s="323" t="s">
        <v>89</v>
      </c>
      <c r="E65" s="323" t="s">
        <v>90</v>
      </c>
      <c r="F65" s="323" t="s">
        <v>91</v>
      </c>
      <c r="G65" s="323" t="s">
        <v>529</v>
      </c>
      <c r="H65" s="323" t="s">
        <v>530</v>
      </c>
      <c r="I65" s="323"/>
      <c r="J65" s="323"/>
    </row>
    <row r="66" customFormat="false" ht="15.75" hidden="false" customHeight="true" outlineLevel="0" collapsed="false">
      <c r="A66" s="324" t="s">
        <v>563</v>
      </c>
      <c r="B66" s="325" t="n">
        <v>39789</v>
      </c>
      <c r="C66" s="325" t="n">
        <v>35929</v>
      </c>
      <c r="D66" s="325" t="n">
        <v>24977</v>
      </c>
      <c r="E66" s="325" t="n">
        <v>30737</v>
      </c>
      <c r="F66" s="325" t="n">
        <v>29943</v>
      </c>
      <c r="G66" s="326" t="str">
        <f aca="false">IF((ABS(B66-CFS!B7)+ABS(C66-CFS!C7)+ABS(D66-CFS!D7)+ABS(E66-CFS!E7)+ABS(F66-CFS!F7))&lt;5,"✓","✗ "&amp;TEXT(ABS(B66-CFS!B7)+ABS(C66-CFS!C7)+ABS(D66-CFS!D7)+ABS(E66-CFS!E7)+ABS(F66-CFS!F7),"#,##0"))</f>
        <v>✓</v>
      </c>
      <c r="H66" s="327" t="s">
        <v>564</v>
      </c>
      <c r="I66" s="327"/>
      <c r="J66" s="327"/>
    </row>
    <row r="67" customFormat="false" ht="15.75" hidden="false" customHeight="true" outlineLevel="0" collapsed="false">
      <c r="A67" s="328" t="s">
        <v>370</v>
      </c>
      <c r="B67" s="329" t="n">
        <v>11284</v>
      </c>
      <c r="C67" s="329" t="n">
        <v>11104</v>
      </c>
      <c r="D67" s="329" t="n">
        <v>11519</v>
      </c>
      <c r="E67" s="329" t="n">
        <v>11445</v>
      </c>
      <c r="F67" s="329" t="n">
        <v>11698</v>
      </c>
      <c r="G67" s="330" t="str">
        <f aca="false">IF((ABS(B67-CFS!B10)+ABS(C67-CFS!C10)+ABS(D67-CFS!D10)+ABS(E67-CFS!E10)+ABS(F67-CFS!F10))&lt;5,"✓","✗ "&amp;TEXT(ABS(B67-CFS!B10)+ABS(C67-CFS!C10)+ABS(D67-CFS!D10)+ABS(E67-CFS!E10)+ABS(F67-CFS!F10),"#,##0"))</f>
        <v>✓</v>
      </c>
      <c r="H67" s="331" t="s">
        <v>564</v>
      </c>
      <c r="I67" s="331"/>
      <c r="J67" s="331"/>
    </row>
    <row r="68" customFormat="false" ht="15.75" hidden="false" customHeight="true" outlineLevel="0" collapsed="false">
      <c r="A68" s="324" t="s">
        <v>372</v>
      </c>
      <c r="B68" s="325" t="n">
        <v>7906</v>
      </c>
      <c r="C68" s="325" t="n">
        <v>9038</v>
      </c>
      <c r="D68" s="325" t="n">
        <v>10833</v>
      </c>
      <c r="E68" s="325" t="n">
        <v>11688</v>
      </c>
      <c r="F68" s="325" t="n">
        <v>12863</v>
      </c>
      <c r="G68" s="326" t="str">
        <f aca="false">IF((ABS(B68-CFS!B12)+ABS(C68-CFS!C12)+ABS(D68-CFS!D12)+ABS(E68-CFS!E12)+ABS(F68-CFS!F12))&lt;5,"✓","✗ "&amp;TEXT(ABS(B68-CFS!B12)+ABS(C68-CFS!C12)+ABS(D68-CFS!D12)+ABS(E68-CFS!E12)+ABS(F68-CFS!F12),"#,##0"))</f>
        <v>✓</v>
      </c>
      <c r="H68" s="327" t="s">
        <v>564</v>
      </c>
      <c r="I68" s="327"/>
      <c r="J68" s="327"/>
    </row>
    <row r="69" customFormat="false" ht="15.75" hidden="false" customHeight="true" outlineLevel="0" collapsed="false">
      <c r="A69" s="328" t="s">
        <v>565</v>
      </c>
      <c r="B69" s="329" t="n">
        <v>-9832</v>
      </c>
      <c r="C69" s="329" t="n">
        <v>2206</v>
      </c>
      <c r="D69" s="329" t="n">
        <v>-8804</v>
      </c>
      <c r="E69" s="329" t="n">
        <v>1385</v>
      </c>
      <c r="F69" s="329" t="n">
        <v>-25089</v>
      </c>
      <c r="G69" s="330" t="str">
        <f aca="false">IF((ABS(B69-CFS!B13)+ABS(C69-CFS!C13)+ABS(D69-CFS!D13)+ABS(E69-CFS!E13)+ABS(F69-CFS!F13))&lt;5,"✓","✗ "&amp;TEXT(ABS(B69-CFS!B13)+ABS(C69-CFS!C13)+ABS(D69-CFS!D13)+ABS(E69-CFS!E13)+ABS(F69-CFS!F13),"#,##0"))</f>
        <v>✓</v>
      </c>
      <c r="H69" s="331" t="s">
        <v>566</v>
      </c>
      <c r="I69" s="331"/>
      <c r="J69" s="331"/>
    </row>
    <row r="70" customFormat="false" ht="15.75" hidden="false" customHeight="true" outlineLevel="0" collapsed="false">
      <c r="A70" s="336" t="s">
        <v>567</v>
      </c>
      <c r="B70" s="337" t="n">
        <v>104038</v>
      </c>
      <c r="C70" s="337" t="n">
        <v>122151</v>
      </c>
      <c r="D70" s="337" t="n">
        <v>110543</v>
      </c>
      <c r="E70" s="337" t="n">
        <v>118254</v>
      </c>
      <c r="F70" s="337" t="n">
        <v>111482</v>
      </c>
      <c r="G70" s="326" t="str">
        <f aca="false">IF((ABS(B70-CFS!B14)+ABS(C70-CFS!C14)+ABS(D70-CFS!D14)+ABS(E70-CFS!E14)+ABS(F70-CFS!F14))&lt;5,"✓","✗ "&amp;TEXT(ABS(B70-CFS!B14)+ABS(C70-CFS!C14)+ABS(D70-CFS!D14)+ABS(E70-CFS!E14)+ABS(F70-CFS!F14),"#,##0"))</f>
        <v>✓</v>
      </c>
      <c r="H70" s="327" t="s">
        <v>564</v>
      </c>
      <c r="I70" s="327"/>
      <c r="J70" s="327"/>
    </row>
    <row r="71" customFormat="false" ht="15.75" hidden="false" customHeight="true" outlineLevel="0" collapsed="false">
      <c r="A71" s="328" t="s">
        <v>377</v>
      </c>
      <c r="B71" s="329" t="n">
        <v>-11085</v>
      </c>
      <c r="C71" s="329" t="n">
        <v>-10708</v>
      </c>
      <c r="D71" s="329" t="n">
        <v>-10959</v>
      </c>
      <c r="E71" s="329" t="n">
        <v>-9447</v>
      </c>
      <c r="F71" s="329" t="n">
        <v>-12715</v>
      </c>
      <c r="G71" s="330" t="str">
        <f aca="false">IF((ABS(B71-CFS!B19)+ABS(C71-CFS!C19)+ABS(D71-CFS!D19)+ABS(E71-CFS!E19)+ABS(F71-CFS!F19))&lt;5,"✓","✗ "&amp;TEXT(ABS(B71-CFS!B19)+ABS(C71-CFS!C19)+ABS(D71-CFS!D19)+ABS(E71-CFS!E19)+ABS(F71-CFS!F19),"#,##0"))</f>
        <v>✓</v>
      </c>
      <c r="H71" s="331" t="s">
        <v>564</v>
      </c>
      <c r="I71" s="331"/>
      <c r="J71" s="331"/>
    </row>
    <row r="72" customFormat="false" ht="15.75" hidden="false" customHeight="true" outlineLevel="0" collapsed="false">
      <c r="A72" s="324" t="s">
        <v>568</v>
      </c>
      <c r="B72" s="325" t="n">
        <v>-3460</v>
      </c>
      <c r="C72" s="325" t="n">
        <v>-11646</v>
      </c>
      <c r="D72" s="325" t="n">
        <v>14664</v>
      </c>
      <c r="E72" s="325" t="n">
        <v>12382</v>
      </c>
      <c r="F72" s="325" t="n">
        <v>27910</v>
      </c>
      <c r="G72" s="326" t="str">
        <f aca="false">IF((ABS(B72-CFS!B20)+ABS(C72-CFS!C20)+ABS(D72-CFS!D20)+ABS(E72-CFS!E20)+ABS(F72-CFS!F20))&lt;5,"✓","✗ "&amp;TEXT(ABS(B72-CFS!B20)+ABS(C72-CFS!C20)+ABS(D72-CFS!D20)+ABS(E72-CFS!E20)+ABS(F72-CFS!F20),"#,##0"))</f>
        <v>✓</v>
      </c>
      <c r="H72" s="327" t="s">
        <v>569</v>
      </c>
      <c r="I72" s="327"/>
      <c r="J72" s="327"/>
    </row>
    <row r="73" customFormat="false" ht="15.75" hidden="false" customHeight="true" outlineLevel="0" collapsed="false">
      <c r="A73" s="338" t="s">
        <v>570</v>
      </c>
      <c r="B73" s="339" t="n">
        <v>-14545</v>
      </c>
      <c r="C73" s="339" t="n">
        <v>-22354</v>
      </c>
      <c r="D73" s="339" t="n">
        <v>3705</v>
      </c>
      <c r="E73" s="339" t="n">
        <v>2935</v>
      </c>
      <c r="F73" s="339" t="n">
        <v>15195</v>
      </c>
      <c r="G73" s="330" t="str">
        <f aca="false">IF((ABS(B73-CFS!B17)+ABS(C73-CFS!C17)+ABS(D73-CFS!D17)+ABS(E73-CFS!E17)+ABS(F73-CFS!F17))&lt;5,"✓","✗ "&amp;TEXT(ABS(B73-CFS!B17)+ABS(C73-CFS!C17)+ABS(D73-CFS!D17)+ABS(E73-CFS!E17)+ABS(F73-CFS!F17),"#,##0"))</f>
        <v>✓</v>
      </c>
      <c r="H73" s="331" t="s">
        <v>564</v>
      </c>
      <c r="I73" s="331"/>
      <c r="J73" s="331"/>
    </row>
    <row r="74" customFormat="false" ht="15.75" hidden="false" customHeight="true" outlineLevel="0" collapsed="false">
      <c r="A74" s="336" t="s">
        <v>571</v>
      </c>
      <c r="B74" s="337" t="n">
        <v>92953</v>
      </c>
      <c r="C74" s="337" t="n">
        <v>111443</v>
      </c>
      <c r="D74" s="337" t="n">
        <v>99584</v>
      </c>
      <c r="E74" s="337" t="n">
        <v>108807</v>
      </c>
      <c r="F74" s="337" t="n">
        <v>98767</v>
      </c>
      <c r="G74" s="326" t="str">
        <f aca="false">IF((ABS(B74-CFS!B21)+ABS(C74-CFS!C21)+ABS(D74-CFS!D21)+ABS(E74-CFS!E21)+ABS(F74-CFS!F21))&lt;5,"✓","✗ "&amp;TEXT(ABS(B74-CFS!B21)+ABS(C74-CFS!C21)+ABS(D74-CFS!D21)+ABS(E74-CFS!E21)+ABS(F74-CFS!F21),"#,##0"))</f>
        <v>✓</v>
      </c>
      <c r="H74" s="327" t="s">
        <v>534</v>
      </c>
      <c r="I74" s="327"/>
      <c r="J74" s="327"/>
    </row>
    <row r="75" customFormat="false" ht="15.75" hidden="false" customHeight="true" outlineLevel="0" collapsed="false">
      <c r="A75" s="328" t="s">
        <v>381</v>
      </c>
      <c r="B75" s="329" t="n">
        <v>-14467</v>
      </c>
      <c r="C75" s="329" t="n">
        <v>-14841</v>
      </c>
      <c r="D75" s="329" t="n">
        <v>-15025</v>
      </c>
      <c r="E75" s="329" t="n">
        <v>-15234</v>
      </c>
      <c r="F75" s="329" t="n">
        <v>-15421</v>
      </c>
      <c r="G75" s="330" t="str">
        <f aca="false">IF((ABS(B75-CFS!B24)+ABS(C75-CFS!C24)+ABS(D75-CFS!D24)+ABS(E75-CFS!E24)+ABS(F75-CFS!F24))&lt;5,"✓","✗ "&amp;TEXT(ABS(B75-CFS!B24)+ABS(C75-CFS!C24)+ABS(D75-CFS!D24)+ABS(E75-CFS!E24)+ABS(F75-CFS!F24),"#,##0"))</f>
        <v>✓</v>
      </c>
      <c r="H75" s="331" t="s">
        <v>564</v>
      </c>
      <c r="I75" s="331"/>
      <c r="J75" s="331"/>
    </row>
    <row r="76" customFormat="false" ht="15.75" hidden="false" customHeight="true" outlineLevel="0" collapsed="false">
      <c r="A76" s="324" t="s">
        <v>382</v>
      </c>
      <c r="B76" s="325" t="n">
        <v>-85971</v>
      </c>
      <c r="C76" s="325" t="n">
        <v>-89402</v>
      </c>
      <c r="D76" s="325" t="n">
        <v>-77550</v>
      </c>
      <c r="E76" s="325" t="n">
        <v>-94949</v>
      </c>
      <c r="F76" s="325" t="n">
        <v>-90711</v>
      </c>
      <c r="G76" s="326" t="str">
        <f aca="false">IF((ABS(B76-CFS!B25)+ABS(C76-CFS!C25)+ABS(D76-CFS!D25)+ABS(E76-CFS!E25)+ABS(F76-CFS!F25))&lt;5,"✓","✗ "&amp;TEXT(ABS(B76-CFS!B25)+ABS(C76-CFS!C25)+ABS(D76-CFS!D25)+ABS(E76-CFS!E25)+ABS(F76-CFS!F25),"#,##0"))</f>
        <v>✓</v>
      </c>
      <c r="H76" s="327" t="s">
        <v>564</v>
      </c>
      <c r="I76" s="327"/>
      <c r="J76" s="327"/>
    </row>
    <row r="77" customFormat="false" ht="15.75" hidden="false" customHeight="true" outlineLevel="0" collapsed="false">
      <c r="A77" s="328" t="s">
        <v>572</v>
      </c>
      <c r="B77" s="329" t="n">
        <v>7085</v>
      </c>
      <c r="C77" s="329" t="n">
        <v>-6506</v>
      </c>
      <c r="D77" s="329" t="n">
        <v>-15913</v>
      </c>
      <c r="E77" s="329" t="n">
        <v>-11800</v>
      </c>
      <c r="F77" s="329" t="n">
        <v>-14554</v>
      </c>
      <c r="G77" s="330" t="str">
        <f aca="false">IF((ABS(B77-CFS!B26)+ABS(C77-CFS!C26)+ABS(D77-CFS!D26)+ABS(E77-CFS!E26)+ABS(F77-CFS!F26))&lt;5,"✓","✗ "&amp;TEXT(ABS(B77-CFS!B26)+ABS(C77-CFS!C26)+ABS(D77-CFS!D26)+ABS(E77-CFS!E26)+ABS(F77-CFS!F26),"#,##0"))</f>
        <v>✓</v>
      </c>
      <c r="H77" s="331" t="s">
        <v>573</v>
      </c>
      <c r="I77" s="331"/>
      <c r="J77" s="331"/>
    </row>
    <row r="78" customFormat="false" ht="15.75" hidden="false" customHeight="true" outlineLevel="0" collapsed="false">
      <c r="A78" s="336" t="s">
        <v>574</v>
      </c>
      <c r="B78" s="337" t="n">
        <v>-93353</v>
      </c>
      <c r="C78" s="337" t="n">
        <v>-110749</v>
      </c>
      <c r="D78" s="337" t="n">
        <v>-108488</v>
      </c>
      <c r="E78" s="337" t="n">
        <v>-121983</v>
      </c>
      <c r="F78" s="337" t="n">
        <v>-120686</v>
      </c>
      <c r="G78" s="326" t="str">
        <f aca="false">IF((ABS(B78-CFS!B27)+ABS(C78-CFS!C27)+ABS(D78-CFS!D27)+ABS(E78-CFS!E27)+ABS(F78-CFS!F27))&lt;5,"✓","✗ "&amp;TEXT(ABS(B78-CFS!B27)+ABS(C78-CFS!C27)+ABS(D78-CFS!D27)+ABS(E78-CFS!E27)+ABS(F78-CFS!F27),"#,##0"))</f>
        <v>✓</v>
      </c>
      <c r="H78" s="327" t="s">
        <v>564</v>
      </c>
      <c r="I78" s="327"/>
      <c r="J78" s="327"/>
    </row>
    <row r="79" customFormat="false" ht="15.75" hidden="false" customHeight="true" outlineLevel="0" collapsed="false">
      <c r="A79" s="338" t="s">
        <v>385</v>
      </c>
      <c r="B79" s="339" t="n">
        <v>-3860</v>
      </c>
      <c r="C79" s="339" t="n">
        <v>-10952</v>
      </c>
      <c r="D79" s="339" t="n">
        <v>5760</v>
      </c>
      <c r="E79" s="339" t="n">
        <v>-794</v>
      </c>
      <c r="F79" s="339" t="n">
        <v>5991</v>
      </c>
      <c r="G79" s="330" t="str">
        <f aca="false">IF((ABS(B79-CFS!B29)+ABS(C79-CFS!C29)+ABS(D79-CFS!D29)+ABS(E79-CFS!E29)+ABS(F79-CFS!F29))&lt;5,"✓","✗ "&amp;TEXT(ABS(B79-CFS!B29)+ABS(C79-CFS!C29)+ABS(D79-CFS!D29)+ABS(E79-CFS!E29)+ABS(F79-CFS!F29),"#,##0"))</f>
        <v>✓</v>
      </c>
      <c r="H79" s="331" t="s">
        <v>534</v>
      </c>
      <c r="I79" s="331"/>
      <c r="J79" s="331"/>
    </row>
    <row r="80" customFormat="false" ht="15.75" hidden="false" customHeight="true" outlineLevel="0" collapsed="false">
      <c r="A80" s="336" t="s">
        <v>575</v>
      </c>
      <c r="B80" s="337" t="n">
        <v>35929</v>
      </c>
      <c r="C80" s="337" t="n">
        <v>24977</v>
      </c>
      <c r="D80" s="337" t="n">
        <v>30737</v>
      </c>
      <c r="E80" s="337" t="n">
        <v>29943</v>
      </c>
      <c r="F80" s="337" t="n">
        <v>35934</v>
      </c>
      <c r="G80" s="326" t="str">
        <f aca="false">IF((ABS(B80-CFS!B30)+ABS(C80-CFS!C30)+ABS(D80-CFS!D30)+ABS(E80-CFS!E30)+ABS(F80-CFS!F30))&lt;5,"✓","✗ "&amp;TEXT(ABS(B80-CFS!B30)+ABS(C80-CFS!C30)+ABS(D80-CFS!D30)+ABS(E80-CFS!E30)+ABS(F80-CFS!F30),"#,##0"))</f>
        <v>✓</v>
      </c>
      <c r="H80" s="327" t="s">
        <v>564</v>
      </c>
      <c r="I80" s="327"/>
      <c r="J80" s="327"/>
    </row>
    <row r="83" customFormat="false" ht="21.75" hidden="false" customHeight="true" outlineLevel="0" collapsed="false">
      <c r="A83" s="344" t="s">
        <v>576</v>
      </c>
      <c r="B83" s="344"/>
      <c r="C83" s="344"/>
      <c r="D83" s="344"/>
      <c r="E83" s="344"/>
      <c r="F83" s="344"/>
      <c r="G83" s="344"/>
      <c r="H83" s="344"/>
      <c r="I83" s="344"/>
      <c r="J83" s="344"/>
    </row>
    <row r="85" customFormat="false" ht="19.5" hidden="false" customHeight="true" outlineLevel="0" collapsed="false">
      <c r="A85" s="345" t="s">
        <v>577</v>
      </c>
      <c r="B85" s="345"/>
      <c r="C85" s="345"/>
      <c r="D85" s="345"/>
      <c r="E85" s="346" t="n">
        <f aca="false">COUNTA(G16:G31)+COUNTA(G36:G61)+COUNTA(G66:G80)</f>
        <v>57</v>
      </c>
      <c r="F85" s="346"/>
      <c r="G85" s="346"/>
      <c r="H85" s="346"/>
      <c r="I85" s="346"/>
      <c r="J85" s="346"/>
    </row>
    <row r="86" customFormat="false" ht="19.5" hidden="false" customHeight="true" outlineLevel="0" collapsed="false">
      <c r="A86" s="345" t="s">
        <v>578</v>
      </c>
      <c r="B86" s="345"/>
      <c r="C86" s="345"/>
      <c r="D86" s="345"/>
      <c r="E86" s="347" t="str">
        <f aca="false">COUNTIF(G16:G31,"✓*")+COUNTIF(G36:G61,"✓*")+COUNTIF(G66:G80,"✓*")&amp;" of "&amp;(COUNTA(G16:G31)+COUNTA(G36:G61)+COUNTA(G66:G80))&amp;" ("&amp;TEXT((COUNTIF(G16:G31,"✓*")+COUNTIF(G36:G61,"✓*")+COUNTIF(G66:G80,"✓*"))/(COUNTA(G16:G31)+COUNTA(G36:G61)+COUNTA(G66:G80)),"0%")&amp;")"</f>
        <v>57 of 57 (100%)</v>
      </c>
      <c r="F86" s="347"/>
      <c r="G86" s="347"/>
      <c r="H86" s="347"/>
      <c r="I86" s="347"/>
      <c r="J86" s="347"/>
    </row>
    <row r="87" customFormat="false" ht="19.5" hidden="false" customHeight="true" outlineLevel="0" collapsed="false">
      <c r="A87" s="345" t="s">
        <v>579</v>
      </c>
      <c r="B87" s="345"/>
      <c r="C87" s="345"/>
      <c r="D87" s="345"/>
      <c r="E87" s="348" t="n">
        <f aca="false">COUNTIF(G16:G31,"✗*")+COUNTIF(G36:G61,"✗*")+COUNTIF(G66:G80,"✗*")</f>
        <v>0</v>
      </c>
      <c r="F87" s="348"/>
      <c r="G87" s="348"/>
      <c r="H87" s="348"/>
      <c r="I87" s="348"/>
      <c r="J87" s="348"/>
    </row>
    <row r="88" customFormat="false" ht="19.5" hidden="false" customHeight="true" outlineLevel="0" collapsed="false">
      <c r="A88" s="345" t="s">
        <v>580</v>
      </c>
      <c r="B88" s="345"/>
      <c r="C88" s="345"/>
      <c r="D88" s="345"/>
      <c r="E88" s="349" t="str">
        <f aca="false">IF(COUNTIF(B122:J122,"✓")=9,"$0 in all 9 years (5 historical + 4 projected)","⚠ IMBALANCE: "&amp;(9-COUNTIF(B122:J122,"✓"))&amp;" year(s) fail BS check — see row 114")</f>
        <v>$0 in all 9 years (5 historical + 4 projected)</v>
      </c>
      <c r="F88" s="349"/>
      <c r="G88" s="349"/>
      <c r="H88" s="349"/>
      <c r="I88" s="349"/>
      <c r="J88" s="349"/>
    </row>
    <row r="89" customFormat="false" ht="19.5" hidden="false" customHeight="true" outlineLevel="0" collapsed="false">
      <c r="A89" s="345" t="s">
        <v>581</v>
      </c>
      <c r="B89" s="345"/>
      <c r="C89" s="345"/>
      <c r="D89" s="345"/>
      <c r="E89" s="349" t="str">
        <f aca="false">IF(COUNTIF(B123:J123,"✓")+COUNTIF(B123:J123,"n/a*")=9,"✓ All years: ending cash flows to next period’s beginning","✗ CASH TIE BROKEN")</f>
        <v>✓ All years: ending cash flows to next period’s beginning</v>
      </c>
      <c r="F89" s="349"/>
      <c r="G89" s="349"/>
      <c r="H89" s="349"/>
      <c r="I89" s="349"/>
      <c r="J89" s="349"/>
    </row>
    <row r="90" customFormat="false" ht="19.5" hidden="false" customHeight="true" outlineLevel="0" collapsed="false">
      <c r="A90" s="345" t="s">
        <v>582</v>
      </c>
      <c r="B90" s="345"/>
      <c r="C90" s="345"/>
      <c r="D90" s="345"/>
      <c r="E90" s="350" t="s">
        <v>583</v>
      </c>
      <c r="F90" s="350"/>
      <c r="G90" s="350"/>
      <c r="H90" s="350"/>
      <c r="I90" s="350"/>
      <c r="J90" s="350"/>
    </row>
    <row r="91" customFormat="false" ht="19.5" hidden="false" customHeight="true" outlineLevel="0" collapsed="false">
      <c r="A91" s="345" t="s">
        <v>584</v>
      </c>
      <c r="B91" s="345"/>
      <c r="C91" s="345"/>
      <c r="D91" s="345"/>
      <c r="E91" s="350" t="s">
        <v>585</v>
      </c>
      <c r="F91" s="350"/>
      <c r="G91" s="350"/>
      <c r="H91" s="350"/>
      <c r="I91" s="350"/>
      <c r="J91" s="350"/>
    </row>
    <row r="94" customFormat="false" ht="15" hidden="false" customHeight="true" outlineLevel="0" collapsed="false">
      <c r="A94" s="351" t="s">
        <v>586</v>
      </c>
    </row>
    <row r="95" customFormat="false" ht="18" hidden="false" customHeight="true" outlineLevel="0" collapsed="false">
      <c r="A95" s="352" t="s">
        <v>587</v>
      </c>
      <c r="B95" s="352"/>
      <c r="C95" s="352"/>
      <c r="D95" s="352"/>
      <c r="E95" s="352"/>
      <c r="F95" s="352"/>
      <c r="G95" s="352"/>
      <c r="H95" s="352"/>
      <c r="I95" s="352"/>
      <c r="J95" s="352"/>
    </row>
    <row r="96" customFormat="false" ht="18" hidden="false" customHeight="true" outlineLevel="0" collapsed="false">
      <c r="A96" s="352" t="s">
        <v>588</v>
      </c>
      <c r="B96" s="352"/>
      <c r="C96" s="352"/>
      <c r="D96" s="352"/>
      <c r="E96" s="352"/>
      <c r="F96" s="352"/>
      <c r="G96" s="352"/>
      <c r="H96" s="352"/>
      <c r="I96" s="352"/>
      <c r="J96" s="352"/>
    </row>
    <row r="97" customFormat="false" ht="18" hidden="false" customHeight="true" outlineLevel="0" collapsed="false">
      <c r="A97" s="352" t="s">
        <v>589</v>
      </c>
      <c r="B97" s="352"/>
      <c r="C97" s="352"/>
      <c r="D97" s="352"/>
      <c r="E97" s="352"/>
      <c r="F97" s="352"/>
      <c r="G97" s="352"/>
      <c r="H97" s="352"/>
      <c r="I97" s="352"/>
      <c r="J97" s="352"/>
    </row>
    <row r="98" customFormat="false" ht="18" hidden="false" customHeight="true" outlineLevel="0" collapsed="false">
      <c r="A98" s="352" t="s">
        <v>590</v>
      </c>
      <c r="B98" s="352"/>
      <c r="C98" s="352"/>
      <c r="D98" s="352"/>
      <c r="E98" s="352"/>
      <c r="F98" s="352"/>
      <c r="G98" s="352"/>
      <c r="H98" s="352"/>
      <c r="I98" s="352"/>
      <c r="J98" s="352"/>
    </row>
    <row r="99" customFormat="false" ht="18" hidden="false" customHeight="true" outlineLevel="0" collapsed="false">
      <c r="A99" s="352" t="s">
        <v>591</v>
      </c>
      <c r="B99" s="352"/>
      <c r="C99" s="352"/>
      <c r="D99" s="352"/>
      <c r="E99" s="352"/>
      <c r="F99" s="352"/>
      <c r="G99" s="352"/>
      <c r="H99" s="352"/>
      <c r="I99" s="352"/>
      <c r="J99" s="352"/>
    </row>
    <row r="100" customFormat="false" ht="18" hidden="false" customHeight="true" outlineLevel="0" collapsed="false">
      <c r="A100" s="352" t="s">
        <v>592</v>
      </c>
      <c r="B100" s="352"/>
      <c r="C100" s="352"/>
      <c r="D100" s="352"/>
      <c r="E100" s="352"/>
      <c r="F100" s="352"/>
      <c r="G100" s="352"/>
      <c r="H100" s="352"/>
      <c r="I100" s="352"/>
      <c r="J100" s="352"/>
    </row>
    <row r="101" customFormat="false" ht="18" hidden="false" customHeight="true" outlineLevel="0" collapsed="false">
      <c r="A101" s="352" t="s">
        <v>593</v>
      </c>
      <c r="B101" s="352"/>
      <c r="C101" s="352"/>
      <c r="D101" s="352"/>
      <c r="E101" s="352"/>
      <c r="F101" s="352"/>
      <c r="G101" s="352"/>
      <c r="H101" s="352"/>
      <c r="I101" s="352"/>
      <c r="J101" s="352"/>
    </row>
    <row r="103" customFormat="false" ht="15" hidden="false" customHeight="false" outlineLevel="0" collapsed="false">
      <c r="A103" s="353" t="s">
        <v>594</v>
      </c>
    </row>
    <row r="104" customFormat="false" ht="14.25" hidden="false" customHeight="false" outlineLevel="0" collapsed="false">
      <c r="A104" s="354" t="s">
        <v>595</v>
      </c>
    </row>
    <row r="106" customFormat="false" ht="14.25" hidden="false" customHeight="false" outlineLevel="0" collapsed="false">
      <c r="A106" s="309" t="s">
        <v>529</v>
      </c>
      <c r="B106" s="355" t="s">
        <v>92</v>
      </c>
      <c r="C106" s="355" t="s">
        <v>93</v>
      </c>
      <c r="D106" s="355" t="s">
        <v>94</v>
      </c>
      <c r="E106" s="355" t="s">
        <v>95</v>
      </c>
      <c r="G106" s="356" t="s">
        <v>596</v>
      </c>
    </row>
    <row r="107" customFormat="false" ht="14.25" hidden="false" customHeight="false" outlineLevel="0" collapsed="false">
      <c r="A107" s="0" t="s">
        <v>597</v>
      </c>
      <c r="B107" s="0" t="str">
        <f aca="false">IF(AND(IS!H15&gt;=-0.05,IS!H15&lt;=0.15),"✓ "&amp;TEXT(IS!H15,"0.0%"),"✗ "&amp;TEXT(IS!H15,"0.0%"))</f>
        <v>✓ 5.0%</v>
      </c>
      <c r="C107" s="0" t="str">
        <f aca="false">IF(AND(IS!I15&gt;=-0.05,IS!I15&lt;=0.15),"✓ "&amp;TEXT(IS!I15,"0.0%"),"✗ "&amp;TEXT(IS!I15,"0.0%"))</f>
        <v>✓ 5.1%</v>
      </c>
      <c r="D107" s="0" t="str">
        <f aca="false">IF(AND(IS!J15&gt;=-0.05,IS!J15&lt;=0.15),"✓ "&amp;TEXT(IS!J15,"0.0%"),"✗ "&amp;TEXT(IS!J15,"0.0%"))</f>
        <v>✓ 5.2%</v>
      </c>
      <c r="E107" s="0" t="str">
        <f aca="false">IF(AND(IS!K15&gt;=-0.05,IS!K15&lt;=0.15),"✓ "&amp;TEXT(IS!K15,"0.0%"),"✗ "&amp;TEXT(IS!K15,"0.0%"))</f>
        <v>✓ 5.3%</v>
      </c>
      <c r="G107" s="354" t="s">
        <v>598</v>
      </c>
    </row>
    <row r="108" customFormat="false" ht="14.25" hidden="false" customHeight="false" outlineLevel="0" collapsed="false">
      <c r="A108" s="0" t="s">
        <v>599</v>
      </c>
      <c r="B108" s="0" t="str">
        <f aca="false">IF(AND(IS!H23&gt;=0.4,IS!H23&lt;=0.55),"✓ "&amp;TEXT(IS!H23,"0.0%"),"✗ "&amp;TEXT(IS!H23,"0.0%"))</f>
        <v>✓ 47.8%</v>
      </c>
      <c r="C108" s="0" t="str">
        <f aca="false">IF(AND(IS!I23&gt;=0.4,IS!I23&lt;=0.55),"✓ "&amp;TEXT(IS!I23,"0.0%"),"✗ "&amp;TEXT(IS!I23,"0.0%"))</f>
        <v>✓ 48.3%</v>
      </c>
      <c r="D108" s="0" t="str">
        <f aca="false">IF(AND(IS!J23&gt;=0.4,IS!J23&lt;=0.55),"✓ "&amp;TEXT(IS!J23,"0.0%"),"✗ "&amp;TEXT(IS!J23,"0.0%"))</f>
        <v>✓ 48.9%</v>
      </c>
      <c r="E108" s="0" t="str">
        <f aca="false">IF(AND(IS!K23&gt;=0.4,IS!K23&lt;=0.55),"✓ "&amp;TEXT(IS!K23,"0.0%"),"✗ "&amp;TEXT(IS!K23,"0.0%"))</f>
        <v>✓ 49.5%</v>
      </c>
      <c r="G108" s="354" t="s">
        <v>600</v>
      </c>
    </row>
    <row r="109" customFormat="false" ht="14.25" hidden="false" customHeight="false" outlineLevel="0" collapsed="false">
      <c r="A109" s="0" t="s">
        <v>601</v>
      </c>
      <c r="B109" s="0" t="str">
        <f aca="false">IF(AND(IS!H30&gt;=0.25,IS!H30&lt;=0.4),"✓ "&amp;TEXT(IS!H30,"0.0%"),"✗ "&amp;TEXT(IS!H30,"0.0%"))</f>
        <v>✓ 32.7%</v>
      </c>
      <c r="C109" s="0" t="str">
        <f aca="false">IF(AND(IS!I30&gt;=0.25,IS!I30&lt;=0.4),"✓ "&amp;TEXT(IS!I30,"0.0%"),"✗ "&amp;TEXT(IS!I30,"0.0%"))</f>
        <v>✓ 33.1%</v>
      </c>
      <c r="D109" s="0" t="str">
        <f aca="false">IF(AND(IS!J30&gt;=0.25,IS!J30&lt;=0.4),"✓ "&amp;TEXT(IS!J30,"0.0%"),"✗ "&amp;TEXT(IS!J30,"0.0%"))</f>
        <v>✓ 33.5%</v>
      </c>
      <c r="E109" s="0" t="str">
        <f aca="false">IF(AND(IS!K30&gt;=0.25,IS!K30&lt;=0.4),"✓ "&amp;TEXT(IS!K30,"0.0%"),"✗ "&amp;TEXT(IS!K30,"0.0%"))</f>
        <v>✓ 33.9%</v>
      </c>
      <c r="G109" s="354" t="s">
        <v>602</v>
      </c>
    </row>
    <row r="110" customFormat="false" ht="14.25" hidden="false" customHeight="false" outlineLevel="0" collapsed="false">
      <c r="A110" s="0" t="s">
        <v>603</v>
      </c>
      <c r="B110" s="0" t="str">
        <f aca="false">IF(AND(IS!H38&gt;=0.1,IS!H38&lt;=0.25),"✓ "&amp;TEXT(IS!H38,"0.0%"),"✗ "&amp;TEXT(IS!H38,"0.0%"))</f>
        <v>✓ 15.0%</v>
      </c>
      <c r="C110" s="0" t="str">
        <f aca="false">IF(AND(IS!I38&gt;=0.1,IS!I38&lt;=0.25),"✓ "&amp;TEXT(IS!I38,"0.0%"),"✗ "&amp;TEXT(IS!I38,"0.0%"))</f>
        <v>✓ 15.0%</v>
      </c>
      <c r="D110" s="0" t="str">
        <f aca="false">IF(AND(IS!J38&gt;=0.1,IS!J38&lt;=0.25),"✓ "&amp;TEXT(IS!J38,"0.0%"),"✗ "&amp;TEXT(IS!J38,"0.0%"))</f>
        <v>✓ 15.0%</v>
      </c>
      <c r="E110" s="0" t="str">
        <f aca="false">IF(AND(IS!K38&gt;=0.1,IS!K38&lt;=0.25),"✓ "&amp;TEXT(IS!K38,"0.0%"),"✗ "&amp;TEXT(IS!K38,"0.0%"))</f>
        <v>✓ 15.0%</v>
      </c>
      <c r="G110" s="354" t="s">
        <v>604</v>
      </c>
    </row>
    <row r="111" customFormat="false" ht="14.25" hidden="false" customHeight="false" outlineLevel="0" collapsed="false">
      <c r="A111" s="0" t="s">
        <v>605</v>
      </c>
      <c r="B111" s="0" t="str">
        <f aca="false">IF(AND(IS!H40&gt;=0.2,IS!H40&lt;=0.35),"✓ "&amp;TEXT(IS!H40,"0.0%"),"✗ "&amp;TEXT(IS!H40,"0.0%"))</f>
        <v>✓ 27.8%</v>
      </c>
      <c r="C111" s="0" t="str">
        <f aca="false">IF(AND(IS!I40&gt;=0.2,IS!I40&lt;=0.35),"✓ "&amp;TEXT(IS!I40,"0.0%"),"✗ "&amp;TEXT(IS!I40,"0.0%"))</f>
        <v>✓ 28.1%</v>
      </c>
      <c r="D111" s="0" t="str">
        <f aca="false">IF(AND(IS!J40&gt;=0.2,IS!J40&lt;=0.35),"✓ "&amp;TEXT(IS!J40,"0.0%"),"✗ "&amp;TEXT(IS!J40,"0.0%"))</f>
        <v>✓ 28.5%</v>
      </c>
      <c r="E111" s="0" t="str">
        <f aca="false">IF(AND(IS!K40&gt;=0.2,IS!K40&lt;=0.35),"✓ "&amp;TEXT(IS!K40,"0.0%"),"✗ "&amp;TEXT(IS!K40,"0.0%"))</f>
        <v>✓ 28.8%</v>
      </c>
      <c r="G111" s="354" t="s">
        <v>606</v>
      </c>
    </row>
    <row r="112" customFormat="false" ht="14.25" hidden="false" customHeight="false" outlineLevel="0" collapsed="false">
      <c r="A112" s="0" t="s">
        <v>607</v>
      </c>
      <c r="B112" s="0" t="str">
        <f aca="false">IF(AND(-CFS!G19/IS!H14&gt;=0.015,-CFS!G19/IS!H14&lt;=0.05),"✓ "&amp;TEXT(-CFS!G19/IS!H14,"0.0%"),"✗ "&amp;TEXT(-CFS!G19/IS!H14,"0.0%"))</f>
        <v>✓ 2.8%</v>
      </c>
      <c r="C112" s="0" t="str">
        <f aca="false">IF(AND(-CFS!H19/IS!I14&gt;=0.015,-CFS!H19/IS!I14&lt;=0.05),"✓ "&amp;TEXT(-CFS!H19/IS!I14,"0.0%"),"✗ "&amp;TEXT(-CFS!H19/IS!I14,"0.0%"))</f>
        <v>✓ 2.8%</v>
      </c>
      <c r="D112" s="0" t="str">
        <f aca="false">IF(AND(-CFS!I19/IS!J14&gt;=0.015,-CFS!I19/IS!J14&lt;=0.05),"✓ "&amp;TEXT(-CFS!I19/IS!J14,"0.0%"),"✗ "&amp;TEXT(-CFS!I19/IS!J14,"0.0%"))</f>
        <v>✓ 2.8%</v>
      </c>
      <c r="E112" s="0" t="str">
        <f aca="false">IF(AND(-CFS!J19/IS!K14&gt;=0.015,-CFS!J19/IS!K14&lt;=0.05),"✓ "&amp;TEXT(-CFS!J19/IS!K14,"0.0%"),"✗ "&amp;TEXT(-CFS!J19/IS!K14,"0.0%"))</f>
        <v>✓ 2.8%</v>
      </c>
      <c r="G112" s="354" t="s">
        <v>608</v>
      </c>
    </row>
    <row r="113" customFormat="false" ht="14.25" hidden="false" customHeight="false" outlineLevel="0" collapsed="false">
      <c r="A113" s="0" t="s">
        <v>609</v>
      </c>
      <c r="B113" s="0" t="str">
        <f aca="false">IF(AND(CFS!G21/IS!H14&gt;=0.2,CFS!G21/IS!H14&lt;=0.4),"✓ "&amp;TEXT(CFS!G21/IS!H14,"0.0%"),"✗ "&amp;TEXT(CFS!G21/IS!H14,"0.0%"))</f>
        <v>✓ 35.2%</v>
      </c>
      <c r="C113" s="0" t="str">
        <f aca="false">IF(AND(CFS!H21/IS!I14&gt;=0.2,CFS!H21/IS!I14&lt;=0.4),"✓ "&amp;TEXT(CFS!H21/IS!I14,"0.0%"),"✗ "&amp;TEXT(CFS!H21/IS!I14,"0.0%"))</f>
        <v>✓ 31.5%</v>
      </c>
      <c r="D113" s="0" t="str">
        <f aca="false">IF(AND(CFS!I21/IS!J14&gt;=0.2,CFS!I21/IS!J14&lt;=0.4),"✓ "&amp;TEXT(CFS!I21/IS!J14,"0.0%"),"✗ "&amp;TEXT(CFS!I21/IS!J14,"0.0%"))</f>
        <v>✓ 31.9%</v>
      </c>
      <c r="E113" s="0" t="str">
        <f aca="false">IF(AND(CFS!J21/IS!K14&gt;=0.2,CFS!J21/IS!K14&lt;=0.4),"✓ "&amp;TEXT(CFS!J21/IS!K14,"0.0%"),"✗ "&amp;TEXT(CFS!J21/IS!K14,"0.0%"))</f>
        <v>✓ 32.3%</v>
      </c>
      <c r="G113" s="354" t="s">
        <v>610</v>
      </c>
    </row>
    <row r="114" customFormat="false" ht="14.25" hidden="false" customHeight="false" outlineLevel="0" collapsed="false">
      <c r="A114" s="0" t="s">
        <v>611</v>
      </c>
      <c r="B114" s="0" t="str">
        <f aca="false">IF(IS!H39&gt;0,"✓ $"&amp;TEXT(IS!H39/1000,"0.0")&amp;"B","✗ NEGATIVE")</f>
        <v>✓ $121.3B</v>
      </c>
      <c r="C114" s="0" t="str">
        <f aca="false">IF(IS!I39&gt;0,"✓ $"&amp;TEXT(IS!I39/1000,"0.0")&amp;"B","✗ NEGATIVE")</f>
        <v>✓ $129.0B</v>
      </c>
      <c r="D114" s="0" t="str">
        <f aca="false">IF(IS!J39&gt;0,"✓ $"&amp;TEXT(IS!J39/1000,"0.0")&amp;"B","✗ NEGATIVE")</f>
        <v>✓ $137.4B</v>
      </c>
      <c r="E114" s="0" t="str">
        <f aca="false">IF(IS!K39&gt;0,"✓ $"&amp;TEXT(IS!K39/1000,"0.0")&amp;"B","✗ NEGATIVE")</f>
        <v>✓ $146.7B</v>
      </c>
      <c r="G114" s="354" t="s">
        <v>612</v>
      </c>
    </row>
    <row r="115" customFormat="false" ht="14.25" hidden="false" customHeight="false" outlineLevel="0" collapsed="false">
      <c r="A115" s="0" t="s">
        <v>613</v>
      </c>
      <c r="B115" s="0" t="str">
        <f aca="false">IF((BS!H5+BS!H6+BS!H15)&gt;0,"✓ $"&amp;TEXT((BS!H5+BS!H6+BS!H15)/1000,"0.0")&amp;"B","✗ NEGATIVE")</f>
        <v>✓ $116.4B</v>
      </c>
      <c r="C115" s="0" t="str">
        <f aca="false">IF((BS!I5+BS!I6+BS!I15)&gt;0,"✓ $"&amp;TEXT((BS!I5+BS!I6+BS!I15)/1000,"0.0")&amp;"B","✗ NEGATIVE")</f>
        <v>✓ $111.7B</v>
      </c>
      <c r="D115" s="0" t="str">
        <f aca="false">IF((BS!J5+BS!J6+BS!J15)&gt;0,"✓ $"&amp;TEXT((BS!J5+BS!J6+BS!J15)/1000,"0.0")&amp;"B","✗ NEGATIVE")</f>
        <v>✓ $109.4B</v>
      </c>
      <c r="E115" s="0" t="str">
        <f aca="false">IF((BS!K5+BS!K6+BS!K15)&gt;0,"✓ $"&amp;TEXT((BS!K5+BS!K6+BS!K15)/1000,"0.0")&amp;"B","✗ NEGATIVE")</f>
        <v>✓ $117.6B</v>
      </c>
      <c r="G115" s="354" t="s">
        <v>614</v>
      </c>
    </row>
    <row r="116" customFormat="false" ht="14.25" hidden="false" customHeight="false" outlineLevel="0" collapsed="false">
      <c r="A116" s="0" t="s">
        <v>615</v>
      </c>
      <c r="B116" s="0" t="str">
        <f aca="false">IF(BS!H5&gt;=MIN(BS!$C$5:$G$5),"✓ $"&amp;TEXT(BS!H5/1000,"0.0")&amp;"B","✗ $"&amp;TEXT(BS!H5/1000,"0.0")&amp;"B")</f>
        <v>✓ $23.6B</v>
      </c>
      <c r="C116" s="0" t="str">
        <f aca="false">IF(BS!I5&gt;=MIN(BS!$C$5:$G$5),"✓ $"&amp;TEXT(BS!I5/1000,"0.0")&amp;"B","✗ $"&amp;TEXT(BS!I5/1000,"0.0")&amp;"B")</f>
        <v>✓ $23.6B</v>
      </c>
      <c r="D116" s="0" t="str">
        <f aca="false">IF(BS!J5&gt;=MIN(BS!$C$5:$G$5),"✓ $"&amp;TEXT(BS!J5/1000,"0.0")&amp;"B","✗ $"&amp;TEXT(BS!J5/1000,"0.0")&amp;"B")</f>
        <v>✓ $23.6B</v>
      </c>
      <c r="E116" s="0" t="str">
        <f aca="false">IF(BS!K5&gt;=MIN(BS!$C$5:$G$5),"✓ $"&amp;TEXT(BS!K5/1000,"0.0")&amp;"B","✗ $"&amp;TEXT(BS!K5/1000,"0.0")&amp;"B")</f>
        <v>✓ $31.9B</v>
      </c>
      <c r="G116" s="354" t="str">
        <f aca="false">"≥ $"&amp;TEXT(MIN(BS!C5:G5)/1000,"0.0")&amp;"B"</f>
        <v>≥ $23.6B</v>
      </c>
    </row>
    <row r="118" customFormat="false" ht="15" hidden="false" customHeight="false" outlineLevel="0" collapsed="false">
      <c r="A118" s="357" t="s">
        <v>616</v>
      </c>
    </row>
    <row r="119" customFormat="false" ht="14.25" hidden="false" customHeight="false" outlineLevel="0" collapsed="false">
      <c r="A119" s="354" t="s">
        <v>617</v>
      </c>
    </row>
    <row r="121" customFormat="false" ht="14.25" hidden="false" customHeight="false" outlineLevel="0" collapsed="false">
      <c r="A121" s="309" t="s">
        <v>529</v>
      </c>
      <c r="B121" s="355" t="s">
        <v>113</v>
      </c>
      <c r="C121" s="355" t="s">
        <v>114</v>
      </c>
      <c r="D121" s="355" t="s">
        <v>89</v>
      </c>
      <c r="E121" s="355" t="s">
        <v>90</v>
      </c>
      <c r="F121" s="355" t="s">
        <v>91</v>
      </c>
      <c r="G121" s="355" t="s">
        <v>92</v>
      </c>
      <c r="H121" s="355" t="s">
        <v>93</v>
      </c>
      <c r="I121" s="355" t="s">
        <v>94</v>
      </c>
      <c r="J121" s="355" t="s">
        <v>95</v>
      </c>
    </row>
    <row r="122" customFormat="false" ht="14.25" hidden="false" customHeight="false" outlineLevel="0" collapsed="false">
      <c r="A122" s="0" t="s">
        <v>618</v>
      </c>
      <c r="B122" s="0" t="str">
        <f aca="false">IF(ABS(BS!C18-BS!C39)&lt;1,"✓","✗ "&amp;TEXT(BS!C18-BS!C39,"+#,##0;-#,##0"))</f>
        <v>✓</v>
      </c>
      <c r="C122" s="0" t="str">
        <f aca="false">IF(ABS(BS!D18-BS!D39)&lt;1,"✓","✗ "&amp;TEXT(BS!D18-BS!D39,"+#,##0;-#,##0"))</f>
        <v>✓</v>
      </c>
      <c r="D122" s="0" t="str">
        <f aca="false">IF(ABS(BS!E18-BS!E39)&lt;1,"✓","✗ "&amp;TEXT(BS!E18-BS!E39,"+#,##0;-#,##0"))</f>
        <v>✓</v>
      </c>
      <c r="E122" s="0" t="str">
        <f aca="false">IF(ABS(BS!F18-BS!F39)&lt;1,"✓","✗ "&amp;TEXT(BS!F18-BS!F39,"+#,##0;-#,##0"))</f>
        <v>✓</v>
      </c>
      <c r="F122" s="0" t="str">
        <f aca="false">IF(ABS(BS!G18-BS!G39)&lt;1,"✓","✗ "&amp;TEXT(BS!G18-BS!G39,"+#,##0;-#,##0"))</f>
        <v>✓</v>
      </c>
      <c r="G122" s="0" t="str">
        <f aca="false">IF(ABS(BS!H18-BS!H39)&lt;1,"✓","✗ "&amp;TEXT(BS!H18-BS!H39,"+#,##0;-#,##0"))</f>
        <v>✓</v>
      </c>
      <c r="H122" s="0" t="str">
        <f aca="false">IF(ABS(BS!I18-BS!I39)&lt;1,"✓","✗ "&amp;TEXT(BS!I18-BS!I39,"+#,##0;-#,##0"))</f>
        <v>✓</v>
      </c>
      <c r="I122" s="0" t="str">
        <f aca="false">IF(ABS(BS!J18-BS!J39)&lt;1,"✓","✗ "&amp;TEXT(BS!J18-BS!J39,"+#,##0;-#,##0"))</f>
        <v>✓</v>
      </c>
      <c r="J122" s="0" t="str">
        <f aca="false">IF(ABS(BS!K18-BS!K39)&lt;1,"✓","✗ "&amp;TEXT(BS!K18-BS!K39,"+#,##0;-#,##0"))</f>
        <v>✓</v>
      </c>
    </row>
    <row r="123" customFormat="false" ht="14.25" hidden="false" customHeight="false" outlineLevel="0" collapsed="false">
      <c r="A123" s="0" t="s">
        <v>619</v>
      </c>
      <c r="B123" s="358" t="str">
        <f aca="false">IF(ABS(CFS!B30-BS!C5)&lt;1,"✓","n/a: "&amp;TEXT(CFS!B30-BS!C5,"+#,##0")&amp;" restricted cash")</f>
        <v>n/a: +989 restricted cash</v>
      </c>
      <c r="C123" s="0" t="str">
        <f aca="false">IF(ABS(CFS!C30-BS!D5)&lt;1,"✓","n/a: "&amp;TEXT(CFS!C30-BS!D5,"+#,##0")&amp;" restricted cash")</f>
        <v>n/a: +1,331 restricted cash</v>
      </c>
      <c r="D123" s="0" t="str">
        <f aca="false">IF(ABS(CFS!D30-BS!E5)&lt;1,"✓","n/a: "&amp;TEXT(CFS!D30-BS!E5,"+#,##0")&amp;" restricted cash")</f>
        <v>n/a: +772 restricted cash</v>
      </c>
      <c r="E123" s="0" t="str">
        <f aca="false">IF(ABS(CFS!E30-BS!F5)&lt;1,"✓","n/a: "&amp;TEXT(CFS!E30-BS!F5,"+#,##0")&amp;" restricted cash")</f>
        <v>✓</v>
      </c>
      <c r="F123" s="0" t="str">
        <f aca="false">IF(ABS(CFS!F30-BS!G5)&lt;1,"✓","n/a: "&amp;TEXT(CFS!F30-BS!G5,"+#,##0")&amp;" restricted cash")</f>
        <v>✓</v>
      </c>
      <c r="G123" s="0" t="str">
        <f aca="false">IF(ABS(CFS!G30-BS!H5)&lt;1,"✓","✗ "&amp;TEXT(CFS!G30-BS!H5,"+#,##0"))</f>
        <v>✓</v>
      </c>
      <c r="H123" s="0" t="str">
        <f aca="false">IF(ABS(CFS!H30-BS!I5)&lt;1,"✓","✗ "&amp;TEXT(CFS!H30-BS!I5,"+#,##0"))</f>
        <v>✓</v>
      </c>
      <c r="I123" s="0" t="str">
        <f aca="false">IF(ABS(CFS!I30-BS!J5)&lt;1,"✓","✗ "&amp;TEXT(CFS!I30-BS!J5,"+#,##0"))</f>
        <v>✓</v>
      </c>
      <c r="J123" s="0" t="str">
        <f aca="false">IF(ABS(CFS!J30-BS!K5)&lt;1,"✓","✗ "&amp;TEXT(CFS!J30-BS!K5,"+#,##0"))</f>
        <v>✓</v>
      </c>
    </row>
    <row r="124" customFormat="false" ht="14.25" hidden="false" customHeight="false" outlineLevel="0" collapsed="false">
      <c r="A124" s="0" t="s">
        <v>620</v>
      </c>
      <c r="B124" s="0" t="str">
        <f aca="false">IF(ABS(CFS!B11-IS!B39)&lt;1,"✓","✗ "&amp;TEXT(CFS!B11-IS!B39,"+#,##0;-#,##0"))</f>
        <v>✓</v>
      </c>
      <c r="C124" s="0" t="str">
        <f aca="false">IF(ABS(CFS!C11-IS!C39)&lt;1,"✓","✗ "&amp;TEXT(CFS!C11-IS!C39,"+#,##0;-#,##0"))</f>
        <v>✓</v>
      </c>
      <c r="D124" s="0" t="str">
        <f aca="false">IF(ABS(CFS!D11-IS!D39)&lt;1,"✓","✗ "&amp;TEXT(CFS!D11-IS!D39,"+#,##0;-#,##0"))</f>
        <v>✓</v>
      </c>
      <c r="E124" s="0" t="str">
        <f aca="false">IF(ABS(CFS!E11-IS!E39)&lt;1,"✓","✗ "&amp;TEXT(CFS!E11-IS!E39,"+#,##0;-#,##0"))</f>
        <v>✓</v>
      </c>
      <c r="F124" s="0" t="str">
        <f aca="false">IF(ABS(CFS!F11-IS!F39)&lt;1,"✓","✗ "&amp;TEXT(CFS!F11-IS!F39,"+#,##0;-#,##0"))</f>
        <v>✓</v>
      </c>
      <c r="G124" s="0" t="str">
        <f aca="false">IF(ABS(CFS!G11-IS!H39)&lt;1,"✓","✗ "&amp;TEXT(CFS!G11-IS!H39,"+#,##0;-#,##0"))</f>
        <v>✓</v>
      </c>
      <c r="H124" s="0" t="str">
        <f aca="false">IF(ABS(CFS!H11-IS!I39)&lt;1,"✓","✗ "&amp;TEXT(CFS!H11-IS!I39,"+#,##0;-#,##0"))</f>
        <v>✓</v>
      </c>
      <c r="I124" s="0" t="str">
        <f aca="false">IF(ABS(CFS!I11-IS!J39)&lt;1,"✓","✗ "&amp;TEXT(CFS!I11-IS!J39,"+#,##0;-#,##0"))</f>
        <v>✓</v>
      </c>
      <c r="J124" s="0" t="str">
        <f aca="false">IF(ABS(CFS!J11-IS!K39)&lt;1,"✓","✗ "&amp;TEXT(CFS!J11-IS!K39,"+#,##0;-#,##0"))</f>
        <v>✓</v>
      </c>
    </row>
    <row r="125" customFormat="false" ht="14.25" hidden="false" customHeight="false" outlineLevel="0" collapsed="false">
      <c r="A125" s="0" t="s">
        <v>621</v>
      </c>
      <c r="B125" s="0" t="str">
        <f aca="false">IF(ABS(CFS!B10-IS!B31)&lt;1,"✓","✗ "&amp;TEXT(CFS!B10-IS!B31,"+#,##0;-#,##0"))</f>
        <v>✓</v>
      </c>
      <c r="C125" s="0" t="str">
        <f aca="false">IF(ABS(CFS!C10-IS!C31)&lt;1,"✓","✗ "&amp;TEXT(CFS!C10-IS!C31,"+#,##0;-#,##0"))</f>
        <v>✓</v>
      </c>
      <c r="D125" s="0" t="str">
        <f aca="false">IF(ABS(CFS!D10-IS!D31)&lt;1,"✓","✗ "&amp;TEXT(CFS!D10-IS!D31,"+#,##0;-#,##0"))</f>
        <v>✓</v>
      </c>
      <c r="E125" s="0" t="str">
        <f aca="false">IF(ABS(CFS!E10-IS!E31)&lt;1,"✓","✗ "&amp;TEXT(CFS!E10-IS!E31,"+#,##0;-#,##0"))</f>
        <v>✓</v>
      </c>
      <c r="F125" s="0" t="str">
        <f aca="false">IF(ABS(CFS!F10-IS!F31)&lt;1,"✓","✗ "&amp;TEXT(CFS!F10-IS!F31,"+#,##0;-#,##0"))</f>
        <v>✓</v>
      </c>
      <c r="G125" s="0" t="str">
        <f aca="false">IF(ABS(CFS!G10-IS!H31)&lt;1,"✓","✗ "&amp;TEXT(CFS!G10-IS!H31,"+#,##0;-#,##0"))</f>
        <v>✓</v>
      </c>
      <c r="H125" s="0" t="str">
        <f aca="false">IF(ABS(CFS!H10-IS!I31)&lt;1,"✓","✗ "&amp;TEXT(CFS!H10-IS!I31,"+#,##0;-#,##0"))</f>
        <v>✓</v>
      </c>
      <c r="I125" s="0" t="str">
        <f aca="false">IF(ABS(CFS!I10-IS!J31)&lt;1,"✓","✗ "&amp;TEXT(CFS!I10-IS!J31,"+#,##0;-#,##0"))</f>
        <v>✓</v>
      </c>
      <c r="J125" s="0" t="str">
        <f aca="false">IF(ABS(CFS!J10-IS!K31)&lt;1,"✓","✗ "&amp;TEXT(CFS!J10-IS!K31,"+#,##0;-#,##0"))</f>
        <v>✓</v>
      </c>
    </row>
  </sheetData>
  <mergeCells count="102">
    <mergeCell ref="A1:J1"/>
    <mergeCell ref="A2:J2"/>
    <mergeCell ref="A5:J5"/>
    <mergeCell ref="B6:D6"/>
    <mergeCell ref="F6:G6"/>
    <mergeCell ref="H6:J6"/>
    <mergeCell ref="B7:D7"/>
    <mergeCell ref="F7:G7"/>
    <mergeCell ref="H7:J7"/>
    <mergeCell ref="B8:D8"/>
    <mergeCell ref="F8:G8"/>
    <mergeCell ref="H8:J8"/>
    <mergeCell ref="B9:D9"/>
    <mergeCell ref="F9:G9"/>
    <mergeCell ref="H9:J9"/>
    <mergeCell ref="B10:D10"/>
    <mergeCell ref="F10:G10"/>
    <mergeCell ref="H10:J10"/>
    <mergeCell ref="B11:D11"/>
    <mergeCell ref="F11:G11"/>
    <mergeCell ref="H11:J11"/>
    <mergeCell ref="B12:D12"/>
    <mergeCell ref="F12:G12"/>
    <mergeCell ref="H12:J12"/>
    <mergeCell ref="A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A34:J34"/>
    <mergeCell ref="H35:J35"/>
    <mergeCell ref="H36:J36"/>
    <mergeCell ref="H37:J37"/>
    <mergeCell ref="H38:J38"/>
    <mergeCell ref="H39:J39"/>
    <mergeCell ref="H40:J40"/>
    <mergeCell ref="H41:J41"/>
    <mergeCell ref="H43:J43"/>
    <mergeCell ref="H44:J44"/>
    <mergeCell ref="H45:J45"/>
    <mergeCell ref="H46:J46"/>
    <mergeCell ref="H47:J47"/>
    <mergeCell ref="H48:J48"/>
    <mergeCell ref="H52:J52"/>
    <mergeCell ref="H53:J53"/>
    <mergeCell ref="H54:J54"/>
    <mergeCell ref="H55:J55"/>
    <mergeCell ref="H59:J59"/>
    <mergeCell ref="H60:J60"/>
    <mergeCell ref="H61:J61"/>
    <mergeCell ref="A64:J64"/>
    <mergeCell ref="H65:J65"/>
    <mergeCell ref="H66:J66"/>
    <mergeCell ref="H67:J67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A83:J83"/>
    <mergeCell ref="A85:D85"/>
    <mergeCell ref="E85:J85"/>
    <mergeCell ref="A86:D86"/>
    <mergeCell ref="E86:J86"/>
    <mergeCell ref="A87:D87"/>
    <mergeCell ref="E87:J87"/>
    <mergeCell ref="A88:D88"/>
    <mergeCell ref="E88:J88"/>
    <mergeCell ref="A89:D89"/>
    <mergeCell ref="E89:J89"/>
    <mergeCell ref="A90:D90"/>
    <mergeCell ref="E90:J90"/>
    <mergeCell ref="A91:D91"/>
    <mergeCell ref="E91:J91"/>
    <mergeCell ref="A95:J95"/>
    <mergeCell ref="A96:J96"/>
    <mergeCell ref="A97:J97"/>
    <mergeCell ref="A98:J98"/>
    <mergeCell ref="A99:J99"/>
    <mergeCell ref="A100:J100"/>
    <mergeCell ref="A101:J101"/>
  </mergeCells>
  <hyperlinks>
    <hyperlink ref="H6" r:id="rId1" display="Open 10-K on SEC.gov →"/>
    <hyperlink ref="H7" r:id="rId2" display="Open 10-K on SEC.gov →"/>
    <hyperlink ref="H8" r:id="rId3" display="Open 10-K on SEC.gov →"/>
    <hyperlink ref="H9" r:id="rId4" display="Open Apple PDF →"/>
    <hyperlink ref="H10" r:id="rId5" display="Open Apple PDF →"/>
    <hyperlink ref="H11" r:id="rId6" display="Browse SEC EDGAR →"/>
    <hyperlink ref="H12" r:id="rId7" display="Open Apple IR page →"/>
  </hyperlinks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6868B"/>
    <pageSetUpPr fitToPage="true"/>
  </sheetPr>
  <dimension ref="A1:Z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2" activeCellId="0" sqref="K32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10"/>
    <col collapsed="false" customWidth="true" hidden="false" outlineLevel="0" max="4" min="4" style="0" width="8"/>
    <col collapsed="false" customWidth="true" hidden="false" outlineLevel="0" max="5" min="5" style="0" width="5"/>
    <col collapsed="false" customWidth="true" hidden="false" outlineLevel="0" max="13" min="6" style="0" width="11"/>
    <col collapsed="false" customWidth="true" hidden="false" outlineLevel="0" max="14" min="14" style="0" width="9.18"/>
    <col collapsed="false" customWidth="true" hidden="false" outlineLevel="0" max="26" min="15" style="0" width="7"/>
  </cols>
  <sheetData>
    <row r="1" customFormat="false" ht="6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31.5" hidden="false" customHeight="true" outlineLevel="0" collapsed="false">
      <c r="A2" s="1"/>
      <c r="B2" s="359" t="s">
        <v>622</v>
      </c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59"/>
      <c r="V2" s="359"/>
      <c r="W2" s="359"/>
      <c r="X2" s="359"/>
      <c r="Y2" s="359"/>
      <c r="Z2" s="1"/>
    </row>
    <row r="3" customFormat="false" ht="18" hidden="false" customHeight="true" outlineLevel="0" collapsed="false">
      <c r="A3" s="1"/>
      <c r="B3" s="360" t="s">
        <v>623</v>
      </c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0"/>
      <c r="T3" s="360"/>
      <c r="U3" s="360"/>
      <c r="V3" s="360"/>
      <c r="W3" s="360"/>
      <c r="X3" s="360"/>
      <c r="Y3" s="360"/>
      <c r="Z3" s="1"/>
    </row>
    <row r="4" customFormat="false" ht="6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A5" s="361"/>
      <c r="B5" s="361"/>
      <c r="C5" s="361"/>
      <c r="D5" s="361"/>
      <c r="E5" s="361"/>
      <c r="F5" s="361"/>
      <c r="G5" s="361"/>
      <c r="H5" s="361"/>
      <c r="I5" s="361"/>
      <c r="J5" s="361"/>
      <c r="K5" s="361"/>
      <c r="L5" s="361"/>
      <c r="M5" s="361"/>
      <c r="N5" s="361"/>
      <c r="O5" s="361"/>
      <c r="P5" s="361"/>
      <c r="Q5" s="361"/>
      <c r="R5" s="361"/>
      <c r="S5" s="361"/>
      <c r="T5" s="361"/>
      <c r="U5" s="361"/>
      <c r="V5" s="361"/>
      <c r="W5" s="361"/>
      <c r="X5" s="361"/>
      <c r="Y5" s="361"/>
      <c r="Z5" s="361"/>
    </row>
    <row r="6" customFormat="false" ht="18" hidden="false" customHeight="true" outlineLevel="0" collapsed="false">
      <c r="A6" s="361"/>
      <c r="B6" s="362" t="s">
        <v>624</v>
      </c>
      <c r="C6" s="362"/>
      <c r="D6" s="362"/>
      <c r="E6" s="362"/>
      <c r="F6" s="361"/>
      <c r="G6" s="362" t="s">
        <v>625</v>
      </c>
      <c r="H6" s="362"/>
      <c r="I6" s="362"/>
      <c r="J6" s="362"/>
      <c r="K6" s="362"/>
      <c r="L6" s="361"/>
      <c r="M6" s="361"/>
      <c r="N6" s="361"/>
      <c r="O6" s="361"/>
      <c r="P6" s="361"/>
      <c r="Q6" s="361"/>
      <c r="R6" s="361"/>
      <c r="S6" s="361"/>
      <c r="T6" s="361"/>
      <c r="U6" s="361"/>
      <c r="V6" s="361"/>
      <c r="W6" s="361"/>
      <c r="X6" s="361"/>
      <c r="Y6" s="361"/>
      <c r="Z6" s="361"/>
    </row>
    <row r="7" customFormat="false" ht="31.5" hidden="false" customHeight="true" outlineLevel="0" collapsed="false">
      <c r="A7" s="361"/>
      <c r="B7" s="363" t="s">
        <v>626</v>
      </c>
      <c r="C7" s="363"/>
      <c r="D7" s="363"/>
      <c r="E7" s="363"/>
      <c r="F7" s="361"/>
      <c r="G7" s="364" t="str">
        <f aca="false">IF($B$7="All","9 of 9 (FY21–FY29)",IF($B$7="Actual","5 of 9 (FY21A–FY25A)","4 of 9 (FY26E–FY29E)"))</f>
        <v>9 of 9 (FY21–FY29)</v>
      </c>
      <c r="H7" s="364"/>
      <c r="I7" s="364"/>
      <c r="J7" s="364"/>
      <c r="K7" s="364"/>
      <c r="L7" s="361"/>
      <c r="M7" s="361"/>
      <c r="N7" s="361"/>
      <c r="O7" s="361"/>
      <c r="P7" s="361"/>
      <c r="Q7" s="361"/>
      <c r="R7" s="361"/>
      <c r="S7" s="361"/>
      <c r="T7" s="361"/>
      <c r="U7" s="361"/>
      <c r="V7" s="361"/>
      <c r="W7" s="361"/>
      <c r="X7" s="361"/>
      <c r="Y7" s="361"/>
      <c r="Z7" s="361"/>
    </row>
    <row r="8" customFormat="false" ht="18" hidden="false" customHeight="true" outlineLevel="0" collapsed="false">
      <c r="A8" s="361"/>
      <c r="B8" s="365" t="s">
        <v>627</v>
      </c>
      <c r="C8" s="365"/>
      <c r="D8" s="365"/>
      <c r="E8" s="365"/>
      <c r="F8" s="365"/>
      <c r="G8" s="365"/>
      <c r="H8" s="365"/>
      <c r="I8" s="365"/>
      <c r="J8" s="365"/>
      <c r="K8" s="365"/>
      <c r="L8" s="361"/>
      <c r="M8" s="361"/>
      <c r="N8" s="361"/>
      <c r="O8" s="361"/>
      <c r="P8" s="361"/>
      <c r="Q8" s="361"/>
      <c r="R8" s="361"/>
      <c r="S8" s="361"/>
      <c r="T8" s="361"/>
      <c r="U8" s="361"/>
      <c r="V8" s="361"/>
      <c r="W8" s="361"/>
      <c r="X8" s="361"/>
      <c r="Y8" s="361"/>
      <c r="Z8" s="361"/>
    </row>
    <row r="9" customFormat="false" ht="7.5" hidden="false" customHeight="true" outlineLevel="0" collapsed="false">
      <c r="A9" s="361"/>
      <c r="B9" s="361"/>
      <c r="C9" s="361"/>
      <c r="D9" s="361"/>
      <c r="E9" s="361"/>
      <c r="F9" s="361"/>
      <c r="G9" s="361"/>
      <c r="H9" s="361"/>
      <c r="I9" s="361"/>
      <c r="J9" s="361"/>
      <c r="K9" s="361"/>
      <c r="L9" s="361"/>
      <c r="M9" s="361"/>
      <c r="N9" s="361"/>
      <c r="O9" s="361"/>
      <c r="P9" s="361"/>
      <c r="Q9" s="361"/>
      <c r="R9" s="361"/>
      <c r="S9" s="361"/>
      <c r="T9" s="361"/>
      <c r="U9" s="361"/>
      <c r="V9" s="361"/>
      <c r="W9" s="361"/>
      <c r="X9" s="361"/>
      <c r="Y9" s="361"/>
      <c r="Z9" s="361"/>
    </row>
    <row r="10" customFormat="false" ht="15" hidden="false" customHeight="true" outlineLevel="0" collapsed="false">
      <c r="A10" s="361"/>
      <c r="B10" s="361"/>
      <c r="C10" s="361"/>
      <c r="D10" s="361"/>
      <c r="E10" s="361"/>
      <c r="F10" s="361"/>
      <c r="G10" s="361"/>
      <c r="H10" s="361"/>
      <c r="I10" s="361"/>
      <c r="J10" s="361"/>
      <c r="K10" s="361"/>
      <c r="L10" s="361"/>
      <c r="M10" s="361"/>
      <c r="N10" s="361"/>
      <c r="O10" s="361"/>
      <c r="P10" s="361"/>
      <c r="Q10" s="361"/>
      <c r="R10" s="361"/>
      <c r="S10" s="361"/>
      <c r="T10" s="361"/>
      <c r="U10" s="361"/>
      <c r="V10" s="361"/>
      <c r="W10" s="361"/>
      <c r="X10" s="361"/>
      <c r="Y10" s="361"/>
      <c r="Z10" s="361"/>
    </row>
    <row r="11" customFormat="false" ht="24" hidden="false" customHeight="true" outlineLevel="0" collapsed="false">
      <c r="A11" s="361"/>
      <c r="B11" s="366" t="s">
        <v>628</v>
      </c>
      <c r="C11" s="366"/>
      <c r="D11" s="366"/>
      <c r="E11" s="366"/>
      <c r="F11" s="366"/>
      <c r="G11" s="366"/>
      <c r="H11" s="366"/>
      <c r="I11" s="366"/>
      <c r="J11" s="366"/>
      <c r="K11" s="366"/>
      <c r="L11" s="366"/>
      <c r="M11" s="366"/>
      <c r="N11" s="366"/>
      <c r="O11" s="366"/>
      <c r="P11" s="366"/>
      <c r="Q11" s="366"/>
      <c r="R11" s="366"/>
      <c r="S11" s="366"/>
      <c r="T11" s="366"/>
      <c r="U11" s="366"/>
      <c r="V11" s="366"/>
      <c r="W11" s="366"/>
      <c r="X11" s="366"/>
      <c r="Y11" s="366"/>
      <c r="Z11" s="366"/>
    </row>
    <row r="12" customFormat="false" ht="21.75" hidden="false" customHeight="true" outlineLevel="0" collapsed="false">
      <c r="A12" s="361"/>
      <c r="B12" s="367" t="s">
        <v>328</v>
      </c>
      <c r="C12" s="367"/>
      <c r="D12" s="367"/>
      <c r="E12" s="367"/>
      <c r="F12" s="368" t="s">
        <v>139</v>
      </c>
      <c r="G12" s="368" t="s">
        <v>140</v>
      </c>
      <c r="H12" s="368" t="s">
        <v>141</v>
      </c>
      <c r="I12" s="368" t="s">
        <v>142</v>
      </c>
      <c r="J12" s="368" t="s">
        <v>143</v>
      </c>
      <c r="K12" s="369" t="s">
        <v>144</v>
      </c>
      <c r="L12" s="369" t="s">
        <v>145</v>
      </c>
      <c r="M12" s="369" t="s">
        <v>146</v>
      </c>
      <c r="N12" s="369" t="s">
        <v>147</v>
      </c>
      <c r="O12" s="361"/>
      <c r="P12" s="361"/>
      <c r="Q12" s="361"/>
      <c r="R12" s="361"/>
      <c r="S12" s="361"/>
      <c r="T12" s="361"/>
      <c r="U12" s="361"/>
      <c r="V12" s="361"/>
      <c r="W12" s="361"/>
      <c r="X12" s="361"/>
      <c r="Y12" s="361"/>
      <c r="Z12" s="361"/>
    </row>
    <row r="13" customFormat="false" ht="21.75" hidden="false" customHeight="true" outlineLevel="0" collapsed="false">
      <c r="A13" s="361"/>
      <c r="B13" s="370" t="s">
        <v>277</v>
      </c>
      <c r="C13" s="370"/>
      <c r="D13" s="370"/>
      <c r="E13" s="370"/>
      <c r="F13" s="371" t="n">
        <f aca="false">IF(OR($B$7="All",$B$7="Actual"),IS!B8,NA())</f>
        <v>297392</v>
      </c>
      <c r="G13" s="371" t="n">
        <f aca="false">IF(OR($B$7="All",$B$7="Actual"),IS!C8,NA())</f>
        <v>316199</v>
      </c>
      <c r="H13" s="371" t="n">
        <f aca="false">IF(OR($B$7="All",$B$7="Actual"),IS!D8,NA())</f>
        <v>298085</v>
      </c>
      <c r="I13" s="371" t="n">
        <f aca="false">IF(OR($B$7="All",$B$7="Actual"),IS!E8,NA())</f>
        <v>294866</v>
      </c>
      <c r="J13" s="371" t="n">
        <f aca="false">IF(OR($B$7="All",$B$7="Actual"),IS!F8,NA())</f>
        <v>307003</v>
      </c>
      <c r="K13" s="371" t="n">
        <f aca="false">IF(OR($B$7="All",$B$7="Estimate"),IS!H8,NA())</f>
        <v>316250.16</v>
      </c>
      <c r="L13" s="371" t="n">
        <f aca="false">IF(OR($B$7="All",$B$7="Estimate"),IS!I8,NA())</f>
        <v>325795.701</v>
      </c>
      <c r="M13" s="371" t="n">
        <f aca="false">IF(OR($B$7="All",$B$7="Estimate"),IS!J8,NA())</f>
        <v>335650.004994</v>
      </c>
      <c r="N13" s="372" t="n">
        <f aca="false">IF(OR($B$7="All",$B$7="Estimate"),IS!K8,NA())</f>
        <v>345823.8446091</v>
      </c>
      <c r="O13" s="361"/>
      <c r="P13" s="361"/>
      <c r="Q13" s="361"/>
      <c r="R13" s="361"/>
      <c r="S13" s="361"/>
      <c r="T13" s="361"/>
      <c r="U13" s="361"/>
      <c r="V13" s="361"/>
      <c r="W13" s="361"/>
      <c r="X13" s="361"/>
      <c r="Y13" s="361"/>
      <c r="Z13" s="361"/>
    </row>
    <row r="14" customFormat="false" ht="21.75" hidden="false" customHeight="true" outlineLevel="0" collapsed="false">
      <c r="A14" s="361"/>
      <c r="B14" s="373" t="s">
        <v>532</v>
      </c>
      <c r="C14" s="373"/>
      <c r="D14" s="373"/>
      <c r="E14" s="373"/>
      <c r="F14" s="374" t="n">
        <f aca="false">IF(OR($B$7="All",$B$7="Actual"),IS!B13,NA())</f>
        <v>68425</v>
      </c>
      <c r="G14" s="374" t="n">
        <f aca="false">IF(OR($B$7="All",$B$7="Actual"),IS!C13,NA())</f>
        <v>78129</v>
      </c>
      <c r="H14" s="374" t="n">
        <f aca="false">IF(OR($B$7="All",$B$7="Actual"),IS!D13,NA())</f>
        <v>85200</v>
      </c>
      <c r="I14" s="374" t="n">
        <f aca="false">IF(OR($B$7="All",$B$7="Actual"),IS!E13,NA())</f>
        <v>96169</v>
      </c>
      <c r="J14" s="374" t="n">
        <f aca="false">IF(OR($B$7="All",$B$7="Actual"),IS!F13,NA())</f>
        <v>109158</v>
      </c>
      <c r="K14" s="374" t="n">
        <f aca="false">IF(OR($B$7="All",$B$7="Estimate"),IS!H13,NA())</f>
        <v>120619.59</v>
      </c>
      <c r="L14" s="374" t="n">
        <f aca="false">IF(OR($B$7="All",$B$7="Estimate"),IS!I13,NA())</f>
        <v>133284.64695</v>
      </c>
      <c r="M14" s="374" t="n">
        <f aca="false">IF(OR($B$7="All",$B$7="Estimate"),IS!J13,NA())</f>
        <v>147279.53487975</v>
      </c>
      <c r="N14" s="374" t="n">
        <f aca="false">IF(OR($B$7="All",$B$7="Estimate"),IS!K13,NA())</f>
        <v>162743.886042124</v>
      </c>
      <c r="O14" s="361"/>
      <c r="P14" s="361"/>
      <c r="Q14" s="361"/>
      <c r="R14" s="361"/>
      <c r="S14" s="361"/>
      <c r="T14" s="361"/>
      <c r="U14" s="361"/>
      <c r="V14" s="361"/>
      <c r="W14" s="361"/>
      <c r="X14" s="361"/>
      <c r="Y14" s="361"/>
      <c r="Z14" s="361"/>
    </row>
    <row r="15" customFormat="false" ht="21.75" hidden="false" customHeight="true" outlineLevel="0" collapsed="false">
      <c r="A15" s="361"/>
      <c r="B15" s="375" t="s">
        <v>279</v>
      </c>
      <c r="C15" s="375"/>
      <c r="D15" s="375"/>
      <c r="E15" s="375"/>
      <c r="F15" s="376" t="n">
        <f aca="false">IF(OR($B$7="All",$B$7="Actual"),IS!B14,NA())</f>
        <v>365817</v>
      </c>
      <c r="G15" s="376" t="n">
        <f aca="false">IF(OR($B$7="All",$B$7="Actual"),IS!C14,NA())</f>
        <v>394328</v>
      </c>
      <c r="H15" s="376" t="n">
        <f aca="false">IF(OR($B$7="All",$B$7="Actual"),IS!D14,NA())</f>
        <v>383285</v>
      </c>
      <c r="I15" s="376" t="n">
        <f aca="false">IF(OR($B$7="All",$B$7="Actual"),IS!E14,NA())</f>
        <v>391035</v>
      </c>
      <c r="J15" s="376" t="n">
        <f aca="false">IF(OR($B$7="All",$B$7="Actual"),IS!F14,NA())</f>
        <v>416161</v>
      </c>
      <c r="K15" s="376" t="n">
        <f aca="false">IF(OR($B$7="All",$B$7="Estimate"),IS!H14,NA())</f>
        <v>436869.75</v>
      </c>
      <c r="L15" s="376" t="n">
        <f aca="false">IF(OR($B$7="All",$B$7="Estimate"),IS!I14,NA())</f>
        <v>459080.34795</v>
      </c>
      <c r="M15" s="376" t="n">
        <f aca="false">IF(OR($B$7="All",$B$7="Estimate"),IS!J14,NA())</f>
        <v>482929.53987375</v>
      </c>
      <c r="N15" s="376" t="n">
        <f aca="false">IF(OR($B$7="All",$B$7="Estimate"),IS!K14,NA())</f>
        <v>508567.730651224</v>
      </c>
      <c r="O15" s="361"/>
      <c r="P15" s="361"/>
      <c r="Q15" s="361"/>
      <c r="R15" s="361"/>
      <c r="S15" s="361"/>
      <c r="T15" s="361"/>
      <c r="U15" s="361"/>
      <c r="V15" s="361"/>
      <c r="W15" s="361"/>
      <c r="X15" s="361"/>
      <c r="Y15" s="361"/>
      <c r="Z15" s="361"/>
    </row>
    <row r="16" customFormat="false" ht="15" hidden="false" customHeight="true" outlineLevel="0" collapsed="false">
      <c r="A16" s="361"/>
      <c r="B16" s="361"/>
      <c r="C16" s="361"/>
      <c r="D16" s="361"/>
      <c r="E16" s="361"/>
      <c r="F16" s="361"/>
      <c r="G16" s="361"/>
      <c r="H16" s="361"/>
      <c r="I16" s="361"/>
      <c r="J16" s="361"/>
      <c r="K16" s="361"/>
      <c r="L16" s="361"/>
      <c r="M16" s="361"/>
      <c r="N16" s="361"/>
      <c r="O16" s="361"/>
      <c r="P16" s="361"/>
      <c r="Q16" s="361"/>
      <c r="R16" s="361"/>
      <c r="S16" s="361"/>
      <c r="T16" s="361"/>
      <c r="U16" s="361"/>
      <c r="V16" s="361"/>
      <c r="W16" s="361"/>
      <c r="X16" s="361"/>
      <c r="Y16" s="361"/>
      <c r="Z16" s="361"/>
    </row>
    <row r="17" customFormat="false" ht="24" hidden="false" customHeight="true" outlineLevel="0" collapsed="false">
      <c r="A17" s="361"/>
      <c r="B17" s="366" t="s">
        <v>629</v>
      </c>
      <c r="C17" s="366"/>
      <c r="D17" s="366"/>
      <c r="E17" s="366"/>
      <c r="F17" s="366"/>
      <c r="G17" s="366"/>
      <c r="H17" s="366"/>
      <c r="I17" s="366"/>
      <c r="J17" s="366"/>
      <c r="K17" s="366"/>
      <c r="L17" s="366"/>
      <c r="M17" s="366"/>
      <c r="N17" s="366"/>
      <c r="O17" s="366"/>
      <c r="P17" s="366"/>
      <c r="Q17" s="366"/>
      <c r="R17" s="366"/>
      <c r="S17" s="366"/>
      <c r="T17" s="366"/>
      <c r="U17" s="366"/>
      <c r="V17" s="366"/>
      <c r="W17" s="366"/>
      <c r="X17" s="366"/>
      <c r="Y17" s="366"/>
      <c r="Z17" s="366"/>
    </row>
    <row r="18" customFormat="false" ht="21.75" hidden="false" customHeight="true" outlineLevel="0" collapsed="false">
      <c r="A18" s="361"/>
      <c r="B18" s="367" t="s">
        <v>328</v>
      </c>
      <c r="C18" s="367"/>
      <c r="D18" s="367"/>
      <c r="E18" s="367"/>
      <c r="F18" s="368" t="s">
        <v>139</v>
      </c>
      <c r="G18" s="368" t="s">
        <v>140</v>
      </c>
      <c r="H18" s="368" t="s">
        <v>141</v>
      </c>
      <c r="I18" s="368" t="s">
        <v>142</v>
      </c>
      <c r="J18" s="368" t="s">
        <v>143</v>
      </c>
      <c r="K18" s="369" t="s">
        <v>144</v>
      </c>
      <c r="L18" s="369" t="s">
        <v>145</v>
      </c>
      <c r="M18" s="369" t="s">
        <v>146</v>
      </c>
      <c r="N18" s="369" t="s">
        <v>147</v>
      </c>
      <c r="O18" s="361"/>
      <c r="P18" s="361"/>
      <c r="Q18" s="361"/>
      <c r="R18" s="361"/>
      <c r="S18" s="361"/>
      <c r="T18" s="361"/>
      <c r="U18" s="361"/>
      <c r="V18" s="361"/>
      <c r="W18" s="361"/>
      <c r="X18" s="361"/>
      <c r="Y18" s="361"/>
      <c r="Z18" s="361"/>
    </row>
    <row r="19" customFormat="false" ht="21.75" hidden="false" customHeight="true" outlineLevel="0" collapsed="false">
      <c r="A19" s="361"/>
      <c r="B19" s="370" t="s">
        <v>394</v>
      </c>
      <c r="C19" s="370"/>
      <c r="D19" s="370"/>
      <c r="E19" s="370"/>
      <c r="F19" s="377" t="n">
        <f aca="false">IF(OR($B$7="All",$B$7="Actual"),Ratios!B7,NA())</f>
        <v>0.417793596251678</v>
      </c>
      <c r="G19" s="377" t="n">
        <f aca="false">IF(OR($B$7="All",$B$7="Actual"),Ratios!C7,NA())</f>
        <v>0.433096305613601</v>
      </c>
      <c r="H19" s="377" t="n">
        <f aca="false">IF(OR($B$7="All",$B$7="Actual"),Ratios!D7,NA())</f>
        <v>0.441311295772076</v>
      </c>
      <c r="I19" s="377" t="n">
        <f aca="false">IF(OR($B$7="All",$B$7="Actual"),Ratios!E7,NA())</f>
        <v>0.462063498152339</v>
      </c>
      <c r="J19" s="377" t="n">
        <f aca="false">IF(OR($B$7="All",$B$7="Actual"),Ratios!F7,NA())</f>
        <v>0.469051641071605</v>
      </c>
      <c r="K19" s="377" t="n">
        <f aca="false">IF(OR($B$7="All",$B$7="Estimate"),Ratios!G7,NA())</f>
        <v>0.477678867900558</v>
      </c>
      <c r="L19" s="377" t="n">
        <f aca="false">IF(OR($B$7="All",$B$7="Estimate"),Ratios!H7,NA())</f>
        <v>0.483228572171775</v>
      </c>
      <c r="M19" s="377" t="n">
        <f aca="false">IF(OR($B$7="All",$B$7="Estimate"),Ratios!I7,NA())</f>
        <v>0.488938714368391</v>
      </c>
      <c r="N19" s="378" t="n">
        <f aca="false">IF(OR($B$7="All",$B$7="Estimate"),Ratios!J7,NA())</f>
        <v>0.494801696472473</v>
      </c>
      <c r="O19" s="361"/>
      <c r="P19" s="361"/>
      <c r="Q19" s="361"/>
      <c r="R19" s="361"/>
      <c r="S19" s="361"/>
      <c r="T19" s="361"/>
      <c r="U19" s="361"/>
      <c r="V19" s="361"/>
      <c r="W19" s="361"/>
      <c r="X19" s="361"/>
      <c r="Y19" s="361"/>
      <c r="Z19" s="361"/>
    </row>
    <row r="20" customFormat="false" ht="21.75" hidden="false" customHeight="true" outlineLevel="0" collapsed="false">
      <c r="A20" s="361"/>
      <c r="B20" s="373" t="s">
        <v>395</v>
      </c>
      <c r="C20" s="373"/>
      <c r="D20" s="373"/>
      <c r="E20" s="373"/>
      <c r="F20" s="379" t="n">
        <f aca="false">IF(OR($B$7="All",$B$7="Actual"),Ratios!B8,NA())</f>
        <v>0.297823775275616</v>
      </c>
      <c r="G20" s="379" t="n">
        <f aca="false">IF(OR($B$7="All",$B$7="Actual"),Ratios!C8,NA())</f>
        <v>0.302887443955286</v>
      </c>
      <c r="H20" s="379" t="n">
        <f aca="false">IF(OR($B$7="All",$B$7="Actual"),Ratios!D8,NA())</f>
        <v>0.298214122650247</v>
      </c>
      <c r="I20" s="379" t="n">
        <f aca="false">IF(OR($B$7="All",$B$7="Actual"),Ratios!E8,NA())</f>
        <v>0.315102228700756</v>
      </c>
      <c r="J20" s="379" t="n">
        <f aca="false">IF(OR($B$7="All",$B$7="Actual"),Ratios!F8,NA())</f>
        <v>0.319707997625919</v>
      </c>
      <c r="K20" s="379" t="n">
        <f aca="false">IF(OR($B$7="All",$B$7="Estimate"),Ratios!G8,NA())</f>
        <v>0.326640039966145</v>
      </c>
      <c r="L20" s="379" t="n">
        <f aca="false">IF(OR($B$7="All",$B$7="Estimate"),Ratios!H8,NA())</f>
        <v>0.330602074244158</v>
      </c>
      <c r="M20" s="379" t="n">
        <f aca="false">IF(OR($B$7="All",$B$7="Estimate"),Ratios!I8,NA())</f>
        <v>0.334840285709772</v>
      </c>
      <c r="N20" s="379" t="n">
        <f aca="false">IF(OR($B$7="All",$B$7="Estimate"),Ratios!J8,NA())</f>
        <v>0.339355017613761</v>
      </c>
      <c r="O20" s="361"/>
      <c r="P20" s="361"/>
      <c r="Q20" s="361"/>
      <c r="R20" s="361"/>
      <c r="S20" s="361"/>
      <c r="T20" s="361"/>
      <c r="U20" s="361"/>
      <c r="V20" s="361"/>
      <c r="W20" s="361"/>
      <c r="X20" s="361"/>
      <c r="Y20" s="361"/>
      <c r="Z20" s="361"/>
    </row>
    <row r="21" customFormat="false" ht="21.75" hidden="false" customHeight="true" outlineLevel="0" collapsed="false">
      <c r="A21" s="361"/>
      <c r="B21" s="370" t="s">
        <v>396</v>
      </c>
      <c r="C21" s="370"/>
      <c r="D21" s="370"/>
      <c r="E21" s="370"/>
      <c r="F21" s="377" t="n">
        <f aca="false">IF(OR($B$7="All",$B$7="Actual"),Ratios!B9,NA())</f>
        <v>0.258817933556942</v>
      </c>
      <c r="G21" s="377" t="n">
        <f aca="false">IF(OR($B$7="All",$B$7="Actual"),Ratios!C9,NA())</f>
        <v>0.253096407051997</v>
      </c>
      <c r="H21" s="377" t="n">
        <f aca="false">IF(OR($B$7="All",$B$7="Actual"),Ratios!D9,NA())</f>
        <v>0.253062342643203</v>
      </c>
      <c r="I21" s="377" t="n">
        <f aca="false">IF(OR($B$7="All",$B$7="Actual"),Ratios!E9,NA())</f>
        <v>0.239712557699439</v>
      </c>
      <c r="J21" s="377" t="n">
        <f aca="false">IF(OR($B$7="All",$B$7="Actual"),Ratios!F9,NA())</f>
        <v>0.269150641218182</v>
      </c>
      <c r="K21" s="377" t="n">
        <f aca="false">IF(OR($B$7="All",$B$7="Estimate"),Ratios!G9,NA())</f>
        <v>0.277644033971224</v>
      </c>
      <c r="L21" s="377" t="n">
        <f aca="false">IF(OR($B$7="All",$B$7="Estimate"),Ratios!H9,NA())</f>
        <v>0.281011763107535</v>
      </c>
      <c r="M21" s="377" t="n">
        <f aca="false">IF(OR($B$7="All",$B$7="Estimate"),Ratios!I9,NA())</f>
        <v>0.284614242853306</v>
      </c>
      <c r="N21" s="378" t="n">
        <f aca="false">IF(OR($B$7="All",$B$7="Estimate"),Ratios!J9,NA())</f>
        <v>0.288451764971697</v>
      </c>
      <c r="O21" s="361"/>
      <c r="P21" s="361"/>
      <c r="Q21" s="361"/>
      <c r="R21" s="361"/>
      <c r="S21" s="361"/>
      <c r="T21" s="361"/>
      <c r="U21" s="361"/>
      <c r="V21" s="361"/>
      <c r="W21" s="361"/>
      <c r="X21" s="361"/>
      <c r="Y21" s="361"/>
      <c r="Z21" s="361"/>
    </row>
    <row r="22" customFormat="false" ht="15" hidden="false" customHeight="true" outlineLevel="0" collapsed="false">
      <c r="A22" s="361"/>
      <c r="B22" s="361"/>
      <c r="C22" s="361"/>
      <c r="D22" s="361"/>
      <c r="E22" s="361"/>
      <c r="F22" s="361"/>
      <c r="G22" s="361"/>
      <c r="H22" s="361"/>
      <c r="I22" s="361"/>
      <c r="J22" s="361"/>
      <c r="K22" s="361"/>
      <c r="L22" s="361"/>
      <c r="M22" s="361"/>
      <c r="N22" s="361"/>
      <c r="O22" s="361"/>
      <c r="P22" s="361"/>
      <c r="Q22" s="361"/>
      <c r="R22" s="361"/>
      <c r="S22" s="361"/>
      <c r="T22" s="361"/>
      <c r="U22" s="361"/>
      <c r="V22" s="361"/>
      <c r="W22" s="361"/>
      <c r="X22" s="361"/>
      <c r="Y22" s="361"/>
      <c r="Z22" s="361"/>
    </row>
    <row r="23" customFormat="false" ht="24" hidden="false" customHeight="true" outlineLevel="0" collapsed="false">
      <c r="A23" s="361"/>
      <c r="B23" s="366" t="s">
        <v>630</v>
      </c>
      <c r="C23" s="366"/>
      <c r="D23" s="366"/>
      <c r="E23" s="366"/>
      <c r="F23" s="366"/>
      <c r="G23" s="366"/>
      <c r="H23" s="366"/>
      <c r="I23" s="366"/>
      <c r="J23" s="366"/>
      <c r="K23" s="366"/>
      <c r="L23" s="366"/>
      <c r="M23" s="366"/>
      <c r="N23" s="366"/>
      <c r="O23" s="366"/>
      <c r="P23" s="366"/>
      <c r="Q23" s="366"/>
      <c r="R23" s="366"/>
      <c r="S23" s="366"/>
      <c r="T23" s="366"/>
      <c r="U23" s="366"/>
      <c r="V23" s="366"/>
      <c r="W23" s="366"/>
      <c r="X23" s="366"/>
      <c r="Y23" s="366"/>
      <c r="Z23" s="366"/>
    </row>
    <row r="24" customFormat="false" ht="21.75" hidden="false" customHeight="true" outlineLevel="0" collapsed="false">
      <c r="A24" s="361"/>
      <c r="B24" s="367" t="s">
        <v>328</v>
      </c>
      <c r="C24" s="367"/>
      <c r="D24" s="367"/>
      <c r="E24" s="367"/>
      <c r="F24" s="368" t="s">
        <v>139</v>
      </c>
      <c r="G24" s="368" t="s">
        <v>140</v>
      </c>
      <c r="H24" s="368" t="s">
        <v>141</v>
      </c>
      <c r="I24" s="368" t="s">
        <v>142</v>
      </c>
      <c r="J24" s="368" t="s">
        <v>143</v>
      </c>
      <c r="K24" s="369" t="s">
        <v>144</v>
      </c>
      <c r="L24" s="369" t="s">
        <v>145</v>
      </c>
      <c r="M24" s="369" t="s">
        <v>146</v>
      </c>
      <c r="N24" s="369" t="s">
        <v>147</v>
      </c>
      <c r="O24" s="361"/>
      <c r="P24" s="361"/>
      <c r="Q24" s="361"/>
      <c r="R24" s="361"/>
      <c r="S24" s="361"/>
      <c r="T24" s="361"/>
      <c r="U24" s="361"/>
      <c r="V24" s="361"/>
      <c r="W24" s="361"/>
      <c r="X24" s="361"/>
      <c r="Y24" s="361"/>
      <c r="Z24" s="361"/>
    </row>
    <row r="25" customFormat="false" ht="21.75" hidden="false" customHeight="true" outlineLevel="0" collapsed="false">
      <c r="A25" s="361"/>
      <c r="B25" s="370" t="s">
        <v>567</v>
      </c>
      <c r="C25" s="370"/>
      <c r="D25" s="370"/>
      <c r="E25" s="370"/>
      <c r="F25" s="371" t="n">
        <f aca="false">IF(OR($B$7="All",$B$7="Actual"),CFS!B14,NA())</f>
        <v>104038</v>
      </c>
      <c r="G25" s="371" t="n">
        <f aca="false">IF(OR($B$7="All",$B$7="Actual"),CFS!C14,NA())</f>
        <v>122151</v>
      </c>
      <c r="H25" s="371" t="n">
        <f aca="false">IF(OR($B$7="All",$B$7="Actual"),CFS!D14,NA())</f>
        <v>110543</v>
      </c>
      <c r="I25" s="371" t="n">
        <f aca="false">IF(OR($B$7="All",$B$7="Actual"),CFS!E14,NA())</f>
        <v>118254</v>
      </c>
      <c r="J25" s="371" t="n">
        <f aca="false">IF(OR($B$7="All",$B$7="Actual"),CFS!F14,NA())</f>
        <v>111482</v>
      </c>
      <c r="K25" s="371" t="n">
        <f aca="false">IF(OR($B$7="All",$B$7="Estimate"),CFS!G14,NA())</f>
        <v>165868.103984331</v>
      </c>
      <c r="L25" s="371" t="n">
        <f aca="false">IF(OR($B$7="All",$B$7="Estimate"),CFS!H14,NA())</f>
        <v>157670.511997017</v>
      </c>
      <c r="M25" s="371" t="n">
        <f aca="false">IF(OR($B$7="All",$B$7="Estimate"),CFS!I14,NA())</f>
        <v>167642.963427696</v>
      </c>
      <c r="N25" s="372" t="n">
        <f aca="false">IF(OR($B$7="All",$B$7="Estimate"),CFS!J14,NA())</f>
        <v>178539.631344768</v>
      </c>
      <c r="O25" s="361"/>
      <c r="P25" s="361"/>
      <c r="Q25" s="361"/>
      <c r="R25" s="361"/>
      <c r="S25" s="361"/>
      <c r="T25" s="361"/>
      <c r="U25" s="361"/>
      <c r="V25" s="361"/>
      <c r="W25" s="361"/>
      <c r="X25" s="361"/>
      <c r="Y25" s="361"/>
      <c r="Z25" s="361"/>
    </row>
    <row r="26" customFormat="false" ht="21.75" hidden="false" customHeight="true" outlineLevel="0" collapsed="false">
      <c r="A26" s="361"/>
      <c r="B26" s="373" t="s">
        <v>377</v>
      </c>
      <c r="C26" s="373"/>
      <c r="D26" s="373"/>
      <c r="E26" s="373"/>
      <c r="F26" s="374" t="n">
        <f aca="false">IF(OR($B$7="All",$B$7="Actual"),CFS!B19,NA())</f>
        <v>-11085</v>
      </c>
      <c r="G26" s="374" t="n">
        <f aca="false">IF(OR($B$7="All",$B$7="Actual"),CFS!C19,NA())</f>
        <v>-10708</v>
      </c>
      <c r="H26" s="374" t="n">
        <f aca="false">IF(OR($B$7="All",$B$7="Actual"),CFS!D19,NA())</f>
        <v>-10959</v>
      </c>
      <c r="I26" s="374" t="n">
        <f aca="false">IF(OR($B$7="All",$B$7="Actual"),CFS!E19,NA())</f>
        <v>-9447</v>
      </c>
      <c r="J26" s="374" t="n">
        <f aca="false">IF(OR($B$7="All",$B$7="Actual"),CFS!F19,NA())</f>
        <v>-12715</v>
      </c>
      <c r="K26" s="374" t="n">
        <f aca="false">IF(OR($B$7="All",$B$7="Estimate"),CFS!G19,NA())</f>
        <v>-12232.353</v>
      </c>
      <c r="L26" s="374" t="n">
        <f aca="false">IF(OR($B$7="All",$B$7="Estimate"),CFS!H19,NA())</f>
        <v>-12854.2497426</v>
      </c>
      <c r="M26" s="374" t="n">
        <f aca="false">IF(OR($B$7="All",$B$7="Estimate"),CFS!I19,NA())</f>
        <v>-13522.027116465</v>
      </c>
      <c r="N26" s="374" t="n">
        <f aca="false">IF(OR($B$7="All",$B$7="Estimate"),CFS!J19,NA())</f>
        <v>-14239.8964582343</v>
      </c>
      <c r="O26" s="361"/>
      <c r="P26" s="361"/>
      <c r="Q26" s="361"/>
      <c r="R26" s="361"/>
      <c r="S26" s="361"/>
      <c r="T26" s="361"/>
      <c r="U26" s="361"/>
      <c r="V26" s="361"/>
      <c r="W26" s="361"/>
      <c r="X26" s="361"/>
      <c r="Y26" s="361"/>
      <c r="Z26" s="361"/>
    </row>
    <row r="27" customFormat="false" ht="21.75" hidden="false" customHeight="true" outlineLevel="0" collapsed="false">
      <c r="A27" s="361"/>
      <c r="B27" s="375" t="s">
        <v>631</v>
      </c>
      <c r="C27" s="375"/>
      <c r="D27" s="375"/>
      <c r="E27" s="375"/>
      <c r="F27" s="376" t="n">
        <f aca="false">IF(OR($B$7="All",$B$7="Actual"),CFS!B21,NA())</f>
        <v>92953</v>
      </c>
      <c r="G27" s="376" t="n">
        <f aca="false">IF(OR($B$7="All",$B$7="Actual"),CFS!C21,NA())</f>
        <v>111443</v>
      </c>
      <c r="H27" s="376" t="n">
        <f aca="false">IF(OR($B$7="All",$B$7="Actual"),CFS!D21,NA())</f>
        <v>99584</v>
      </c>
      <c r="I27" s="376" t="n">
        <f aca="false">IF(OR($B$7="All",$B$7="Actual"),CFS!E21,NA())</f>
        <v>108807</v>
      </c>
      <c r="J27" s="376" t="n">
        <f aca="false">IF(OR($B$7="All",$B$7="Actual"),CFS!F21,NA())</f>
        <v>98767</v>
      </c>
      <c r="K27" s="376" t="n">
        <f aca="false">IF(OR($B$7="All",$B$7="Estimate"),CFS!G21,NA())</f>
        <v>153635.750984331</v>
      </c>
      <c r="L27" s="376" t="n">
        <f aca="false">IF(OR($B$7="All",$B$7="Estimate"),CFS!H21,NA())</f>
        <v>144816.262254417</v>
      </c>
      <c r="M27" s="376" t="n">
        <f aca="false">IF(OR($B$7="All",$B$7="Estimate"),CFS!I21,NA())</f>
        <v>154120.936311231</v>
      </c>
      <c r="N27" s="376" t="n">
        <f aca="false">IF(OR($B$7="All",$B$7="Estimate"),CFS!J21,NA())</f>
        <v>164299.734886534</v>
      </c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Y27" s="361"/>
      <c r="Z27" s="361"/>
    </row>
    <row r="28" customFormat="false" ht="15" hidden="false" customHeight="true" outlineLevel="0" collapsed="false">
      <c r="A28" s="361"/>
      <c r="B28" s="361"/>
      <c r="C28" s="361"/>
      <c r="D28" s="361"/>
      <c r="E28" s="361"/>
      <c r="F28" s="361"/>
      <c r="G28" s="361"/>
      <c r="H28" s="361"/>
      <c r="I28" s="361"/>
      <c r="J28" s="361"/>
      <c r="K28" s="361"/>
      <c r="L28" s="361"/>
      <c r="M28" s="361"/>
      <c r="N28" s="361"/>
      <c r="O28" s="361"/>
      <c r="P28" s="361"/>
      <c r="Q28" s="361"/>
      <c r="R28" s="361"/>
      <c r="S28" s="361"/>
      <c r="T28" s="361"/>
      <c r="U28" s="361"/>
      <c r="V28" s="361"/>
      <c r="W28" s="361"/>
      <c r="X28" s="361"/>
      <c r="Y28" s="361"/>
      <c r="Z28" s="361"/>
    </row>
    <row r="29" customFormat="false" ht="24" hidden="false" customHeight="true" outlineLevel="0" collapsed="false">
      <c r="A29" s="361"/>
      <c r="B29" s="366" t="s">
        <v>632</v>
      </c>
      <c r="C29" s="366"/>
      <c r="D29" s="366"/>
      <c r="E29" s="366"/>
      <c r="F29" s="366"/>
      <c r="G29" s="366"/>
      <c r="H29" s="366"/>
      <c r="I29" s="366"/>
      <c r="J29" s="366"/>
      <c r="K29" s="366"/>
      <c r="L29" s="366"/>
      <c r="M29" s="366"/>
      <c r="N29" s="366"/>
      <c r="O29" s="366"/>
      <c r="P29" s="366"/>
      <c r="Q29" s="366"/>
      <c r="R29" s="366"/>
      <c r="S29" s="366"/>
      <c r="T29" s="366"/>
      <c r="U29" s="366"/>
      <c r="V29" s="366"/>
      <c r="W29" s="366"/>
      <c r="X29" s="366"/>
      <c r="Y29" s="366"/>
      <c r="Z29" s="366"/>
    </row>
    <row r="30" customFormat="false" ht="21.75" hidden="false" customHeight="true" outlineLevel="0" collapsed="false">
      <c r="A30" s="361"/>
      <c r="B30" s="367" t="s">
        <v>328</v>
      </c>
      <c r="C30" s="367"/>
      <c r="D30" s="367"/>
      <c r="E30" s="367"/>
      <c r="F30" s="368" t="s">
        <v>139</v>
      </c>
      <c r="G30" s="368" t="s">
        <v>140</v>
      </c>
      <c r="H30" s="368" t="s">
        <v>141</v>
      </c>
      <c r="I30" s="368" t="s">
        <v>142</v>
      </c>
      <c r="J30" s="368" t="s">
        <v>143</v>
      </c>
      <c r="K30" s="369" t="s">
        <v>144</v>
      </c>
      <c r="L30" s="369" t="s">
        <v>145</v>
      </c>
      <c r="M30" s="369" t="s">
        <v>146</v>
      </c>
      <c r="N30" s="369" t="s">
        <v>147</v>
      </c>
      <c r="O30" s="361"/>
      <c r="P30" s="361"/>
      <c r="Q30" s="361"/>
      <c r="R30" s="361"/>
      <c r="S30" s="361"/>
      <c r="T30" s="361"/>
      <c r="U30" s="361"/>
      <c r="V30" s="361"/>
      <c r="W30" s="361"/>
      <c r="X30" s="361"/>
      <c r="Y30" s="361"/>
      <c r="Z30" s="361"/>
    </row>
    <row r="31" customFormat="false" ht="21.75" hidden="false" customHeight="true" outlineLevel="0" collapsed="false">
      <c r="A31" s="361"/>
      <c r="B31" s="370" t="s">
        <v>381</v>
      </c>
      <c r="C31" s="370"/>
      <c r="D31" s="370"/>
      <c r="E31" s="370"/>
      <c r="F31" s="371" t="n">
        <f aca="false">IF(OR($B$7="All",$B$7="Actual"),CFS!B24,NA())</f>
        <v>-14467</v>
      </c>
      <c r="G31" s="371" t="n">
        <f aca="false">IF(OR($B$7="All",$B$7="Actual"),CFS!C24,NA())</f>
        <v>-14841</v>
      </c>
      <c r="H31" s="371" t="n">
        <f aca="false">IF(OR($B$7="All",$B$7="Actual"),CFS!D24,NA())</f>
        <v>-15025</v>
      </c>
      <c r="I31" s="371" t="n">
        <f aca="false">IF(OR($B$7="All",$B$7="Actual"),CFS!E24,NA())</f>
        <v>-15234</v>
      </c>
      <c r="J31" s="371" t="n">
        <f aca="false">IF(OR($B$7="All",$B$7="Actual"),CFS!F24,NA())</f>
        <v>-15421</v>
      </c>
      <c r="K31" s="371" t="n">
        <f aca="false">IF(OR($B$7="All",$B$7="Estimate"),CFS!G24,NA())</f>
        <v>-21893.0945152672</v>
      </c>
      <c r="L31" s="371" t="n">
        <f aca="false">IF(OR($B$7="All",$B$7="Estimate"),CFS!H24,NA())</f>
        <v>-20636.3173712544</v>
      </c>
      <c r="M31" s="371" t="n">
        <f aca="false">IF(OR($B$7="All",$B$7="Estimate"),CFS!I24,NA())</f>
        <v>-21962.2334243504</v>
      </c>
      <c r="N31" s="371" t="n">
        <f aca="false">IF(OR($B$7="All",$B$7="Estimate"),CFS!J24,NA())</f>
        <v>-23412.7122213311</v>
      </c>
      <c r="O31" s="361"/>
      <c r="P31" s="361"/>
      <c r="Q31" s="361"/>
      <c r="R31" s="361"/>
      <c r="S31" s="361"/>
      <c r="T31" s="361"/>
      <c r="U31" s="361"/>
      <c r="V31" s="361"/>
      <c r="W31" s="361"/>
      <c r="X31" s="361"/>
      <c r="Y31" s="361"/>
      <c r="Z31" s="361"/>
    </row>
    <row r="32" customFormat="false" ht="21.75" hidden="false" customHeight="true" outlineLevel="0" collapsed="false">
      <c r="A32" s="361"/>
      <c r="B32" s="373" t="s">
        <v>382</v>
      </c>
      <c r="C32" s="373"/>
      <c r="D32" s="373"/>
      <c r="E32" s="373"/>
      <c r="F32" s="374" t="n">
        <f aca="false">IF(OR($B$7="All",$B$7="Actual"),CFS!B25,NA())</f>
        <v>-85971</v>
      </c>
      <c r="G32" s="374" t="n">
        <f aca="false">IF(OR($B$7="All",$B$7="Actual"),CFS!C25,NA())</f>
        <v>-89402</v>
      </c>
      <c r="H32" s="374" t="n">
        <f aca="false">IF(OR($B$7="All",$B$7="Actual"),CFS!D25,NA())</f>
        <v>-77550</v>
      </c>
      <c r="I32" s="374" t="n">
        <f aca="false">IF(OR($B$7="All",$B$7="Actual"),CFS!E25,NA())</f>
        <v>-94949</v>
      </c>
      <c r="J32" s="374" t="n">
        <f aca="false">IF(OR($B$7="All",$B$7="Actual"),CFS!F25,NA())</f>
        <v>-90711</v>
      </c>
      <c r="K32" s="374" t="n">
        <f aca="false">IF(OR($B$7="All",$B$7="Estimate"),CFS!G25,NA())</f>
        <v>-124060.868919847</v>
      </c>
      <c r="L32" s="374" t="n">
        <f aca="false">IF(OR($B$7="All",$B$7="Estimate"),CFS!H25,NA())</f>
        <v>-116939.131770442</v>
      </c>
      <c r="M32" s="374" t="n">
        <f aca="false">IF(OR($B$7="All",$B$7="Estimate"),CFS!I25,NA())</f>
        <v>-124452.656071319</v>
      </c>
      <c r="N32" s="374" t="n">
        <f aca="false">IF(OR($B$7="All",$B$7="Estimate"),CFS!J25,NA())</f>
        <v>-132672.035920876</v>
      </c>
      <c r="O32" s="361"/>
      <c r="P32" s="361"/>
      <c r="Q32" s="361"/>
      <c r="R32" s="361"/>
      <c r="S32" s="361"/>
      <c r="T32" s="361"/>
      <c r="U32" s="361"/>
      <c r="V32" s="361"/>
      <c r="W32" s="361"/>
      <c r="X32" s="361"/>
      <c r="Y32" s="361"/>
      <c r="Z32" s="361"/>
    </row>
    <row r="33" customFormat="false" ht="15" hidden="false" customHeight="true" outlineLevel="0" collapsed="false">
      <c r="A33" s="361"/>
      <c r="B33" s="361"/>
      <c r="C33" s="361"/>
      <c r="D33" s="361"/>
      <c r="E33" s="361"/>
      <c r="F33" s="361"/>
      <c r="G33" s="361"/>
      <c r="H33" s="361"/>
      <c r="I33" s="361"/>
      <c r="J33" s="361"/>
      <c r="K33" s="361"/>
      <c r="L33" s="361"/>
      <c r="M33" s="361"/>
      <c r="N33" s="361"/>
      <c r="O33" s="361"/>
      <c r="P33" s="361"/>
      <c r="Q33" s="361"/>
      <c r="R33" s="361"/>
      <c r="S33" s="361"/>
      <c r="T33" s="361"/>
      <c r="U33" s="361"/>
      <c r="V33" s="361"/>
      <c r="W33" s="361"/>
      <c r="X33" s="361"/>
      <c r="Y33" s="361"/>
      <c r="Z33" s="361"/>
    </row>
    <row r="34" customFormat="false" ht="15" hidden="false" customHeight="true" outlineLevel="0" collapsed="false">
      <c r="A34" s="361"/>
      <c r="B34" s="361"/>
      <c r="C34" s="361"/>
      <c r="D34" s="361"/>
      <c r="E34" s="361"/>
      <c r="F34" s="361"/>
      <c r="G34" s="361"/>
      <c r="H34" s="361"/>
      <c r="I34" s="361"/>
      <c r="J34" s="361"/>
      <c r="K34" s="361"/>
      <c r="L34" s="361"/>
      <c r="M34" s="361"/>
      <c r="N34" s="361"/>
      <c r="O34" s="361"/>
      <c r="P34" s="361"/>
      <c r="Q34" s="361"/>
      <c r="R34" s="361"/>
      <c r="S34" s="361"/>
      <c r="T34" s="361"/>
      <c r="U34" s="361"/>
      <c r="V34" s="361"/>
      <c r="W34" s="361"/>
      <c r="X34" s="361"/>
      <c r="Y34" s="361"/>
      <c r="Z34" s="361"/>
    </row>
    <row r="35" customFormat="false" ht="15" hidden="false" customHeight="true" outlineLevel="0" collapsed="false">
      <c r="A35" s="361"/>
      <c r="B35" s="361"/>
      <c r="C35" s="361"/>
      <c r="D35" s="361"/>
      <c r="E35" s="361"/>
      <c r="F35" s="361"/>
      <c r="G35" s="361"/>
      <c r="H35" s="361"/>
      <c r="I35" s="361"/>
      <c r="J35" s="361"/>
      <c r="K35" s="361"/>
      <c r="L35" s="361"/>
      <c r="M35" s="361"/>
      <c r="N35" s="361"/>
      <c r="O35" s="361"/>
      <c r="P35" s="361"/>
      <c r="Q35" s="361"/>
      <c r="R35" s="361"/>
      <c r="S35" s="361"/>
      <c r="T35" s="361"/>
      <c r="U35" s="361"/>
      <c r="V35" s="361"/>
      <c r="W35" s="361"/>
      <c r="X35" s="361"/>
      <c r="Y35" s="361"/>
      <c r="Z35" s="361"/>
    </row>
    <row r="36" customFormat="false" ht="21.75" hidden="false" customHeight="true" outlineLevel="0" collapsed="false">
      <c r="A36" s="1"/>
      <c r="B36" s="380" t="s">
        <v>633</v>
      </c>
      <c r="C36" s="380"/>
      <c r="D36" s="380"/>
      <c r="E36" s="380"/>
      <c r="F36" s="380"/>
      <c r="G36" s="380"/>
      <c r="H36" s="380"/>
      <c r="I36" s="380"/>
      <c r="J36" s="380"/>
      <c r="K36" s="380"/>
      <c r="L36" s="380"/>
      <c r="M36" s="380"/>
      <c r="N36" s="380"/>
      <c r="O36" s="380"/>
      <c r="P36" s="380"/>
      <c r="Q36" s="380"/>
      <c r="R36" s="380"/>
      <c r="S36" s="380"/>
      <c r="T36" s="380"/>
      <c r="U36" s="380"/>
      <c r="V36" s="380"/>
      <c r="W36" s="380"/>
      <c r="X36" s="380"/>
      <c r="Y36" s="380"/>
      <c r="Z36" s="1"/>
    </row>
    <row r="37" customFormat="false" ht="15" hidden="false" customHeight="true" outlineLevel="0" collapsed="false">
      <c r="A37" s="361"/>
      <c r="B37" s="361"/>
      <c r="C37" s="361"/>
      <c r="D37" s="361"/>
      <c r="E37" s="361"/>
      <c r="F37" s="361"/>
      <c r="G37" s="361"/>
      <c r="H37" s="361"/>
      <c r="I37" s="361"/>
      <c r="J37" s="361"/>
      <c r="K37" s="361"/>
      <c r="L37" s="361"/>
      <c r="M37" s="361"/>
      <c r="N37" s="361"/>
      <c r="O37" s="361"/>
      <c r="P37" s="361"/>
      <c r="Q37" s="361"/>
      <c r="R37" s="361"/>
      <c r="S37" s="361"/>
      <c r="T37" s="361"/>
      <c r="U37" s="361"/>
      <c r="V37" s="361"/>
      <c r="W37" s="361"/>
      <c r="X37" s="361"/>
      <c r="Y37" s="361"/>
      <c r="Z37" s="361"/>
    </row>
    <row r="38" customFormat="false" ht="15" hidden="false" customHeight="true" outlineLevel="0" collapsed="false">
      <c r="A38" s="361"/>
      <c r="B38" s="361"/>
      <c r="C38" s="361"/>
      <c r="D38" s="361"/>
      <c r="E38" s="361"/>
      <c r="F38" s="361"/>
      <c r="G38" s="361"/>
      <c r="H38" s="361"/>
      <c r="I38" s="361"/>
      <c r="J38" s="361"/>
      <c r="K38" s="361"/>
      <c r="L38" s="361"/>
      <c r="M38" s="361"/>
      <c r="N38" s="361"/>
      <c r="O38" s="361"/>
      <c r="P38" s="361"/>
      <c r="Q38" s="361"/>
      <c r="R38" s="361"/>
      <c r="S38" s="361"/>
      <c r="T38" s="361"/>
      <c r="U38" s="361"/>
      <c r="V38" s="361"/>
      <c r="W38" s="361"/>
      <c r="X38" s="361"/>
      <c r="Y38" s="361"/>
      <c r="Z38" s="361"/>
    </row>
    <row r="39" customFormat="false" ht="15" hidden="false" customHeight="true" outlineLevel="0" collapsed="false">
      <c r="A39" s="361"/>
      <c r="B39" s="361"/>
      <c r="C39" s="361"/>
      <c r="D39" s="361"/>
      <c r="E39" s="361"/>
      <c r="F39" s="361"/>
      <c r="G39" s="361"/>
      <c r="H39" s="361"/>
      <c r="I39" s="361"/>
      <c r="J39" s="361"/>
      <c r="K39" s="361"/>
      <c r="L39" s="361"/>
      <c r="M39" s="361"/>
      <c r="N39" s="361"/>
      <c r="O39" s="361"/>
      <c r="P39" s="361"/>
      <c r="Q39" s="361"/>
      <c r="R39" s="361"/>
      <c r="S39" s="361"/>
      <c r="T39" s="361"/>
      <c r="U39" s="361"/>
      <c r="V39" s="361"/>
      <c r="W39" s="361"/>
      <c r="X39" s="361"/>
      <c r="Y39" s="361"/>
      <c r="Z39" s="361"/>
    </row>
    <row r="40" customFormat="false" ht="15" hidden="false" customHeight="true" outlineLevel="0" collapsed="false">
      <c r="A40" s="361"/>
      <c r="B40" s="361"/>
      <c r="C40" s="361"/>
      <c r="D40" s="361"/>
      <c r="E40" s="361"/>
      <c r="F40" s="361"/>
      <c r="G40" s="361"/>
      <c r="H40" s="361"/>
      <c r="I40" s="361"/>
      <c r="J40" s="361"/>
      <c r="K40" s="361"/>
      <c r="L40" s="361"/>
      <c r="M40" s="361"/>
      <c r="N40" s="361"/>
      <c r="O40" s="361"/>
      <c r="P40" s="361"/>
      <c r="Q40" s="361"/>
      <c r="R40" s="361"/>
      <c r="S40" s="361"/>
      <c r="T40" s="361"/>
      <c r="U40" s="361"/>
      <c r="V40" s="361"/>
      <c r="W40" s="361"/>
      <c r="X40" s="361"/>
      <c r="Y40" s="361"/>
      <c r="Z40" s="361"/>
    </row>
    <row r="41" customFormat="false" ht="15" hidden="false" customHeight="true" outlineLevel="0" collapsed="false">
      <c r="A41" s="361"/>
      <c r="B41" s="361"/>
      <c r="C41" s="361"/>
      <c r="D41" s="361"/>
      <c r="E41" s="361"/>
      <c r="F41" s="361"/>
      <c r="G41" s="361"/>
      <c r="H41" s="361"/>
      <c r="I41" s="361"/>
      <c r="J41" s="361"/>
      <c r="K41" s="361"/>
      <c r="L41" s="361"/>
      <c r="M41" s="361"/>
      <c r="N41" s="361"/>
      <c r="O41" s="361"/>
      <c r="P41" s="361"/>
      <c r="Q41" s="361"/>
      <c r="R41" s="361"/>
      <c r="S41" s="361"/>
      <c r="T41" s="361"/>
      <c r="U41" s="361"/>
      <c r="V41" s="361"/>
      <c r="W41" s="361"/>
      <c r="X41" s="361"/>
      <c r="Y41" s="361"/>
      <c r="Z41" s="361"/>
    </row>
    <row r="42" customFormat="false" ht="15" hidden="false" customHeight="true" outlineLevel="0" collapsed="false">
      <c r="A42" s="361"/>
      <c r="B42" s="361"/>
      <c r="C42" s="361"/>
      <c r="D42" s="361"/>
      <c r="E42" s="361"/>
      <c r="F42" s="361"/>
      <c r="G42" s="361"/>
      <c r="H42" s="361"/>
      <c r="I42" s="361"/>
      <c r="J42" s="361"/>
      <c r="K42" s="361"/>
      <c r="L42" s="361"/>
      <c r="M42" s="361"/>
      <c r="N42" s="361"/>
      <c r="O42" s="361"/>
      <c r="P42" s="361"/>
      <c r="Q42" s="361"/>
      <c r="R42" s="361"/>
      <c r="S42" s="361"/>
      <c r="T42" s="361"/>
      <c r="U42" s="361"/>
      <c r="V42" s="361"/>
      <c r="W42" s="361"/>
      <c r="X42" s="361"/>
      <c r="Y42" s="361"/>
      <c r="Z42" s="361"/>
    </row>
    <row r="43" customFormat="false" ht="15" hidden="false" customHeight="true" outlineLevel="0" collapsed="false">
      <c r="A43" s="361"/>
      <c r="B43" s="361"/>
      <c r="C43" s="361"/>
      <c r="D43" s="361"/>
      <c r="E43" s="361"/>
      <c r="F43" s="361"/>
      <c r="G43" s="361"/>
      <c r="H43" s="361"/>
      <c r="I43" s="361"/>
      <c r="J43" s="361"/>
      <c r="K43" s="361"/>
      <c r="L43" s="361"/>
      <c r="M43" s="361"/>
      <c r="N43" s="361"/>
      <c r="O43" s="361"/>
      <c r="P43" s="361"/>
      <c r="Q43" s="361"/>
      <c r="R43" s="361"/>
      <c r="S43" s="361"/>
      <c r="T43" s="361"/>
      <c r="U43" s="361"/>
      <c r="V43" s="361"/>
      <c r="W43" s="361"/>
      <c r="X43" s="361"/>
      <c r="Y43" s="361"/>
      <c r="Z43" s="361"/>
    </row>
    <row r="44" customFormat="false" ht="15" hidden="false" customHeight="true" outlineLevel="0" collapsed="false">
      <c r="A44" s="361"/>
      <c r="B44" s="361"/>
      <c r="C44" s="361"/>
      <c r="D44" s="361"/>
      <c r="E44" s="361"/>
      <c r="F44" s="361"/>
      <c r="G44" s="361"/>
      <c r="H44" s="361"/>
      <c r="I44" s="361"/>
      <c r="J44" s="361"/>
      <c r="K44" s="361"/>
      <c r="L44" s="361"/>
      <c r="M44" s="361"/>
      <c r="N44" s="361"/>
      <c r="O44" s="361"/>
      <c r="P44" s="361"/>
      <c r="Q44" s="361"/>
      <c r="R44" s="361"/>
      <c r="S44" s="361"/>
      <c r="T44" s="361"/>
      <c r="U44" s="361"/>
      <c r="V44" s="361"/>
      <c r="W44" s="361"/>
      <c r="X44" s="361"/>
      <c r="Y44" s="361"/>
      <c r="Z44" s="361"/>
    </row>
    <row r="45" customFormat="false" ht="15" hidden="false" customHeight="true" outlineLevel="0" collapsed="false">
      <c r="A45" s="361"/>
      <c r="B45" s="361"/>
      <c r="C45" s="361"/>
      <c r="D45" s="361"/>
      <c r="E45" s="361"/>
      <c r="F45" s="361"/>
      <c r="G45" s="361"/>
      <c r="H45" s="361"/>
      <c r="I45" s="361"/>
      <c r="J45" s="361"/>
      <c r="K45" s="361"/>
      <c r="L45" s="361"/>
      <c r="M45" s="361"/>
      <c r="N45" s="361"/>
      <c r="O45" s="361"/>
      <c r="P45" s="361"/>
      <c r="Q45" s="361"/>
      <c r="R45" s="361"/>
      <c r="S45" s="361"/>
      <c r="T45" s="361"/>
      <c r="U45" s="361"/>
      <c r="V45" s="361"/>
      <c r="W45" s="361"/>
      <c r="X45" s="361"/>
      <c r="Y45" s="361"/>
      <c r="Z45" s="361"/>
    </row>
    <row r="46" customFormat="false" ht="15" hidden="false" customHeight="true" outlineLevel="0" collapsed="false">
      <c r="A46" s="361"/>
      <c r="B46" s="361"/>
      <c r="C46" s="361"/>
      <c r="D46" s="361"/>
      <c r="E46" s="361"/>
      <c r="F46" s="361"/>
      <c r="G46" s="361"/>
      <c r="H46" s="361"/>
      <c r="I46" s="361"/>
      <c r="J46" s="361"/>
      <c r="K46" s="361"/>
      <c r="L46" s="361"/>
      <c r="M46" s="361"/>
      <c r="N46" s="361"/>
      <c r="O46" s="361"/>
      <c r="P46" s="361"/>
      <c r="Q46" s="361"/>
      <c r="R46" s="361"/>
      <c r="S46" s="361"/>
      <c r="T46" s="361"/>
      <c r="U46" s="361"/>
      <c r="V46" s="361"/>
      <c r="W46" s="361"/>
      <c r="X46" s="361"/>
      <c r="Y46" s="361"/>
      <c r="Z46" s="361"/>
    </row>
    <row r="47" customFormat="false" ht="15" hidden="false" customHeight="true" outlineLevel="0" collapsed="false">
      <c r="A47" s="361"/>
      <c r="B47" s="361"/>
      <c r="C47" s="361"/>
      <c r="D47" s="361"/>
      <c r="E47" s="361"/>
      <c r="F47" s="361"/>
      <c r="G47" s="361"/>
      <c r="H47" s="361"/>
      <c r="I47" s="361"/>
      <c r="J47" s="361"/>
      <c r="K47" s="361"/>
      <c r="L47" s="361"/>
      <c r="M47" s="361"/>
      <c r="N47" s="361"/>
      <c r="O47" s="361"/>
      <c r="P47" s="361"/>
      <c r="Q47" s="361"/>
      <c r="R47" s="361"/>
      <c r="S47" s="361"/>
      <c r="T47" s="361"/>
      <c r="U47" s="361"/>
      <c r="V47" s="361"/>
      <c r="W47" s="361"/>
      <c r="X47" s="361"/>
      <c r="Y47" s="361"/>
      <c r="Z47" s="361"/>
    </row>
    <row r="48" customFormat="false" ht="15" hidden="false" customHeight="true" outlineLevel="0" collapsed="false">
      <c r="A48" s="361"/>
      <c r="B48" s="361"/>
      <c r="C48" s="361"/>
      <c r="D48" s="361"/>
      <c r="E48" s="361"/>
      <c r="F48" s="361"/>
      <c r="G48" s="361"/>
      <c r="H48" s="361"/>
      <c r="I48" s="361"/>
      <c r="J48" s="361"/>
      <c r="K48" s="361"/>
      <c r="L48" s="361"/>
      <c r="M48" s="361"/>
      <c r="N48" s="361"/>
      <c r="O48" s="361"/>
      <c r="P48" s="361"/>
      <c r="Q48" s="361"/>
      <c r="R48" s="361"/>
      <c r="S48" s="361"/>
      <c r="T48" s="361"/>
      <c r="U48" s="361"/>
      <c r="V48" s="361"/>
      <c r="W48" s="361"/>
      <c r="X48" s="361"/>
      <c r="Y48" s="361"/>
      <c r="Z48" s="361"/>
    </row>
    <row r="49" customFormat="false" ht="15" hidden="false" customHeight="true" outlineLevel="0" collapsed="false">
      <c r="A49" s="361"/>
      <c r="B49" s="361"/>
      <c r="C49" s="361"/>
      <c r="D49" s="361"/>
      <c r="E49" s="361"/>
      <c r="F49" s="361"/>
      <c r="G49" s="361"/>
      <c r="H49" s="361"/>
      <c r="I49" s="361"/>
      <c r="J49" s="361"/>
      <c r="K49" s="361"/>
      <c r="L49" s="361"/>
      <c r="M49" s="361"/>
      <c r="N49" s="361"/>
      <c r="O49" s="361"/>
      <c r="P49" s="361"/>
      <c r="Q49" s="361"/>
      <c r="R49" s="361"/>
      <c r="S49" s="361"/>
      <c r="T49" s="361"/>
      <c r="U49" s="361"/>
      <c r="V49" s="361"/>
      <c r="W49" s="361"/>
      <c r="X49" s="361"/>
      <c r="Y49" s="361"/>
      <c r="Z49" s="361"/>
    </row>
    <row r="50" customFormat="false" ht="15" hidden="false" customHeight="true" outlineLevel="0" collapsed="false">
      <c r="A50" s="361"/>
      <c r="B50" s="361"/>
      <c r="C50" s="361"/>
      <c r="D50" s="361"/>
      <c r="E50" s="361"/>
      <c r="F50" s="361"/>
      <c r="G50" s="361"/>
      <c r="H50" s="361"/>
      <c r="I50" s="361"/>
      <c r="J50" s="361"/>
      <c r="K50" s="361"/>
      <c r="L50" s="361"/>
      <c r="M50" s="361"/>
      <c r="N50" s="361"/>
      <c r="O50" s="361"/>
      <c r="P50" s="361"/>
      <c r="Q50" s="361"/>
      <c r="R50" s="361"/>
      <c r="S50" s="361"/>
      <c r="T50" s="361"/>
      <c r="U50" s="361"/>
      <c r="V50" s="361"/>
      <c r="W50" s="361"/>
      <c r="X50" s="361"/>
      <c r="Y50" s="361"/>
      <c r="Z50" s="361"/>
    </row>
    <row r="51" customFormat="false" ht="15" hidden="false" customHeight="true" outlineLevel="0" collapsed="false">
      <c r="A51" s="361"/>
      <c r="B51" s="361"/>
      <c r="C51" s="361"/>
      <c r="D51" s="361"/>
      <c r="E51" s="361"/>
      <c r="F51" s="361"/>
      <c r="G51" s="361"/>
      <c r="H51" s="361"/>
      <c r="I51" s="361"/>
      <c r="J51" s="361"/>
      <c r="K51" s="361"/>
      <c r="L51" s="361"/>
      <c r="M51" s="361"/>
      <c r="N51" s="361"/>
      <c r="O51" s="361"/>
      <c r="P51" s="361"/>
      <c r="Q51" s="361"/>
      <c r="R51" s="361"/>
      <c r="S51" s="361"/>
      <c r="T51" s="361"/>
      <c r="U51" s="361"/>
      <c r="V51" s="361"/>
      <c r="W51" s="361"/>
      <c r="X51" s="361"/>
      <c r="Y51" s="361"/>
      <c r="Z51" s="361"/>
    </row>
    <row r="52" customFormat="false" ht="15" hidden="false" customHeight="true" outlineLevel="0" collapsed="false">
      <c r="A52" s="361"/>
      <c r="B52" s="361"/>
      <c r="C52" s="361"/>
      <c r="D52" s="361"/>
      <c r="E52" s="361"/>
      <c r="F52" s="361"/>
      <c r="G52" s="361"/>
      <c r="H52" s="361"/>
      <c r="I52" s="361"/>
      <c r="J52" s="361"/>
      <c r="K52" s="361"/>
      <c r="L52" s="361"/>
      <c r="M52" s="361"/>
      <c r="N52" s="361"/>
      <c r="O52" s="361"/>
      <c r="P52" s="361"/>
      <c r="Q52" s="361"/>
      <c r="R52" s="361"/>
      <c r="S52" s="361"/>
      <c r="T52" s="361"/>
      <c r="U52" s="361"/>
      <c r="V52" s="361"/>
      <c r="W52" s="361"/>
      <c r="X52" s="361"/>
      <c r="Y52" s="361"/>
      <c r="Z52" s="361"/>
    </row>
    <row r="53" customFormat="false" ht="15" hidden="false" customHeight="true" outlineLevel="0" collapsed="false">
      <c r="A53" s="361"/>
      <c r="B53" s="361"/>
      <c r="C53" s="361"/>
      <c r="D53" s="361"/>
      <c r="E53" s="361"/>
      <c r="F53" s="361"/>
      <c r="G53" s="361"/>
      <c r="H53" s="361"/>
      <c r="I53" s="361"/>
      <c r="J53" s="361"/>
      <c r="K53" s="361"/>
      <c r="L53" s="361"/>
      <c r="M53" s="361"/>
      <c r="N53" s="361"/>
      <c r="O53" s="361"/>
      <c r="P53" s="361"/>
      <c r="Q53" s="361"/>
      <c r="R53" s="361"/>
      <c r="S53" s="361"/>
      <c r="T53" s="361"/>
      <c r="U53" s="361"/>
      <c r="V53" s="361"/>
      <c r="W53" s="361"/>
      <c r="X53" s="361"/>
      <c r="Y53" s="361"/>
      <c r="Z53" s="361"/>
    </row>
    <row r="54" customFormat="false" ht="15" hidden="false" customHeight="true" outlineLevel="0" collapsed="false">
      <c r="A54" s="361"/>
      <c r="B54" s="361"/>
      <c r="C54" s="361"/>
      <c r="D54" s="361"/>
      <c r="E54" s="361"/>
      <c r="F54" s="361"/>
      <c r="G54" s="361"/>
      <c r="H54" s="361"/>
      <c r="I54" s="361"/>
      <c r="J54" s="361"/>
      <c r="K54" s="361"/>
      <c r="L54" s="361"/>
      <c r="M54" s="361"/>
      <c r="N54" s="361"/>
      <c r="O54" s="361"/>
      <c r="P54" s="361"/>
      <c r="Q54" s="361"/>
      <c r="R54" s="361"/>
      <c r="S54" s="361"/>
      <c r="T54" s="361"/>
      <c r="U54" s="361"/>
      <c r="V54" s="361"/>
      <c r="W54" s="361"/>
      <c r="X54" s="361"/>
      <c r="Y54" s="361"/>
      <c r="Z54" s="361"/>
    </row>
    <row r="55" customFormat="false" ht="15" hidden="false" customHeight="true" outlineLevel="0" collapsed="false">
      <c r="A55" s="361"/>
      <c r="B55" s="361"/>
      <c r="C55" s="361"/>
      <c r="D55" s="361"/>
      <c r="E55" s="361"/>
      <c r="F55" s="361"/>
      <c r="G55" s="361"/>
      <c r="H55" s="361"/>
      <c r="I55" s="361"/>
      <c r="J55" s="361"/>
      <c r="K55" s="361"/>
      <c r="L55" s="361"/>
      <c r="M55" s="361"/>
      <c r="N55" s="361"/>
      <c r="O55" s="361"/>
      <c r="P55" s="361"/>
      <c r="Q55" s="361"/>
      <c r="R55" s="361"/>
      <c r="S55" s="361"/>
      <c r="T55" s="361"/>
      <c r="U55" s="361"/>
      <c r="V55" s="361"/>
      <c r="W55" s="361"/>
      <c r="X55" s="361"/>
      <c r="Y55" s="361"/>
      <c r="Z55" s="361"/>
    </row>
    <row r="56" customFormat="false" ht="15" hidden="false" customHeight="true" outlineLevel="0" collapsed="false">
      <c r="A56" s="361"/>
      <c r="B56" s="361"/>
      <c r="C56" s="361"/>
      <c r="D56" s="361"/>
      <c r="E56" s="361"/>
      <c r="F56" s="361"/>
      <c r="G56" s="361"/>
      <c r="H56" s="361"/>
      <c r="I56" s="361"/>
      <c r="J56" s="361"/>
      <c r="K56" s="361"/>
      <c r="L56" s="361"/>
      <c r="M56" s="361"/>
      <c r="N56" s="361"/>
      <c r="O56" s="361"/>
      <c r="P56" s="361"/>
      <c r="Q56" s="361"/>
      <c r="R56" s="361"/>
      <c r="S56" s="361"/>
      <c r="T56" s="361"/>
      <c r="U56" s="361"/>
      <c r="V56" s="361"/>
      <c r="W56" s="361"/>
      <c r="X56" s="361"/>
      <c r="Y56" s="361"/>
      <c r="Z56" s="361"/>
    </row>
    <row r="57" customFormat="false" ht="15" hidden="false" customHeight="true" outlineLevel="0" collapsed="false">
      <c r="A57" s="361"/>
      <c r="B57" s="361"/>
      <c r="C57" s="361"/>
      <c r="D57" s="361"/>
      <c r="E57" s="361"/>
      <c r="F57" s="361"/>
      <c r="G57" s="361"/>
      <c r="H57" s="361"/>
      <c r="I57" s="361"/>
      <c r="J57" s="361"/>
      <c r="K57" s="361"/>
      <c r="L57" s="361"/>
      <c r="M57" s="361"/>
      <c r="N57" s="361"/>
      <c r="O57" s="361"/>
      <c r="P57" s="361"/>
      <c r="Q57" s="361"/>
      <c r="R57" s="361"/>
      <c r="S57" s="361"/>
      <c r="T57" s="361"/>
      <c r="U57" s="361"/>
      <c r="V57" s="361"/>
      <c r="W57" s="361"/>
      <c r="X57" s="361"/>
      <c r="Y57" s="361"/>
      <c r="Z57" s="361"/>
    </row>
    <row r="58" customFormat="false" ht="15" hidden="false" customHeight="true" outlineLevel="0" collapsed="false">
      <c r="A58" s="361"/>
      <c r="B58" s="361"/>
      <c r="C58" s="361"/>
      <c r="D58" s="361"/>
      <c r="E58" s="361"/>
      <c r="F58" s="361"/>
      <c r="G58" s="361"/>
      <c r="H58" s="361"/>
      <c r="I58" s="361"/>
      <c r="J58" s="361"/>
      <c r="K58" s="361"/>
      <c r="L58" s="361"/>
      <c r="M58" s="361"/>
      <c r="N58" s="361"/>
      <c r="O58" s="361"/>
      <c r="P58" s="361"/>
      <c r="Q58" s="361"/>
      <c r="R58" s="361"/>
      <c r="S58" s="361"/>
      <c r="T58" s="361"/>
      <c r="U58" s="361"/>
      <c r="V58" s="361"/>
      <c r="W58" s="361"/>
      <c r="X58" s="361"/>
      <c r="Y58" s="361"/>
      <c r="Z58" s="361"/>
    </row>
    <row r="59" customFormat="false" ht="15" hidden="false" customHeight="true" outlineLevel="0" collapsed="false">
      <c r="A59" s="361"/>
      <c r="B59" s="361"/>
      <c r="C59" s="361"/>
      <c r="D59" s="361"/>
      <c r="E59" s="361"/>
      <c r="F59" s="361"/>
      <c r="G59" s="361"/>
      <c r="H59" s="361"/>
      <c r="I59" s="361"/>
      <c r="J59" s="361"/>
      <c r="K59" s="361"/>
      <c r="L59" s="361"/>
      <c r="M59" s="361"/>
      <c r="N59" s="361"/>
      <c r="O59" s="361"/>
      <c r="P59" s="361"/>
      <c r="Q59" s="361"/>
      <c r="R59" s="361"/>
      <c r="S59" s="361"/>
      <c r="T59" s="361"/>
      <c r="U59" s="361"/>
      <c r="V59" s="361"/>
      <c r="W59" s="361"/>
      <c r="X59" s="361"/>
      <c r="Y59" s="361"/>
      <c r="Z59" s="361"/>
    </row>
    <row r="60" customFormat="false" ht="15" hidden="false" customHeight="true" outlineLevel="0" collapsed="false">
      <c r="A60" s="361"/>
      <c r="B60" s="361"/>
      <c r="C60" s="361"/>
      <c r="D60" s="361"/>
      <c r="E60" s="361"/>
      <c r="F60" s="361"/>
      <c r="G60" s="361"/>
      <c r="H60" s="361"/>
      <c r="I60" s="361"/>
      <c r="J60" s="361"/>
      <c r="K60" s="361"/>
      <c r="L60" s="361"/>
      <c r="M60" s="361"/>
      <c r="N60" s="361"/>
      <c r="O60" s="361"/>
      <c r="P60" s="361"/>
      <c r="Q60" s="361"/>
      <c r="R60" s="361"/>
      <c r="S60" s="361"/>
      <c r="T60" s="361"/>
      <c r="U60" s="361"/>
      <c r="V60" s="361"/>
      <c r="W60" s="361"/>
      <c r="X60" s="361"/>
      <c r="Y60" s="361"/>
      <c r="Z60" s="361"/>
    </row>
    <row r="61" customFormat="false" ht="15" hidden="false" customHeight="true" outlineLevel="0" collapsed="false">
      <c r="A61" s="361"/>
      <c r="B61" s="361"/>
      <c r="C61" s="361"/>
      <c r="D61" s="361"/>
      <c r="E61" s="361"/>
      <c r="F61" s="361"/>
      <c r="G61" s="361"/>
      <c r="H61" s="361"/>
      <c r="I61" s="361"/>
      <c r="J61" s="361"/>
      <c r="K61" s="361"/>
      <c r="L61" s="361"/>
      <c r="M61" s="361"/>
      <c r="N61" s="361"/>
      <c r="O61" s="361"/>
      <c r="P61" s="361"/>
      <c r="Q61" s="361"/>
      <c r="R61" s="361"/>
      <c r="S61" s="361"/>
      <c r="T61" s="361"/>
      <c r="U61" s="361"/>
      <c r="V61" s="361"/>
      <c r="W61" s="361"/>
      <c r="X61" s="361"/>
      <c r="Y61" s="361"/>
      <c r="Z61" s="361"/>
    </row>
    <row r="62" customFormat="false" ht="15" hidden="false" customHeight="true" outlineLevel="0" collapsed="false">
      <c r="A62" s="361"/>
      <c r="B62" s="361"/>
      <c r="C62" s="361"/>
      <c r="D62" s="361"/>
      <c r="E62" s="361"/>
      <c r="F62" s="361"/>
      <c r="G62" s="361"/>
      <c r="H62" s="361"/>
      <c r="I62" s="361"/>
      <c r="J62" s="361"/>
      <c r="K62" s="361"/>
      <c r="L62" s="361"/>
      <c r="M62" s="361"/>
      <c r="N62" s="361"/>
      <c r="O62" s="361"/>
      <c r="P62" s="361"/>
      <c r="Q62" s="361"/>
      <c r="R62" s="361"/>
      <c r="S62" s="361"/>
      <c r="T62" s="361"/>
      <c r="U62" s="361"/>
      <c r="V62" s="361"/>
      <c r="W62" s="361"/>
      <c r="X62" s="361"/>
      <c r="Y62" s="361"/>
      <c r="Z62" s="361"/>
    </row>
    <row r="63" customFormat="false" ht="15" hidden="false" customHeight="true" outlineLevel="0" collapsed="false">
      <c r="A63" s="361"/>
      <c r="B63" s="361"/>
      <c r="C63" s="361"/>
      <c r="D63" s="361"/>
      <c r="E63" s="361"/>
      <c r="F63" s="361"/>
      <c r="G63" s="361"/>
      <c r="H63" s="361"/>
      <c r="I63" s="361"/>
      <c r="J63" s="361"/>
      <c r="K63" s="361"/>
      <c r="L63" s="361"/>
      <c r="M63" s="361"/>
      <c r="N63" s="361"/>
      <c r="O63" s="361"/>
      <c r="P63" s="361"/>
      <c r="Q63" s="361"/>
      <c r="R63" s="361"/>
      <c r="S63" s="361"/>
      <c r="T63" s="361"/>
      <c r="U63" s="361"/>
      <c r="V63" s="361"/>
      <c r="W63" s="361"/>
      <c r="X63" s="361"/>
      <c r="Y63" s="361"/>
      <c r="Z63" s="361"/>
    </row>
    <row r="64" customFormat="false" ht="15" hidden="false" customHeight="true" outlineLevel="0" collapsed="false">
      <c r="A64" s="361"/>
      <c r="B64" s="361"/>
      <c r="C64" s="361"/>
      <c r="D64" s="361"/>
      <c r="E64" s="361"/>
      <c r="F64" s="361"/>
      <c r="G64" s="361"/>
      <c r="H64" s="361"/>
      <c r="I64" s="361"/>
      <c r="J64" s="361"/>
      <c r="K64" s="361"/>
      <c r="L64" s="361"/>
      <c r="M64" s="361"/>
      <c r="N64" s="361"/>
      <c r="O64" s="361"/>
      <c r="P64" s="361"/>
      <c r="Q64" s="361"/>
      <c r="R64" s="361"/>
      <c r="S64" s="361"/>
      <c r="T64" s="361"/>
      <c r="U64" s="361"/>
      <c r="V64" s="361"/>
      <c r="W64" s="361"/>
      <c r="X64" s="361"/>
      <c r="Y64" s="361"/>
      <c r="Z64" s="361"/>
    </row>
    <row r="65" customFormat="false" ht="15" hidden="false" customHeight="true" outlineLevel="0" collapsed="false">
      <c r="A65" s="361"/>
      <c r="B65" s="361"/>
      <c r="C65" s="361"/>
      <c r="D65" s="361"/>
      <c r="E65" s="361"/>
      <c r="F65" s="361"/>
      <c r="G65" s="361"/>
      <c r="H65" s="361"/>
      <c r="I65" s="361"/>
      <c r="J65" s="361"/>
      <c r="K65" s="361"/>
      <c r="L65" s="361"/>
      <c r="M65" s="361"/>
      <c r="N65" s="361"/>
      <c r="O65" s="361"/>
      <c r="P65" s="361"/>
      <c r="Q65" s="361"/>
      <c r="R65" s="361"/>
      <c r="S65" s="361"/>
      <c r="T65" s="361"/>
      <c r="U65" s="361"/>
      <c r="V65" s="361"/>
      <c r="W65" s="361"/>
      <c r="X65" s="361"/>
      <c r="Y65" s="361"/>
      <c r="Z65" s="361"/>
    </row>
    <row r="66" customFormat="false" ht="15" hidden="false" customHeight="true" outlineLevel="0" collapsed="false">
      <c r="A66" s="361"/>
      <c r="B66" s="361"/>
      <c r="C66" s="361"/>
      <c r="D66" s="361"/>
      <c r="E66" s="361"/>
      <c r="F66" s="361"/>
      <c r="G66" s="361"/>
      <c r="H66" s="361"/>
      <c r="I66" s="361"/>
      <c r="J66" s="361"/>
      <c r="K66" s="361"/>
      <c r="L66" s="361"/>
      <c r="M66" s="361"/>
      <c r="N66" s="361"/>
      <c r="O66" s="361"/>
      <c r="P66" s="361"/>
      <c r="Q66" s="361"/>
      <c r="R66" s="361"/>
      <c r="S66" s="361"/>
      <c r="T66" s="361"/>
      <c r="U66" s="361"/>
      <c r="V66" s="361"/>
      <c r="W66" s="361"/>
      <c r="X66" s="361"/>
      <c r="Y66" s="361"/>
      <c r="Z66" s="361"/>
    </row>
    <row r="67" customFormat="false" ht="15" hidden="false" customHeight="true" outlineLevel="0" collapsed="false">
      <c r="A67" s="361"/>
      <c r="B67" s="361"/>
      <c r="C67" s="361"/>
      <c r="D67" s="361"/>
      <c r="E67" s="361"/>
      <c r="F67" s="361"/>
      <c r="G67" s="361"/>
      <c r="H67" s="361"/>
      <c r="I67" s="361"/>
      <c r="J67" s="361"/>
      <c r="K67" s="361"/>
      <c r="L67" s="361"/>
      <c r="M67" s="361"/>
      <c r="N67" s="361"/>
      <c r="O67" s="361"/>
      <c r="P67" s="361"/>
      <c r="Q67" s="361"/>
      <c r="R67" s="361"/>
      <c r="S67" s="361"/>
      <c r="T67" s="361"/>
      <c r="U67" s="361"/>
      <c r="V67" s="361"/>
      <c r="W67" s="361"/>
      <c r="X67" s="361"/>
      <c r="Y67" s="361"/>
      <c r="Z67" s="361"/>
    </row>
    <row r="68" customFormat="false" ht="15" hidden="false" customHeight="true" outlineLevel="0" collapsed="false">
      <c r="A68" s="361"/>
      <c r="B68" s="361"/>
      <c r="C68" s="361"/>
      <c r="D68" s="361"/>
      <c r="E68" s="361"/>
      <c r="F68" s="361"/>
      <c r="G68" s="361"/>
      <c r="H68" s="361"/>
      <c r="I68" s="361"/>
      <c r="J68" s="361"/>
      <c r="K68" s="361"/>
      <c r="L68" s="361"/>
      <c r="M68" s="361"/>
      <c r="N68" s="361"/>
      <c r="O68" s="361"/>
      <c r="P68" s="361"/>
      <c r="Q68" s="361"/>
      <c r="R68" s="361"/>
      <c r="S68" s="361"/>
      <c r="T68" s="361"/>
      <c r="U68" s="361"/>
      <c r="V68" s="361"/>
      <c r="W68" s="361"/>
      <c r="X68" s="361"/>
      <c r="Y68" s="361"/>
      <c r="Z68" s="361"/>
    </row>
    <row r="69" customFormat="false" ht="15" hidden="false" customHeight="true" outlineLevel="0" collapsed="false">
      <c r="A69" s="361"/>
      <c r="B69" s="361"/>
      <c r="C69" s="361"/>
      <c r="D69" s="361"/>
      <c r="E69" s="361"/>
      <c r="F69" s="361"/>
      <c r="G69" s="361"/>
      <c r="H69" s="361"/>
      <c r="I69" s="361"/>
      <c r="J69" s="361"/>
      <c r="K69" s="361"/>
      <c r="L69" s="361"/>
      <c r="M69" s="361"/>
      <c r="N69" s="361"/>
      <c r="O69" s="361"/>
      <c r="P69" s="361"/>
      <c r="Q69" s="361"/>
      <c r="R69" s="361"/>
      <c r="S69" s="361"/>
      <c r="T69" s="361"/>
      <c r="U69" s="361"/>
      <c r="V69" s="361"/>
      <c r="W69" s="361"/>
      <c r="X69" s="361"/>
      <c r="Y69" s="361"/>
      <c r="Z69" s="361"/>
    </row>
    <row r="70" customFormat="false" ht="15" hidden="false" customHeight="true" outlineLevel="0" collapsed="false">
      <c r="A70" s="361"/>
      <c r="B70" s="361"/>
      <c r="C70" s="361"/>
      <c r="D70" s="361"/>
      <c r="E70" s="361"/>
      <c r="F70" s="361"/>
      <c r="G70" s="361"/>
      <c r="H70" s="361"/>
      <c r="I70" s="361"/>
      <c r="J70" s="361"/>
      <c r="K70" s="361"/>
      <c r="L70" s="361"/>
      <c r="M70" s="361"/>
      <c r="N70" s="361"/>
      <c r="O70" s="361"/>
      <c r="P70" s="361"/>
      <c r="Q70" s="361"/>
      <c r="R70" s="361"/>
      <c r="S70" s="361"/>
      <c r="T70" s="361"/>
      <c r="U70" s="361"/>
      <c r="V70" s="361"/>
      <c r="W70" s="361"/>
      <c r="X70" s="361"/>
      <c r="Y70" s="361"/>
      <c r="Z70" s="361"/>
    </row>
    <row r="71" customFormat="false" ht="15" hidden="false" customHeight="true" outlineLevel="0" collapsed="false">
      <c r="A71" s="361"/>
      <c r="B71" s="361"/>
      <c r="C71" s="361"/>
      <c r="D71" s="361"/>
      <c r="E71" s="361"/>
      <c r="F71" s="361"/>
      <c r="G71" s="361"/>
      <c r="H71" s="361"/>
      <c r="I71" s="361"/>
      <c r="J71" s="361"/>
      <c r="K71" s="361"/>
      <c r="L71" s="361"/>
      <c r="M71" s="361"/>
      <c r="N71" s="361"/>
      <c r="O71" s="361"/>
      <c r="P71" s="361"/>
      <c r="Q71" s="361"/>
      <c r="R71" s="361"/>
      <c r="S71" s="361"/>
      <c r="T71" s="361"/>
      <c r="U71" s="361"/>
      <c r="V71" s="361"/>
      <c r="W71" s="361"/>
      <c r="X71" s="361"/>
      <c r="Y71" s="361"/>
      <c r="Z71" s="361"/>
    </row>
    <row r="72" customFormat="false" ht="15" hidden="false" customHeight="true" outlineLevel="0" collapsed="false">
      <c r="A72" s="361"/>
      <c r="B72" s="361"/>
      <c r="C72" s="361"/>
      <c r="D72" s="361"/>
      <c r="E72" s="361"/>
      <c r="F72" s="361"/>
      <c r="G72" s="361"/>
      <c r="H72" s="361"/>
      <c r="I72" s="361"/>
      <c r="J72" s="361"/>
      <c r="K72" s="361"/>
      <c r="L72" s="361"/>
      <c r="M72" s="361"/>
      <c r="N72" s="361"/>
      <c r="O72" s="361"/>
      <c r="P72" s="361"/>
      <c r="Q72" s="361"/>
      <c r="R72" s="361"/>
      <c r="S72" s="361"/>
      <c r="T72" s="361"/>
      <c r="U72" s="361"/>
      <c r="V72" s="361"/>
      <c r="W72" s="361"/>
      <c r="X72" s="361"/>
      <c r="Y72" s="361"/>
      <c r="Z72" s="361"/>
    </row>
    <row r="73" customFormat="false" ht="15" hidden="false" customHeight="true" outlineLevel="0" collapsed="false">
      <c r="A73" s="361"/>
      <c r="B73" s="361"/>
      <c r="C73" s="361"/>
      <c r="D73" s="361"/>
      <c r="E73" s="361"/>
      <c r="F73" s="361"/>
      <c r="G73" s="361"/>
      <c r="H73" s="361"/>
      <c r="I73" s="361"/>
      <c r="J73" s="361"/>
      <c r="K73" s="361"/>
      <c r="L73" s="361"/>
      <c r="M73" s="361"/>
      <c r="N73" s="361"/>
      <c r="O73" s="361"/>
      <c r="P73" s="361"/>
      <c r="Q73" s="361"/>
      <c r="R73" s="361"/>
      <c r="S73" s="361"/>
      <c r="T73" s="361"/>
      <c r="U73" s="361"/>
      <c r="V73" s="361"/>
      <c r="W73" s="361"/>
      <c r="X73" s="361"/>
      <c r="Y73" s="361"/>
      <c r="Z73" s="361"/>
    </row>
    <row r="74" customFormat="false" ht="15" hidden="false" customHeight="true" outlineLevel="0" collapsed="false">
      <c r="A74" s="361"/>
      <c r="B74" s="361"/>
      <c r="C74" s="361"/>
      <c r="D74" s="361"/>
      <c r="E74" s="361"/>
      <c r="F74" s="361"/>
      <c r="G74" s="361"/>
      <c r="H74" s="361"/>
      <c r="I74" s="361"/>
      <c r="J74" s="361"/>
      <c r="K74" s="361"/>
      <c r="L74" s="361"/>
      <c r="M74" s="361"/>
      <c r="N74" s="361"/>
      <c r="O74" s="361"/>
      <c r="P74" s="361"/>
      <c r="Q74" s="361"/>
      <c r="R74" s="361"/>
      <c r="S74" s="361"/>
      <c r="T74" s="361"/>
      <c r="U74" s="361"/>
      <c r="V74" s="361"/>
      <c r="W74" s="361"/>
      <c r="X74" s="361"/>
      <c r="Y74" s="361"/>
      <c r="Z74" s="361"/>
    </row>
    <row r="75" customFormat="false" ht="15" hidden="false" customHeight="true" outlineLevel="0" collapsed="false">
      <c r="A75" s="361"/>
      <c r="B75" s="361"/>
      <c r="C75" s="361"/>
      <c r="D75" s="361"/>
      <c r="E75" s="361"/>
      <c r="F75" s="361"/>
      <c r="G75" s="361"/>
      <c r="H75" s="361"/>
      <c r="I75" s="361"/>
      <c r="J75" s="361"/>
      <c r="K75" s="361"/>
      <c r="L75" s="361"/>
      <c r="M75" s="361"/>
      <c r="N75" s="361"/>
      <c r="O75" s="361"/>
      <c r="P75" s="361"/>
      <c r="Q75" s="361"/>
      <c r="R75" s="361"/>
      <c r="S75" s="361"/>
      <c r="T75" s="361"/>
      <c r="U75" s="361"/>
      <c r="V75" s="361"/>
      <c r="W75" s="361"/>
      <c r="X75" s="361"/>
      <c r="Y75" s="361"/>
      <c r="Z75" s="361"/>
    </row>
    <row r="76" customFormat="false" ht="15" hidden="false" customHeight="true" outlineLevel="0" collapsed="false">
      <c r="A76" s="361"/>
      <c r="B76" s="361"/>
      <c r="C76" s="361"/>
      <c r="D76" s="361"/>
      <c r="E76" s="361"/>
      <c r="F76" s="361"/>
      <c r="G76" s="361"/>
      <c r="H76" s="361"/>
      <c r="I76" s="361"/>
      <c r="J76" s="361"/>
      <c r="K76" s="361"/>
      <c r="L76" s="361"/>
      <c r="M76" s="361"/>
      <c r="N76" s="361"/>
      <c r="O76" s="361"/>
      <c r="P76" s="361"/>
      <c r="Q76" s="361"/>
      <c r="R76" s="361"/>
      <c r="S76" s="361"/>
      <c r="T76" s="361"/>
      <c r="U76" s="361"/>
      <c r="V76" s="361"/>
      <c r="W76" s="361"/>
      <c r="X76" s="361"/>
      <c r="Y76" s="361"/>
      <c r="Z76" s="361"/>
    </row>
    <row r="77" customFormat="false" ht="15" hidden="false" customHeight="true" outlineLevel="0" collapsed="false">
      <c r="A77" s="361"/>
      <c r="B77" s="361"/>
      <c r="C77" s="361"/>
      <c r="D77" s="361"/>
      <c r="E77" s="361"/>
      <c r="F77" s="361"/>
      <c r="G77" s="361"/>
      <c r="H77" s="361"/>
      <c r="I77" s="361"/>
      <c r="J77" s="361"/>
      <c r="K77" s="361"/>
      <c r="L77" s="361"/>
      <c r="M77" s="361"/>
      <c r="N77" s="361"/>
      <c r="O77" s="361"/>
      <c r="P77" s="361"/>
      <c r="Q77" s="361"/>
      <c r="R77" s="361"/>
      <c r="S77" s="361"/>
      <c r="T77" s="361"/>
      <c r="U77" s="361"/>
      <c r="V77" s="361"/>
      <c r="W77" s="361"/>
      <c r="X77" s="361"/>
      <c r="Y77" s="361"/>
      <c r="Z77" s="361"/>
    </row>
    <row r="78" customFormat="false" ht="15" hidden="false" customHeight="true" outlineLevel="0" collapsed="false">
      <c r="A78" s="361"/>
      <c r="B78" s="361"/>
      <c r="C78" s="361"/>
      <c r="D78" s="361"/>
      <c r="E78" s="361"/>
      <c r="F78" s="361"/>
      <c r="G78" s="361"/>
      <c r="H78" s="361"/>
      <c r="I78" s="361"/>
      <c r="J78" s="361"/>
      <c r="K78" s="361"/>
      <c r="L78" s="361"/>
      <c r="M78" s="361"/>
      <c r="N78" s="361"/>
      <c r="O78" s="361"/>
      <c r="P78" s="361"/>
      <c r="Q78" s="361"/>
      <c r="R78" s="361"/>
      <c r="S78" s="361"/>
      <c r="T78" s="361"/>
      <c r="U78" s="361"/>
      <c r="V78" s="361"/>
      <c r="W78" s="361"/>
      <c r="X78" s="361"/>
      <c r="Y78" s="361"/>
      <c r="Z78" s="361"/>
    </row>
    <row r="79" customFormat="false" ht="15" hidden="false" customHeight="true" outlineLevel="0" collapsed="false">
      <c r="A79" s="361"/>
      <c r="B79" s="361"/>
      <c r="C79" s="361"/>
      <c r="D79" s="361"/>
      <c r="E79" s="361"/>
      <c r="F79" s="361"/>
      <c r="G79" s="361"/>
      <c r="H79" s="361"/>
      <c r="I79" s="361"/>
      <c r="J79" s="361"/>
      <c r="K79" s="361"/>
      <c r="L79" s="361"/>
      <c r="M79" s="361"/>
      <c r="N79" s="361"/>
      <c r="O79" s="361"/>
      <c r="P79" s="361"/>
      <c r="Q79" s="361"/>
      <c r="R79" s="361"/>
      <c r="S79" s="361"/>
      <c r="T79" s="361"/>
      <c r="U79" s="361"/>
      <c r="V79" s="361"/>
      <c r="W79" s="361"/>
      <c r="X79" s="361"/>
      <c r="Y79" s="361"/>
      <c r="Z79" s="361"/>
    </row>
    <row r="80" customFormat="false" ht="15" hidden="false" customHeight="true" outlineLevel="0" collapsed="false">
      <c r="A80" s="361"/>
      <c r="B80" s="361"/>
      <c r="C80" s="361"/>
      <c r="D80" s="361"/>
      <c r="E80" s="361"/>
      <c r="F80" s="361"/>
      <c r="G80" s="361"/>
      <c r="H80" s="361"/>
      <c r="I80" s="361"/>
      <c r="J80" s="361"/>
      <c r="K80" s="361"/>
      <c r="L80" s="361"/>
      <c r="M80" s="361"/>
      <c r="N80" s="361"/>
      <c r="O80" s="361"/>
      <c r="P80" s="361"/>
      <c r="Q80" s="361"/>
      <c r="R80" s="361"/>
      <c r="S80" s="361"/>
      <c r="T80" s="361"/>
      <c r="U80" s="361"/>
      <c r="V80" s="361"/>
      <c r="W80" s="361"/>
      <c r="X80" s="361"/>
      <c r="Y80" s="361"/>
      <c r="Z80" s="361"/>
    </row>
    <row r="81" customFormat="false" ht="15" hidden="false" customHeight="true" outlineLevel="0" collapsed="false">
      <c r="A81" s="361"/>
      <c r="B81" s="361"/>
      <c r="C81" s="361"/>
      <c r="D81" s="361"/>
      <c r="E81" s="361"/>
      <c r="F81" s="361"/>
      <c r="G81" s="361"/>
      <c r="H81" s="361"/>
      <c r="I81" s="361"/>
      <c r="J81" s="361"/>
      <c r="K81" s="361"/>
      <c r="L81" s="361"/>
      <c r="M81" s="361"/>
      <c r="N81" s="361"/>
      <c r="O81" s="361"/>
      <c r="P81" s="361"/>
      <c r="Q81" s="361"/>
      <c r="R81" s="361"/>
      <c r="S81" s="361"/>
      <c r="T81" s="361"/>
      <c r="U81" s="361"/>
      <c r="V81" s="361"/>
      <c r="W81" s="361"/>
      <c r="X81" s="361"/>
      <c r="Y81" s="361"/>
      <c r="Z81" s="361"/>
    </row>
    <row r="82" customFormat="false" ht="15" hidden="false" customHeight="true" outlineLevel="0" collapsed="false">
      <c r="A82" s="361"/>
      <c r="B82" s="361"/>
      <c r="C82" s="361"/>
      <c r="D82" s="361"/>
      <c r="E82" s="361"/>
      <c r="F82" s="361"/>
      <c r="G82" s="361"/>
      <c r="H82" s="361"/>
      <c r="I82" s="361"/>
      <c r="J82" s="361"/>
      <c r="K82" s="361"/>
      <c r="L82" s="361"/>
      <c r="M82" s="361"/>
      <c r="N82" s="361"/>
      <c r="O82" s="361"/>
      <c r="P82" s="361"/>
      <c r="Q82" s="361"/>
      <c r="R82" s="361"/>
      <c r="S82" s="361"/>
      <c r="T82" s="361"/>
      <c r="U82" s="361"/>
      <c r="V82" s="361"/>
      <c r="W82" s="361"/>
      <c r="X82" s="361"/>
      <c r="Y82" s="361"/>
      <c r="Z82" s="361"/>
    </row>
    <row r="83" customFormat="false" ht="15" hidden="false" customHeight="true" outlineLevel="0" collapsed="false">
      <c r="A83" s="361"/>
      <c r="B83" s="361"/>
      <c r="C83" s="361"/>
      <c r="D83" s="361"/>
      <c r="E83" s="361"/>
      <c r="F83" s="361"/>
      <c r="G83" s="361"/>
      <c r="H83" s="361"/>
      <c r="I83" s="361"/>
      <c r="J83" s="361"/>
      <c r="K83" s="361"/>
      <c r="L83" s="361"/>
      <c r="M83" s="361"/>
      <c r="N83" s="361"/>
      <c r="O83" s="361"/>
      <c r="P83" s="361"/>
      <c r="Q83" s="361"/>
      <c r="R83" s="361"/>
      <c r="S83" s="361"/>
      <c r="T83" s="361"/>
      <c r="U83" s="361"/>
      <c r="V83" s="361"/>
      <c r="W83" s="361"/>
      <c r="X83" s="361"/>
      <c r="Y83" s="361"/>
      <c r="Z83" s="361"/>
    </row>
    <row r="84" customFormat="false" ht="15" hidden="false" customHeight="true" outlineLevel="0" collapsed="false">
      <c r="A84" s="361"/>
      <c r="B84" s="361"/>
      <c r="C84" s="361"/>
      <c r="D84" s="361"/>
      <c r="E84" s="361"/>
      <c r="F84" s="361"/>
      <c r="G84" s="361"/>
      <c r="H84" s="361"/>
      <c r="I84" s="361"/>
      <c r="J84" s="361"/>
      <c r="K84" s="361"/>
      <c r="L84" s="361"/>
      <c r="M84" s="361"/>
      <c r="N84" s="361"/>
      <c r="O84" s="361"/>
      <c r="P84" s="361"/>
      <c r="Q84" s="361"/>
      <c r="R84" s="361"/>
      <c r="S84" s="361"/>
      <c r="T84" s="361"/>
      <c r="U84" s="361"/>
      <c r="V84" s="361"/>
      <c r="W84" s="361"/>
      <c r="X84" s="361"/>
      <c r="Y84" s="361"/>
      <c r="Z84" s="361"/>
    </row>
    <row r="85" customFormat="false" ht="15" hidden="false" customHeight="true" outlineLevel="0" collapsed="false">
      <c r="A85" s="361"/>
      <c r="B85" s="361"/>
      <c r="C85" s="361"/>
      <c r="D85" s="361"/>
      <c r="E85" s="361"/>
      <c r="F85" s="361"/>
      <c r="G85" s="361"/>
      <c r="H85" s="361"/>
      <c r="I85" s="361"/>
      <c r="J85" s="361"/>
      <c r="K85" s="361"/>
      <c r="L85" s="361"/>
      <c r="M85" s="361"/>
      <c r="N85" s="361"/>
      <c r="O85" s="361"/>
      <c r="P85" s="361"/>
      <c r="Q85" s="361"/>
      <c r="R85" s="361"/>
      <c r="S85" s="361"/>
      <c r="T85" s="361"/>
      <c r="U85" s="361"/>
      <c r="V85" s="361"/>
      <c r="W85" s="361"/>
      <c r="X85" s="361"/>
      <c r="Y85" s="361"/>
      <c r="Z85" s="361"/>
    </row>
    <row r="86" customFormat="false" ht="15" hidden="false" customHeight="true" outlineLevel="0" collapsed="false">
      <c r="A86" s="361"/>
      <c r="B86" s="361"/>
      <c r="C86" s="361"/>
      <c r="D86" s="361"/>
      <c r="E86" s="361"/>
      <c r="F86" s="361"/>
      <c r="G86" s="361"/>
      <c r="H86" s="361"/>
      <c r="I86" s="361"/>
      <c r="J86" s="361"/>
      <c r="K86" s="361"/>
      <c r="L86" s="361"/>
      <c r="M86" s="361"/>
      <c r="N86" s="361"/>
      <c r="O86" s="361"/>
      <c r="P86" s="361"/>
      <c r="Q86" s="361"/>
      <c r="R86" s="361"/>
      <c r="S86" s="361"/>
      <c r="T86" s="361"/>
      <c r="U86" s="361"/>
      <c r="V86" s="361"/>
      <c r="W86" s="361"/>
      <c r="X86" s="361"/>
      <c r="Y86" s="361"/>
      <c r="Z86" s="361"/>
    </row>
    <row r="87" customFormat="false" ht="15" hidden="false" customHeight="true" outlineLevel="0" collapsed="false">
      <c r="A87" s="361"/>
      <c r="B87" s="361"/>
      <c r="C87" s="361"/>
      <c r="D87" s="361"/>
      <c r="E87" s="361"/>
      <c r="F87" s="361"/>
      <c r="G87" s="361"/>
      <c r="H87" s="361"/>
      <c r="I87" s="361"/>
      <c r="J87" s="361"/>
      <c r="K87" s="361"/>
      <c r="L87" s="361"/>
      <c r="M87" s="361"/>
      <c r="N87" s="361"/>
      <c r="O87" s="361"/>
      <c r="P87" s="361"/>
      <c r="Q87" s="361"/>
      <c r="R87" s="361"/>
      <c r="S87" s="361"/>
      <c r="T87" s="361"/>
      <c r="U87" s="361"/>
      <c r="V87" s="361"/>
      <c r="W87" s="361"/>
      <c r="X87" s="361"/>
      <c r="Y87" s="361"/>
      <c r="Z87" s="361"/>
    </row>
    <row r="88" customFormat="false" ht="15" hidden="false" customHeight="true" outlineLevel="0" collapsed="false">
      <c r="A88" s="361"/>
      <c r="B88" s="361"/>
      <c r="C88" s="361"/>
      <c r="D88" s="361"/>
      <c r="E88" s="361"/>
      <c r="F88" s="361"/>
      <c r="G88" s="361"/>
      <c r="H88" s="361"/>
      <c r="I88" s="361"/>
      <c r="J88" s="361"/>
      <c r="K88" s="361"/>
      <c r="L88" s="361"/>
      <c r="M88" s="361"/>
      <c r="N88" s="361"/>
      <c r="O88" s="361"/>
      <c r="P88" s="361"/>
      <c r="Q88" s="361"/>
      <c r="R88" s="361"/>
      <c r="S88" s="361"/>
      <c r="T88" s="361"/>
      <c r="U88" s="361"/>
      <c r="V88" s="361"/>
      <c r="W88" s="361"/>
      <c r="X88" s="361"/>
      <c r="Y88" s="361"/>
      <c r="Z88" s="361"/>
    </row>
    <row r="89" customFormat="false" ht="15" hidden="false" customHeight="true" outlineLevel="0" collapsed="false">
      <c r="A89" s="361"/>
      <c r="B89" s="361"/>
      <c r="C89" s="361"/>
      <c r="D89" s="361"/>
      <c r="E89" s="361"/>
      <c r="F89" s="361"/>
      <c r="G89" s="361"/>
      <c r="H89" s="361"/>
      <c r="I89" s="361"/>
      <c r="J89" s="361"/>
      <c r="K89" s="361"/>
      <c r="L89" s="361"/>
      <c r="M89" s="361"/>
      <c r="N89" s="361"/>
      <c r="O89" s="361"/>
      <c r="P89" s="361"/>
      <c r="Q89" s="361"/>
      <c r="R89" s="361"/>
      <c r="S89" s="361"/>
      <c r="T89" s="361"/>
      <c r="U89" s="361"/>
      <c r="V89" s="361"/>
      <c r="W89" s="361"/>
      <c r="X89" s="361"/>
      <c r="Y89" s="361"/>
      <c r="Z89" s="361"/>
    </row>
  </sheetData>
  <mergeCells count="27">
    <mergeCell ref="B2:Y2"/>
    <mergeCell ref="B3:Y3"/>
    <mergeCell ref="B6:E6"/>
    <mergeCell ref="G6:K6"/>
    <mergeCell ref="B7:E7"/>
    <mergeCell ref="G7:K7"/>
    <mergeCell ref="B8:K8"/>
    <mergeCell ref="B11:Z11"/>
    <mergeCell ref="B12:E12"/>
    <mergeCell ref="B13:E13"/>
    <mergeCell ref="B14:E14"/>
    <mergeCell ref="B15:E15"/>
    <mergeCell ref="B17:Z17"/>
    <mergeCell ref="B18:E18"/>
    <mergeCell ref="B19:E19"/>
    <mergeCell ref="B20:E20"/>
    <mergeCell ref="B21:E21"/>
    <mergeCell ref="B23:Z23"/>
    <mergeCell ref="B24:E24"/>
    <mergeCell ref="B25:E25"/>
    <mergeCell ref="B26:E26"/>
    <mergeCell ref="B27:E27"/>
    <mergeCell ref="B29:Z29"/>
    <mergeCell ref="B30:E30"/>
    <mergeCell ref="B31:E31"/>
    <mergeCell ref="B32:E32"/>
    <mergeCell ref="B36:Y36"/>
  </mergeCells>
  <dataValidations count="1">
    <dataValidation allowBlank="false" errorStyle="stop" operator="between" showDropDown="false" showErrorMessage="false" showInputMessage="false" sqref="B7" type="list">
      <formula1>"All,Actual,Estimate"</formula1>
      <formula2>0</formula2>
    </dataValidation>
  </dataValidations>
  <printOptions headings="false" gridLines="false" gridLinesSet="true" horizontalCentered="false" verticalCentered="false"/>
  <pageMargins left="0.2" right="0.2" top="0.2" bottom="0.2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2026-05-12T15:55:28Z</dcterms:created>
  <dc:creator>openpyxl</dc:creator>
  <dc:description/>
  <dc:language>en-US</dc:language>
  <cp:lastModifiedBy/>
  <dcterms:modified xsi:type="dcterms:W3CDTF">2026-10-14T23:49:40Z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