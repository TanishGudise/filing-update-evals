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aluations &amp; Forecasting" sheetId="1" state="visible" r:id="rId3"/>
    <sheet name="Balance Sheet" sheetId="2" state="visible" r:id="rId4"/>
    <sheet name="Statement of Operations" sheetId="3" state="visible" r:id="rId5"/>
    <sheet name="Statement of Cashflow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tc={B6807AF8-44E8-2C49-82A3-CEA28AA5F407}</author>
  </authors>
  <commentList>
    <comment ref="L115" authorId="0" guid="{B6807AF8-44E8-2C49-82A3-CEA28AA5F407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Estimation</t>
        </r>
      </text>
    </comment>
  </commentList>
</comments>
</file>

<file path=xl/sharedStrings.xml><?xml version="1.0" encoding="utf-8"?>
<sst xmlns="http://schemas.openxmlformats.org/spreadsheetml/2006/main" count="663" uniqueCount="231">
  <si>
    <t xml:space="preserve">Consolidated Statements of Income - USD ($) shares in Millions, $ in Millions</t>
  </si>
  <si>
    <t xml:space="preserve">12 Months Ended</t>
  </si>
  <si>
    <t xml:space="preserve">3 Months Ended</t>
  </si>
  <si>
    <t xml:space="preserve">May 31, 2015</t>
  </si>
  <si>
    <t xml:space="preserve">May 31, 2016</t>
  </si>
  <si>
    <t xml:space="preserve">May 31, 2017</t>
  </si>
  <si>
    <t xml:space="preserve">May 31, 2018</t>
  </si>
  <si>
    <t xml:space="preserve">May 31, 2019</t>
  </si>
  <si>
    <t xml:space="preserve">May 31, 2020</t>
  </si>
  <si>
    <t xml:space="preserve">May 31, 2021</t>
  </si>
  <si>
    <t xml:space="preserve">May 31, 2022</t>
  </si>
  <si>
    <t xml:space="preserve">May 31, 2023</t>
  </si>
  <si>
    <t xml:space="preserve">May 31, 2024 E</t>
  </si>
  <si>
    <t xml:space="preserve">May 31, 2024 (Audited)</t>
  </si>
  <si>
    <t xml:space="preserve">May 31, 2025 E</t>
  </si>
  <si>
    <t xml:space="preserve">May 31, 2026 E</t>
  </si>
  <si>
    <t xml:space="preserve">Aug. 31, 2020</t>
  </si>
  <si>
    <t xml:space="preserve">Nov. 30, 2020</t>
  </si>
  <si>
    <t xml:space="preserve">Feb. 28, 2021</t>
  </si>
  <si>
    <t xml:space="preserve">May. 31, 2021</t>
  </si>
  <si>
    <t xml:space="preserve">Aug. 31, 2021</t>
  </si>
  <si>
    <t xml:space="preserve">Nov. 30, 2021</t>
  </si>
  <si>
    <t xml:space="preserve">Feb. 28, 2022</t>
  </si>
  <si>
    <t xml:space="preserve">May. 31, 2022</t>
  </si>
  <si>
    <t xml:space="preserve">Aug. 31, 2022</t>
  </si>
  <si>
    <t xml:space="preserve">Nov. 30, 2022</t>
  </si>
  <si>
    <t xml:space="preserve">Feb. 28, 2023</t>
  </si>
  <si>
    <t xml:space="preserve">May. 31, 2023</t>
  </si>
  <si>
    <t xml:space="preserve">Aug. 31, 2023</t>
  </si>
  <si>
    <t xml:space="preserve">Nov. 30, 2023</t>
  </si>
  <si>
    <t xml:space="preserve">Feb. 29, 2024</t>
  </si>
  <si>
    <r>
      <rPr>
        <sz val="20"/>
        <rFont val="Calibri"/>
        <family val="2"/>
        <charset val="1"/>
      </rPr>
      <t xml:space="preserve">May. 31, 2024</t>
    </r>
    <r>
      <rPr>
        <sz val="20"/>
        <color theme="1"/>
        <rFont val="Calibri"/>
        <family val="2"/>
        <charset val="1"/>
      </rPr>
      <t xml:space="preserve"> E</t>
    </r>
  </si>
  <si>
    <t xml:space="preserve">May. 31, 2024 </t>
  </si>
  <si>
    <t xml:space="preserve">Aug. 31, 2024 E</t>
  </si>
  <si>
    <t xml:space="preserve">Nov. 30, 2024 E</t>
  </si>
  <si>
    <t xml:space="preserve">Feb. 29, 2025 E</t>
  </si>
  <si>
    <t xml:space="preserve">May. 31, 2025 E</t>
  </si>
  <si>
    <t xml:space="preserve">Income Statement [Abstract]</t>
  </si>
  <si>
    <t xml:space="preserve"> </t>
  </si>
  <si>
    <t xml:space="preserve">North America</t>
  </si>
  <si>
    <t xml:space="preserve">Footwear</t>
  </si>
  <si>
    <t xml:space="preserve">Apparel</t>
  </si>
  <si>
    <t xml:space="preserve">Equipment</t>
  </si>
  <si>
    <t xml:space="preserve">Total</t>
  </si>
  <si>
    <t xml:space="preserve">Europe, Middle East &amp; Africa</t>
  </si>
  <si>
    <t xml:space="preserve">Greater China</t>
  </si>
  <si>
    <t xml:space="preserve">Asian Pacific &amp; Latin America </t>
  </si>
  <si>
    <t xml:space="preserve">Global Brand Division2</t>
  </si>
  <si>
    <t xml:space="preserve">Total Nike Brand </t>
  </si>
  <si>
    <t xml:space="preserve">Converse</t>
  </si>
  <si>
    <t xml:space="preserve">Corporate3</t>
  </si>
  <si>
    <t xml:space="preserve">Total Nike Brand:</t>
  </si>
  <si>
    <t xml:space="preserve">Footwear </t>
  </si>
  <si>
    <t xml:space="preserve">Revenues</t>
  </si>
  <si>
    <t xml:space="preserve">Cost of sales</t>
  </si>
  <si>
    <t xml:space="preserve">Gross profit</t>
  </si>
  <si>
    <t xml:space="preserve">Demand creation expense</t>
  </si>
  <si>
    <t xml:space="preserve">Operating overhead expense</t>
  </si>
  <si>
    <t xml:space="preserve">Total selling and administrative expense</t>
  </si>
  <si>
    <t xml:space="preserve">Total Operating Expenses</t>
  </si>
  <si>
    <t xml:space="preserve">Operating Income</t>
  </si>
  <si>
    <t xml:space="preserve">Interest expense (income), net</t>
  </si>
  <si>
    <t xml:space="preserve">Other (income) expense, net</t>
  </si>
  <si>
    <t xml:space="preserve">EBIT</t>
  </si>
  <si>
    <t xml:space="preserve">Income tax expense</t>
  </si>
  <si>
    <t xml:space="preserve">Effective Tax Rate</t>
  </si>
  <si>
    <t xml:space="preserve">NET INCOME</t>
  </si>
  <si>
    <t xml:space="preserve">Earnings per common share:</t>
  </si>
  <si>
    <t xml:space="preserve">Basic (in dollars per share)</t>
  </si>
  <si>
    <t xml:space="preserve">Diluted (in dollars per share)</t>
  </si>
  <si>
    <t xml:space="preserve">Weighted average common shares outstanding:</t>
  </si>
  <si>
    <t xml:space="preserve">Basic (in shares)</t>
  </si>
  <si>
    <t xml:space="preserve">Diluted (in shares)</t>
  </si>
  <si>
    <t xml:space="preserve">Growth Rates</t>
  </si>
  <si>
    <t xml:space="preserve">Total Nike Brand</t>
  </si>
  <si>
    <t xml:space="preserve">Income before income taxes</t>
  </si>
  <si>
    <t xml:space="preserve">Ratios</t>
  </si>
  <si>
    <t xml:space="preserve">Gross Margin</t>
  </si>
  <si>
    <t xml:space="preserve">COGS/Revenues</t>
  </si>
  <si>
    <t xml:space="preserve">Total Operating Expense/Revenues</t>
  </si>
  <si>
    <t xml:space="preserve">Operating Margin </t>
  </si>
  <si>
    <t xml:space="preserve">Net Margin </t>
  </si>
  <si>
    <t xml:space="preserve">Funds Flow</t>
  </si>
  <si>
    <t xml:space="preserve">Net income</t>
  </si>
  <si>
    <t xml:space="preserve">Depreciation and amort</t>
  </si>
  <si>
    <t xml:space="preserve">Stock based compensation</t>
  </si>
  <si>
    <t xml:space="preserve">Deferred taxes</t>
  </si>
  <si>
    <t xml:space="preserve">Other</t>
  </si>
  <si>
    <t xml:space="preserve">Working capital, net</t>
  </si>
  <si>
    <t xml:space="preserve">Net cash flow from operations</t>
  </si>
  <si>
    <t xml:space="preserve">Capital spending</t>
  </si>
  <si>
    <t xml:space="preserve">Excess cash flow from operations</t>
  </si>
  <si>
    <t xml:space="preserve">Excess cash flow/share</t>
  </si>
  <si>
    <t xml:space="preserve">Acquisitions, net</t>
  </si>
  <si>
    <t xml:space="preserve">Dividends, net</t>
  </si>
  <si>
    <t xml:space="preserve">Debt, net</t>
  </si>
  <si>
    <t xml:space="preserve">Change in marketable securities</t>
  </si>
  <si>
    <t xml:space="preserve">Share repurchases, net</t>
  </si>
  <si>
    <t xml:space="preserve">Net change in cash</t>
  </si>
  <si>
    <t xml:space="preserve">Consolidated Balance Sheets - USD ($) $ in Millions</t>
  </si>
  <si>
    <t xml:space="preserve">Current assets:</t>
  </si>
  <si>
    <t xml:space="preserve">Cash and equivalents</t>
  </si>
  <si>
    <t xml:space="preserve">Short-term investments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</si>
  <si>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</si>
  <si>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</si>
  <si>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</si>
  <si>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</si>
  <si>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Property, plant and equipment, net</t>
  </si>
  <si>
    <t xml:space="preserve">Operating lease right-of-use assets, net</t>
  </si>
  <si>
    <t xml:space="preserve">Identifiable intangible assets, net</t>
  </si>
  <si>
    <t xml:space="preserve">Goodwill</t>
  </si>
  <si>
    <t xml:space="preserve">Deferred income taxes and other assets</t>
  </si>
  <si>
    <t xml:space="preserve">TOTAL ASSETS</t>
  </si>
  <si>
    <t xml:space="preserve">Current liabilities:</t>
  </si>
  <si>
    <t xml:space="preserve">Current portion of long-term debt</t>
  </si>
  <si>
    <t xml:space="preserve">Notes payable</t>
  </si>
  <si>
    <t xml:space="preserve">Accounts payable</t>
  </si>
  <si>
    <t xml:space="preserve">Current portion of operating lease liabilities</t>
  </si>
  <si>
    <t xml:space="preserve">Accrued liabilities</t>
  </si>
  <si>
    <t xml:space="preserve">Income taxes payable</t>
  </si>
  <si>
    <t xml:space="preserve">Total current liabilities</t>
  </si>
  <si>
    <t xml:space="preserve">Long-term debt</t>
  </si>
  <si>
    <t xml:space="preserve">Operating lease liabilities</t>
  </si>
  <si>
    <t xml:space="preserve">Deferred income taxes and other liabilities</t>
  </si>
  <si>
    <t xml:space="preserve">Total Liabilities</t>
  </si>
  <si>
    <t xml:space="preserve">Commitments and contingencies (Note 16)</t>
  </si>
  <si>
    <t xml:space="preserve"> </t>
  </si>
  <si>
    <t xml:space="preserve">Redeemable preferred stock</t>
  </si>
  <si>
    <t xml:space="preserve">Shareholders' equity:</t>
  </si>
  <si>
    <t xml:space="preserve">Capital in excess of stated value</t>
  </si>
  <si>
    <t xml:space="preserve">Accumulated other comprehensive income (loss)</t>
  </si>
  <si>
    <t xml:space="preserve">Retained earnings (deficit)</t>
  </si>
  <si>
    <t xml:space="preserve">Total shareholders' equity</t>
  </si>
  <si>
    <t xml:space="preserve">TOTAL LIABILITIES AND SHAREHOLDERS' EQUITY</t>
  </si>
  <si>
    <t xml:space="preserve">Class A Convertible Common Stock</t>
  </si>
  <si>
    <t xml:space="preserve">Common stock at stated value</t>
  </si>
  <si>
    <t xml:space="preserve">Class B Common Stock</t>
  </si>
  <si>
    <t xml:space="preserve"> $ 3</t>
  </si>
  <si>
    <t xml:space="preserve">Net working capital</t>
  </si>
  <si>
    <t xml:space="preserve">Change: net working capital</t>
  </si>
  <si>
    <t xml:space="preserve">Nike</t>
  </si>
  <si>
    <t xml:space="preserve">2024 E </t>
  </si>
  <si>
    <t xml:space="preserve">Operating income</t>
  </si>
  <si>
    <t xml:space="preserve">Taxes</t>
  </si>
  <si>
    <t xml:space="preserve">NOPAT</t>
  </si>
  <si>
    <t xml:space="preserve">Income taxes</t>
  </si>
  <si>
    <t xml:space="preserve">Pre-tax income</t>
  </si>
  <si>
    <t xml:space="preserve">Effective tax rate</t>
  </si>
  <si>
    <t xml:space="preserve">Invested capital</t>
  </si>
  <si>
    <t xml:space="preserve">PP&amp;E</t>
  </si>
  <si>
    <t xml:space="preserve">Other assets</t>
  </si>
  <si>
    <t xml:space="preserve">  Total</t>
  </si>
  <si>
    <t xml:space="preserve">Return on invested capital (ROIC)</t>
  </si>
  <si>
    <t xml:space="preserve">DCF</t>
  </si>
  <si>
    <t xml:space="preserve">Tax rate</t>
  </si>
  <si>
    <t xml:space="preserve">Free cash flow</t>
  </si>
  <si>
    <t xml:space="preserve">NPV</t>
  </si>
  <si>
    <t xml:space="preserve">Assumed growth rate</t>
  </si>
  <si>
    <t xml:space="preserve">Assumed cost of capital</t>
  </si>
  <si>
    <t xml:space="preserve">Net debt</t>
  </si>
  <si>
    <t xml:space="preserve">Equity Capitalization</t>
  </si>
  <si>
    <t xml:space="preserve">Shares outstanding</t>
  </si>
  <si>
    <t xml:space="preserve">Estimated stock price</t>
  </si>
  <si>
    <t xml:space="preserve">Ending year end stock price</t>
  </si>
  <si>
    <t xml:space="preserve">Market capitalization</t>
  </si>
  <si>
    <t xml:space="preserve">Total market value</t>
  </si>
  <si>
    <t xml:space="preserve">EBITD</t>
  </si>
  <si>
    <t xml:space="preserve">EBITD margin</t>
  </si>
  <si>
    <t xml:space="preserve">EBITD growth</t>
  </si>
  <si>
    <t xml:space="preserve">ROIC</t>
  </si>
  <si>
    <t xml:space="preserve">TMV/EBITD (forward)</t>
  </si>
  <si>
    <t xml:space="preserve">TMV/EBITD (trailing)</t>
  </si>
  <si>
    <t xml:space="preserve">TMV/invested capital</t>
  </si>
  <si>
    <t xml:space="preserve">Excess cash flow yield</t>
  </si>
  <si>
    <t xml:space="preserve">Target price</t>
  </si>
  <si>
    <t xml:space="preserve">Mean TMV/EBITD</t>
  </si>
  <si>
    <t xml:space="preserve">2026E EBITD</t>
  </si>
  <si>
    <t xml:space="preserve">Target EBITD multiple</t>
  </si>
  <si>
    <t xml:space="preserve">TMV</t>
  </si>
  <si>
    <t xml:space="preserve">Discount Rate</t>
  </si>
  <si>
    <t xml:space="preserve">Discount Period</t>
  </si>
  <si>
    <t xml:space="preserve">2024 E Market cap</t>
  </si>
  <si>
    <t xml:space="preserve">Stock price 2024</t>
  </si>
  <si>
    <t xml:space="preserve">Current stock price</t>
  </si>
  <si>
    <t xml:space="preserve">Potential appreciation</t>
  </si>
  <si>
    <t xml:space="preserve">May 31, 2024</t>
  </si>
  <si>
    <t xml:space="preserve"> $ 3,852</t>
  </si>
  <si>
    <t xml:space="preserve"> $ 4,249</t>
  </si>
  <si>
    <t xml:space="preserve">2024</t>
  </si>
  <si>
    <t xml:space="preserve">May. 31, 2024</t>
  </si>
  <si>
    <t xml:space="preserve">Consolidated Statements of Cash Flows - USD ($) $ in Millions</t>
  </si>
  <si>
    <t xml:space="preserve">Cash provided (used) by operations:</t>
  </si>
  <si>
    <t xml:space="preserve">Adjustments to reconcile net income to net cash provided (used) by operations:</t>
  </si>
  <si>
    <t xml:space="preserve">Depreciation</t>
  </si>
  <si>
    <t xml:space="preserve">Deferred income taxes</t>
  </si>
  <si>
    <t xml:space="preserve">Stock-based compensation</t>
  </si>
  <si>
    <t xml:space="preserve">Amortization, impairment and other</t>
  </si>
  <si>
    <t xml:space="preserve">Net foreign currency adjustments</t>
  </si>
  <si>
    <t xml:space="preserve">Changes in certain working capital components and other assets and liabilities:</t>
  </si>
  <si>
    <t xml:space="preserve">(Increase) decrease in accounts receivable</t>
  </si>
  <si>
    <t xml:space="preserve">(Increase) decrease in inventories</t>
  </si>
  <si>
    <t xml:space="preserve">(Increase) decrease in prepaid expenses, operating lease right-of-use assets and other current and non-current assets</t>
  </si>
  <si>
    <t xml:space="preserve">Increase (decrease) in accounts payable, accrued liabilities, operating lease liabilities and other current and non-current liabilities</t>
  </si>
  <si>
    <t xml:space="preserve">Cash provided (used) by operations</t>
  </si>
  <si>
    <t xml:space="preserve">Cash provided (used) by investing activities:</t>
  </si>
  <si>
    <t xml:space="preserve">Purchases of short-term investments</t>
  </si>
  <si>
    <t xml:space="preserve">Maturities of short-term investments</t>
  </si>
  <si>
    <t xml:space="preserve">Sales of short-term investments</t>
  </si>
  <si>
    <t xml:space="preserve">Investments in reverse repurchase agreements</t>
  </si>
  <si>
    <t xml:space="preserve">Additions to property, plant and equipment</t>
  </si>
  <si>
    <t xml:space="preserve">Disposals of property, plant and equipment</t>
  </si>
  <si>
    <t xml:space="preserve">Other investing activities</t>
  </si>
  <si>
    <t xml:space="preserve">Cash provided (used) by investing activities</t>
  </si>
  <si>
    <t xml:space="preserve">Cash provided (used) by financing activities:</t>
  </si>
  <si>
    <t xml:space="preserve">Net proceeds from long-term debt issuance</t>
  </si>
  <si>
    <t xml:space="preserve">Long-term debt payments, including current portion</t>
  </si>
  <si>
    <t xml:space="preserve">Increase (decrease) in notes payable, net</t>
  </si>
  <si>
    <t xml:space="preserve">Repayment of borrowings</t>
  </si>
  <si>
    <t xml:space="preserve">Proceeds from exercise of stock options and other stock issuances</t>
  </si>
  <si>
    <t xml:space="preserve">Repurchase of common stock</t>
  </si>
  <si>
    <t xml:space="preserve">Dividends — common and preferred</t>
  </si>
  <si>
    <t xml:space="preserve">Other financing activities</t>
  </si>
  <si>
    <t xml:space="preserve">Cash provided (used) by financing activities</t>
  </si>
  <si>
    <t xml:space="preserve">Effect of exchange rate changes on cash and equivalents</t>
  </si>
  <si>
    <t xml:space="preserve">Net increase (decrease) in cash and equivalents</t>
  </si>
  <si>
    <t xml:space="preserve">Cash and equivalents, beginning of year</t>
  </si>
  <si>
    <t xml:space="preserve">CASH AND EQUIVALENTS, END OF YEAR</t>
  </si>
  <si>
    <t xml:space="preserve">Cash paid during the year for:</t>
  </si>
  <si>
    <t xml:space="preserve">Interest, net of capitalized interest</t>
  </si>
  <si>
    <t xml:space="preserve">Non-cash additions to property, plant and equipment</t>
  </si>
  <si>
    <t xml:space="preserve">Dividends declared and not paid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</si>
</sst>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(&quot;$ &quot;#,##0_);_(&quot;$ (&quot;#,##0\)"/>
    <numFmt numFmtId="166" formatCode="[$$-409]#,##0"/>
    <numFmt numFmtId="167" formatCode="0%"/>
    <numFmt numFmtId="168" formatCode="#,##0_);\(#,##0\)"/>
    <numFmt numFmtId="169" formatCode="_(&quot;$ &quot;#,##0.00_);_(&quot;$ (&quot;#,##0.00\)"/>
    <numFmt numFmtId="170" formatCode="#,##0.0_);\(#,##0.0\)"/>
    <numFmt numFmtId="171" formatCode="0"/>
    <numFmt numFmtId="172" formatCode="0.00%"/>
    <numFmt numFmtId="173" formatCode="#,##0.00_);\(#,##0.00\)"/>
    <numFmt numFmtId="174" formatCode="0.0"/>
    <numFmt numFmtId="175" formatCode="0.0%"/>
    <numFmt numFmtId="176" formatCode="\$#,##0_);&quot;($&quot;#,##0\)"/>
    <numFmt numFmtId="177" formatCode="\$#,##0.0_);&quot;($&quot;#,##0.0\)"/>
    <numFmt numFmtId="178" formatCode="0.00"/>
    <numFmt numFmtId="179" formatCode="_([$$-409]* #,##0_);_([$$-409]* \(#,##0\);_([$$-409]* \-_);_(@_)"/>
    <numFmt numFmtId="180" formatCode="#,##0"/>
    <numFmt numFmtId="181" formatCode="\$#,##0;&quot;-$&quot;#,##0"/>
    <numFmt numFmtId="182" formatCode="[$$-409]#,##0.00"/>
    <numFmt numFmtId="183" formatCode="_([$$-409]* #,##0.00_);_([$$-409]* \(#,##0.00\);_([$$-409]* \-??_);_(@_)"/>
    <numFmt numFmtId="184" formatCode="@"/>
  </numFmts>
  <fonts count="4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theme="1"/>
      <name val="Calibri"/>
      <family val="2"/>
      <charset val="1"/>
    </font>
    <font>
      <b val="true"/>
      <u val="single"/>
      <sz val="12"/>
      <color theme="1"/>
      <name val="Calibri"/>
      <family val="2"/>
      <charset val="1"/>
    </font>
    <font>
      <b val="true"/>
      <sz val="20"/>
      <name val="Calibri"/>
      <family val="2"/>
      <charset val="1"/>
    </font>
    <font>
      <sz val="14"/>
      <name val="Calibri"/>
      <family val="2"/>
      <charset val="1"/>
    </font>
    <font>
      <sz val="20"/>
      <name val="Calibri"/>
      <family val="2"/>
      <charset val="1"/>
    </font>
    <font>
      <sz val="14"/>
      <color theme="1"/>
      <name val="Calibri"/>
      <family val="2"/>
      <charset val="1"/>
    </font>
    <font>
      <sz val="20"/>
      <color rgb="FF000000"/>
      <name val="Calibri"/>
      <family val="2"/>
      <charset val="1"/>
    </font>
    <font>
      <sz val="20"/>
      <color rgb="FFC00000"/>
      <name val="Calibri"/>
      <family val="2"/>
      <charset val="1"/>
    </font>
    <font>
      <b val="true"/>
      <u val="single"/>
      <sz val="20"/>
      <name val="Calibri (Body)"/>
      <family val="0"/>
      <charset val="1"/>
    </font>
    <font>
      <b val="true"/>
      <u val="single"/>
      <sz val="14"/>
      <name val="Calibri (Body)"/>
      <family val="0"/>
      <charset val="1"/>
    </font>
    <font>
      <b val="true"/>
      <u val="single"/>
      <sz val="20"/>
      <color theme="1"/>
      <name val="Calibri (Body)"/>
      <family val="0"/>
      <charset val="1"/>
    </font>
    <font>
      <b val="true"/>
      <u val="single"/>
      <sz val="20"/>
      <name val="Calibri"/>
      <family val="2"/>
      <charset val="1"/>
    </font>
    <font>
      <b val="true"/>
      <u val="single"/>
      <sz val="20"/>
      <color rgb="FFC00000"/>
      <name val="Calibri"/>
      <family val="2"/>
      <charset val="1"/>
    </font>
    <font>
      <b val="true"/>
      <u val="single"/>
      <sz val="11"/>
      <name val="Calibri"/>
      <family val="2"/>
      <charset val="1"/>
    </font>
    <font>
      <sz val="12"/>
      <color rgb="FF9C0006"/>
      <name val="Calibri"/>
      <family val="2"/>
      <charset val="1"/>
    </font>
    <font>
      <b val="true"/>
      <sz val="18"/>
      <color rgb="FF9C0006"/>
      <name val="Calibri"/>
      <family val="2"/>
      <charset val="1"/>
    </font>
    <font>
      <sz val="12"/>
      <color rgb="FF006100"/>
      <name val="Calibri"/>
      <family val="2"/>
      <charset val="1"/>
    </font>
    <font>
      <b val="true"/>
      <u val="single"/>
      <sz val="20"/>
      <color rgb="FF0061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u val="single"/>
      <sz val="12"/>
      <color rgb="FF006100"/>
      <name val="Calibri (Body)"/>
      <family val="0"/>
      <charset val="1"/>
    </font>
    <font>
      <b val="true"/>
      <sz val="14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20"/>
      <color rgb="FFC00000"/>
      <name val="Calibri"/>
      <family val="2"/>
      <charset val="1"/>
    </font>
    <font>
      <sz val="11"/>
      <name val="Calibri"/>
      <family val="2"/>
      <charset val="1"/>
    </font>
    <font>
      <b val="true"/>
      <u val="single"/>
      <sz val="22"/>
      <color rgb="FF006100"/>
      <name val="Calibri"/>
      <family val="2"/>
      <charset val="1"/>
    </font>
    <font>
      <b val="true"/>
      <u val="single"/>
      <sz val="20"/>
      <color rgb="FF006100"/>
      <name val="Calibri (Body)"/>
      <family val="0"/>
      <charset val="1"/>
    </font>
    <font>
      <b val="true"/>
      <u val="single"/>
      <sz val="20"/>
      <color rgb="FFC00000"/>
      <name val="Calibri (Body)"/>
      <family val="0"/>
      <charset val="1"/>
    </font>
    <font>
      <sz val="20"/>
      <color rgb="FF00B050"/>
      <name val="Calibri"/>
      <family val="2"/>
      <charset val="1"/>
    </font>
    <font>
      <sz val="12"/>
      <color theme="9" tint="-0.25"/>
      <name val="Calibri"/>
      <family val="2"/>
      <charset val="1"/>
    </font>
    <font>
      <b val="true"/>
      <sz val="11"/>
      <name val="Calibri"/>
      <family val="2"/>
      <charset val="1"/>
    </font>
    <font>
      <sz val="14"/>
      <color rgb="FF00B050"/>
      <name val="Calibri"/>
      <family val="2"/>
      <charset val="1"/>
    </font>
    <font>
      <sz val="14"/>
      <color theme="9" tint="-0.25"/>
      <name val="Calibri"/>
      <family val="2"/>
      <charset val="1"/>
    </font>
    <font>
      <sz val="20"/>
      <color rgb="FFFF0000"/>
      <name val="Calibri"/>
      <family val="2"/>
      <charset val="1"/>
    </font>
    <font>
      <sz val="14"/>
      <color rgb="FFFF0000"/>
      <name val="Calibri"/>
      <family val="2"/>
      <charset val="1"/>
    </font>
    <font>
      <b val="true"/>
      <u val="single"/>
      <sz val="20"/>
      <color theme="1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20"/>
      <color rgb="FF006100"/>
      <name val="Calibri"/>
      <family val="2"/>
      <charset val="1"/>
    </font>
    <font>
      <sz val="18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1"/>
      <color rgb="FF00B050"/>
      <name val="Calibri"/>
      <family val="2"/>
      <charset val="1"/>
    </font>
    <font>
      <sz val="12"/>
      <color rgb="FF00B050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2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2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2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3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0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28" fillId="3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28" fillId="3" borderId="0" xfId="21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6" fontId="28" fillId="3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8" fillId="3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8" fillId="3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8" fillId="3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9" fillId="2" borderId="0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9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9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9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9" fillId="4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3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21" fillId="3" borderId="0" xfId="21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21" fillId="3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1" fillId="3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1" fillId="3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6" fillId="4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4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2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5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5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4" fillId="5" borderId="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4" fillId="5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23" fillId="3" borderId="0" xfId="21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29" fillId="3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9" fillId="3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4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3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0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9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31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1" fillId="4" borderId="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34" fillId="0" borderId="0" xfId="1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5" fontId="36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6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6" fillId="4" borderId="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7" fillId="0" borderId="0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36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6" fillId="4" borderId="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6" fillId="4" borderId="3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6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8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8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9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9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9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6" fillId="5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39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3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3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39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8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8" fontId="3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9" fontId="39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9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8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0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0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1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4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2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3" borderId="0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41" fillId="3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3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0" fontId="42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0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0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80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9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3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2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7" fillId="0" borderId="0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4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4" fontId="2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3" fontId="2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2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4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46" fillId="0" borderId="0" xfId="19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  <cellStyle name="Excel Built-in Goo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microsoft.com/office/2017/10/relationships/person" Target="persons/person.xml"/>
</Relationships>
</file>

<file path=xl/persons/person.xml><?xml version="1.0" encoding="utf-8"?>
<personList xmlns="http://schemas.microsoft.com/office/spreadsheetml/2018/threadedcomments">
  <person displayName="Kong, Nam" id="{7B663978-229B-9548-8E93-1E4654EFD041}" userId="S::namkong@bu.edu::a7f4be3c-5d4f-4af1-8677-ac0199dbe73b" providerId="AD"/>
</personList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threadedComments/threadedComment1.xml><?xml version="1.0" encoding="utf-8"?>
<ThreadedComments xmlns="http://schemas.microsoft.com/office/spreadsheetml/2018/threadedcomments">
  <threadedComment ref="L115" dT="2024-06-30T17:19:59.40" personId="{7B663978-229B-9548-8E93-1E4654EFD041}" id="{B6807AF8-44E8-2C49-82A3-CEA28AA5F407}">
    <text>Estimation</text>
  </threadedComment>
</ThreadedComment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25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1" ySplit="2" topLeftCell="H215" activePane="bottomRight" state="frozen"/>
      <selection pane="topLeft" activeCell="A1" activeCellId="0" sqref="A1"/>
      <selection pane="topRight" activeCell="H1" activeCellId="0" sqref="H1"/>
      <selection pane="bottomLeft" activeCell="A215" activeCellId="0" sqref="A215"/>
      <selection pane="bottomRight" activeCell="L222" activeCellId="0" sqref="L222"/>
    </sheetView>
  </sheetViews>
  <sheetFormatPr defaultColWidth="30.83984375" defaultRowHeight="25.5" customHeight="false" zeroHeight="false" outlineLevelRow="1" outlineLevelCol="1"/>
  <cols>
    <col collapsed="false" customWidth="true" hidden="false" outlineLevel="0" max="1" min="1" style="1" width="59"/>
    <col collapsed="false" customWidth="true" hidden="true" outlineLevel="1" max="4" min="2" style="2" width="83.33"/>
    <col collapsed="false" customWidth="false" hidden="false" outlineLevel="0" max="15" min="5" style="3" width="30.84"/>
    <col collapsed="false" customWidth="false" hidden="false" outlineLevel="0" max="16" min="16" style="1" width="30.84"/>
    <col collapsed="false" customWidth="true" hidden="true" outlineLevel="1" max="25" min="17" style="1" width="10.49"/>
    <col collapsed="false" customWidth="false" hidden="false" outlineLevel="0" max="42" min="26" style="1" width="30.84"/>
    <col collapsed="false" customWidth="false" hidden="false" outlineLevel="0" max="43" min="43" style="2" width="30.84"/>
    <col collapsed="false" customWidth="false" hidden="false" outlineLevel="0" max="16384" min="44" style="4" width="30.84"/>
  </cols>
  <sheetData>
    <row r="1" s="2" customFormat="true" ht="25.5" hidden="false" customHeight="true" outlineLevel="0" collapsed="false">
      <c r="A1" s="5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7" t="s">
        <v>2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="2" customFormat="true" ht="61.9" hidden="false" customHeight="false" outlineLevel="0" collapsed="false">
      <c r="A2" s="5"/>
      <c r="B2" s="8" t="s">
        <v>3</v>
      </c>
      <c r="C2" s="8" t="s">
        <v>4</v>
      </c>
      <c r="D2" s="8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9"/>
      <c r="N2" s="9" t="s">
        <v>14</v>
      </c>
      <c r="O2" s="9" t="s">
        <v>15</v>
      </c>
      <c r="P2" s="1"/>
      <c r="Q2" s="9" t="s">
        <v>16</v>
      </c>
      <c r="R2" s="9" t="s">
        <v>17</v>
      </c>
      <c r="S2" s="9" t="s">
        <v>18</v>
      </c>
      <c r="T2" s="9" t="s">
        <v>19</v>
      </c>
      <c r="U2" s="9"/>
      <c r="V2" s="9" t="s">
        <v>20</v>
      </c>
      <c r="W2" s="9" t="s">
        <v>21</v>
      </c>
      <c r="X2" s="9" t="s">
        <v>22</v>
      </c>
      <c r="Y2" s="9" t="s">
        <v>23</v>
      </c>
      <c r="Z2" s="9"/>
      <c r="AA2" s="9" t="s">
        <v>24</v>
      </c>
      <c r="AB2" s="9" t="s">
        <v>25</v>
      </c>
      <c r="AC2" s="9" t="s">
        <v>26</v>
      </c>
      <c r="AD2" s="9" t="s">
        <v>27</v>
      </c>
      <c r="AE2" s="9"/>
      <c r="AF2" s="9" t="s">
        <v>28</v>
      </c>
      <c r="AG2" s="9" t="s">
        <v>29</v>
      </c>
      <c r="AH2" s="9" t="s">
        <v>30</v>
      </c>
      <c r="AI2" s="10" t="s">
        <v>31</v>
      </c>
      <c r="AJ2" s="9" t="s">
        <v>32</v>
      </c>
      <c r="AK2" s="9"/>
      <c r="AL2" s="1"/>
      <c r="AM2" s="9" t="s">
        <v>33</v>
      </c>
      <c r="AN2" s="9" t="s">
        <v>34</v>
      </c>
      <c r="AO2" s="9" t="s">
        <v>35</v>
      </c>
      <c r="AP2" s="9" t="s">
        <v>36</v>
      </c>
    </row>
    <row r="3" s="2" customFormat="true" ht="25.5" hidden="false" customHeight="false" outlineLevel="0" collapsed="false">
      <c r="A3" s="11" t="s">
        <v>37</v>
      </c>
      <c r="B3" s="12"/>
      <c r="C3" s="12"/>
      <c r="D3" s="12"/>
      <c r="E3" s="13"/>
      <c r="F3" s="13"/>
      <c r="G3" s="13"/>
      <c r="H3" s="14" t="s">
        <v>38</v>
      </c>
      <c r="I3" s="14" t="s">
        <v>38</v>
      </c>
      <c r="J3" s="14" t="s">
        <v>38</v>
      </c>
      <c r="K3" s="14" t="s">
        <v>38</v>
      </c>
      <c r="L3" s="14"/>
      <c r="M3" s="14"/>
      <c r="N3" s="13"/>
      <c r="O3" s="13"/>
      <c r="P3" s="13"/>
      <c r="Q3" s="15"/>
      <c r="R3" s="15"/>
      <c r="S3" s="15"/>
      <c r="T3" s="15"/>
      <c r="U3" s="15"/>
      <c r="V3" s="15"/>
      <c r="W3" s="15"/>
      <c r="X3" s="15"/>
      <c r="Y3" s="16"/>
      <c r="Z3" s="16"/>
      <c r="AA3" s="14" t="s">
        <v>38</v>
      </c>
      <c r="AB3" s="14" t="s">
        <v>38</v>
      </c>
      <c r="AC3" s="14" t="s">
        <v>38</v>
      </c>
      <c r="AD3" s="14"/>
      <c r="AE3" s="14"/>
      <c r="AF3" s="14" t="s">
        <v>38</v>
      </c>
      <c r="AG3" s="14" t="s">
        <v>38</v>
      </c>
      <c r="AH3" s="14" t="s">
        <v>38</v>
      </c>
      <c r="AI3" s="17"/>
      <c r="AJ3" s="13"/>
      <c r="AK3" s="13"/>
      <c r="AL3" s="13"/>
      <c r="AM3" s="13"/>
      <c r="AN3" s="13"/>
      <c r="AO3" s="13"/>
      <c r="AP3" s="13"/>
    </row>
    <row r="4" s="2" customFormat="true" ht="25.5" hidden="false" customHeight="false" outlineLevel="0" collapsed="false">
      <c r="A4" s="18" t="s">
        <v>39</v>
      </c>
      <c r="B4" s="12"/>
      <c r="C4" s="12"/>
      <c r="D4" s="12"/>
      <c r="E4" s="13"/>
      <c r="F4" s="13"/>
      <c r="G4" s="13"/>
      <c r="H4" s="14"/>
      <c r="I4" s="14"/>
      <c r="J4" s="14"/>
      <c r="K4" s="14"/>
      <c r="L4" s="14"/>
      <c r="M4" s="14"/>
      <c r="N4" s="13"/>
      <c r="O4" s="13"/>
      <c r="P4" s="13"/>
      <c r="Q4" s="19"/>
      <c r="R4" s="19"/>
      <c r="S4" s="19"/>
      <c r="T4" s="19"/>
      <c r="U4" s="19"/>
      <c r="V4" s="19"/>
      <c r="W4" s="19"/>
      <c r="X4" s="19"/>
      <c r="Y4" s="16"/>
      <c r="Z4" s="16"/>
      <c r="AA4" s="14"/>
      <c r="AB4" s="14"/>
      <c r="AC4" s="14"/>
      <c r="AD4" s="14"/>
      <c r="AE4" s="14"/>
      <c r="AF4" s="14"/>
      <c r="AG4" s="14"/>
      <c r="AH4" s="14"/>
      <c r="AI4" s="17"/>
      <c r="AJ4" s="13"/>
      <c r="AK4" s="13"/>
      <c r="AL4" s="13"/>
      <c r="AM4" s="13"/>
      <c r="AN4" s="13"/>
      <c r="AO4" s="13"/>
      <c r="AP4" s="13"/>
    </row>
    <row r="5" s="2" customFormat="true" ht="25.5" hidden="false" customHeight="false" outlineLevel="0" collapsed="false">
      <c r="A5" s="20" t="s">
        <v>40</v>
      </c>
      <c r="B5" s="12"/>
      <c r="C5" s="12"/>
      <c r="D5" s="12"/>
      <c r="E5" s="21" t="n">
        <v>9322</v>
      </c>
      <c r="F5" s="21" t="n">
        <v>10045</v>
      </c>
      <c r="G5" s="21" t="n">
        <v>9329</v>
      </c>
      <c r="H5" s="22" t="n">
        <v>11644</v>
      </c>
      <c r="I5" s="22" t="n">
        <v>12228</v>
      </c>
      <c r="J5" s="22" t="n">
        <f aca="false">AA5+AB5+AC5+AD5</f>
        <v>14897</v>
      </c>
      <c r="K5" s="22" t="n">
        <f aca="false">AF5+AG5+AH5+AI5</f>
        <v>14940</v>
      </c>
      <c r="L5" s="22" t="n">
        <f aca="false">SUM(AF5:AH5)+AJ5</f>
        <v>14537</v>
      </c>
      <c r="M5" s="23" t="n">
        <f aca="false">L5/K5-1</f>
        <v>-0.0269745649263722</v>
      </c>
      <c r="N5" s="21" t="n">
        <f aca="false">SUM(AM5:AP5)</f>
        <v>15550</v>
      </c>
      <c r="O5" s="21" t="n">
        <v>16700</v>
      </c>
      <c r="P5" s="13"/>
      <c r="Q5" s="24" t="n">
        <v>2957</v>
      </c>
      <c r="R5" s="24" t="n">
        <v>2512</v>
      </c>
      <c r="S5" s="24" t="n">
        <v>2382</v>
      </c>
      <c r="T5" s="24" t="n">
        <v>3793</v>
      </c>
      <c r="U5" s="24"/>
      <c r="V5" s="24" t="n">
        <v>3264</v>
      </c>
      <c r="W5" s="24" t="n">
        <v>2852</v>
      </c>
      <c r="X5" s="24" t="n">
        <v>2532</v>
      </c>
      <c r="Y5" s="14" t="n">
        <v>3580</v>
      </c>
      <c r="Z5" s="16"/>
      <c r="AA5" s="14" t="n">
        <v>3805</v>
      </c>
      <c r="AB5" s="14" t="n">
        <v>3963</v>
      </c>
      <c r="AC5" s="14" t="n">
        <v>3322</v>
      </c>
      <c r="AD5" s="14" t="n">
        <v>3807</v>
      </c>
      <c r="AE5" s="14"/>
      <c r="AF5" s="14" t="n">
        <v>3733</v>
      </c>
      <c r="AG5" s="14" t="n">
        <v>3757</v>
      </c>
      <c r="AH5" s="14" t="n">
        <v>3460</v>
      </c>
      <c r="AI5" s="25" t="n">
        <v>3990</v>
      </c>
      <c r="AJ5" s="14" t="n">
        <v>3587</v>
      </c>
      <c r="AK5" s="23" t="n">
        <f aca="false">AJ5/AI5-1</f>
        <v>-0.101002506265664</v>
      </c>
      <c r="AL5" s="13"/>
      <c r="AM5" s="14" t="n">
        <v>3900</v>
      </c>
      <c r="AN5" s="14" t="n">
        <v>3900</v>
      </c>
      <c r="AO5" s="14" t="n">
        <v>3600</v>
      </c>
      <c r="AP5" s="14" t="n">
        <v>4150</v>
      </c>
    </row>
    <row r="6" customFormat="false" ht="25.5" hidden="false" customHeight="false" outlineLevel="0" collapsed="false">
      <c r="A6" s="20" t="s">
        <v>41</v>
      </c>
      <c r="B6" s="12"/>
      <c r="C6" s="12"/>
      <c r="D6" s="12"/>
      <c r="E6" s="21" t="n">
        <v>4938</v>
      </c>
      <c r="F6" s="21" t="n">
        <v>5260</v>
      </c>
      <c r="G6" s="21" t="n">
        <v>4639</v>
      </c>
      <c r="H6" s="22" t="n">
        <v>5028</v>
      </c>
      <c r="I6" s="22" t="n">
        <v>5492</v>
      </c>
      <c r="J6" s="22" t="n">
        <f aca="false">AA6+AB6+AC6+AD6</f>
        <v>5947</v>
      </c>
      <c r="K6" s="22" t="n">
        <f aca="false">AF6+AG6+AH6+AI6</f>
        <v>5925</v>
      </c>
      <c r="L6" s="22" t="n">
        <f aca="false">SUM(AF6:AH6)+AJ6</f>
        <v>5953</v>
      </c>
      <c r="M6" s="23" t="n">
        <f aca="false">L6/K6-1</f>
        <v>0.00472573839662438</v>
      </c>
      <c r="N6" s="21" t="n">
        <f aca="false">SUM(AM6:AP6)</f>
        <v>6015</v>
      </c>
      <c r="O6" s="21" t="n">
        <v>6200</v>
      </c>
      <c r="P6" s="13"/>
      <c r="Q6" s="24" t="n">
        <v>1125</v>
      </c>
      <c r="R6" s="24" t="n">
        <v>1368</v>
      </c>
      <c r="S6" s="24" t="n">
        <v>1087</v>
      </c>
      <c r="T6" s="24" t="n">
        <v>1448</v>
      </c>
      <c r="U6" s="24"/>
      <c r="V6" s="24" t="n">
        <v>1430</v>
      </c>
      <c r="W6" s="24" t="n">
        <v>1480</v>
      </c>
      <c r="X6" s="24" t="n">
        <v>1207</v>
      </c>
      <c r="Y6" s="14" t="n">
        <v>1375</v>
      </c>
      <c r="Z6" s="16"/>
      <c r="AA6" s="14" t="n">
        <v>1494</v>
      </c>
      <c r="AB6" s="14" t="n">
        <v>1685</v>
      </c>
      <c r="AC6" s="14" t="n">
        <v>1419</v>
      </c>
      <c r="AD6" s="14" t="n">
        <v>1349</v>
      </c>
      <c r="AE6" s="14"/>
      <c r="AF6" s="14" t="n">
        <v>1479</v>
      </c>
      <c r="AG6" s="14" t="n">
        <v>1668</v>
      </c>
      <c r="AH6" s="14" t="n">
        <v>1408</v>
      </c>
      <c r="AI6" s="25" t="n">
        <v>1370</v>
      </c>
      <c r="AJ6" s="14" t="n">
        <v>1398</v>
      </c>
      <c r="AK6" s="23" t="n">
        <f aca="false">AJ6/AI6-1</f>
        <v>0.0204379562043795</v>
      </c>
      <c r="AL6" s="13"/>
      <c r="AM6" s="14" t="n">
        <v>1500</v>
      </c>
      <c r="AN6" s="14" t="n">
        <v>1700</v>
      </c>
      <c r="AO6" s="14" t="n">
        <v>1420</v>
      </c>
      <c r="AP6" s="14" t="n">
        <v>1395</v>
      </c>
    </row>
    <row r="7" s="2" customFormat="true" ht="25.5" hidden="false" customHeight="false" outlineLevel="0" collapsed="false">
      <c r="A7" s="20" t="s">
        <v>42</v>
      </c>
      <c r="B7" s="12"/>
      <c r="C7" s="12"/>
      <c r="D7" s="12"/>
      <c r="E7" s="21" t="n">
        <v>595</v>
      </c>
      <c r="F7" s="21" t="n">
        <v>597</v>
      </c>
      <c r="G7" s="21" t="n">
        <v>516</v>
      </c>
      <c r="H7" s="22" t="n">
        <v>507</v>
      </c>
      <c r="I7" s="22" t="n">
        <v>633</v>
      </c>
      <c r="J7" s="22" t="n">
        <f aca="false">AA7+AB7+AC7+AD7</f>
        <v>764</v>
      </c>
      <c r="K7" s="22" t="n">
        <f aca="false">AF7+AG7+AH7+AI7</f>
        <v>843</v>
      </c>
      <c r="L7" s="22" t="n">
        <f aca="false">SUM(AF7:AH7)+AJ7</f>
        <v>906</v>
      </c>
      <c r="M7" s="23" t="n">
        <f aca="false">L7/K7-1</f>
        <v>0.0747330960854094</v>
      </c>
      <c r="N7" s="21" t="n">
        <f aca="false">SUM(AM7:AP7)</f>
        <v>940</v>
      </c>
      <c r="O7" s="21" t="n">
        <v>1030</v>
      </c>
      <c r="P7" s="13"/>
      <c r="Q7" s="24" t="n">
        <v>143</v>
      </c>
      <c r="R7" s="24" t="n">
        <v>126</v>
      </c>
      <c r="S7" s="24" t="n">
        <v>95</v>
      </c>
      <c r="T7" s="24" t="n">
        <v>143</v>
      </c>
      <c r="U7" s="24"/>
      <c r="V7" s="24" t="n">
        <v>185</v>
      </c>
      <c r="W7" s="24" t="n">
        <v>145</v>
      </c>
      <c r="X7" s="24" t="n">
        <v>143</v>
      </c>
      <c r="Y7" s="14" t="n">
        <v>160</v>
      </c>
      <c r="Z7" s="16"/>
      <c r="AA7" s="14" t="n">
        <v>211</v>
      </c>
      <c r="AB7" s="14" t="n">
        <v>182</v>
      </c>
      <c r="AC7" s="14" t="n">
        <v>172</v>
      </c>
      <c r="AD7" s="14" t="n">
        <v>199</v>
      </c>
      <c r="AE7" s="14"/>
      <c r="AF7" s="14" t="n">
        <v>211</v>
      </c>
      <c r="AG7" s="14" t="n">
        <v>200</v>
      </c>
      <c r="AH7" s="14" t="n">
        <v>202</v>
      </c>
      <c r="AI7" s="25" t="n">
        <v>230</v>
      </c>
      <c r="AJ7" s="14" t="n">
        <v>293</v>
      </c>
      <c r="AK7" s="23" t="n">
        <f aca="false">AJ7/AI7-1</f>
        <v>0.273913043478261</v>
      </c>
      <c r="AL7" s="13"/>
      <c r="AM7" s="14" t="n">
        <v>220</v>
      </c>
      <c r="AN7" s="14" t="n">
        <v>220</v>
      </c>
      <c r="AO7" s="14" t="n">
        <v>240</v>
      </c>
      <c r="AP7" s="14" t="n">
        <v>260</v>
      </c>
    </row>
    <row r="8" s="2" customFormat="true" ht="27" hidden="false" customHeight="false" outlineLevel="0" collapsed="false">
      <c r="A8" s="26" t="s">
        <v>43</v>
      </c>
      <c r="B8" s="27" t="n">
        <f aca="false">B5+B6+B7</f>
        <v>0</v>
      </c>
      <c r="C8" s="27" t="n">
        <f aca="false">C5+C6+C7</f>
        <v>0</v>
      </c>
      <c r="D8" s="27" t="n">
        <f aca="false">D5+D6+D7</f>
        <v>0</v>
      </c>
      <c r="E8" s="28" t="n">
        <f aca="false">E5+E6+E7</f>
        <v>14855</v>
      </c>
      <c r="F8" s="28" t="n">
        <f aca="false">F5+F6+F7</f>
        <v>15902</v>
      </c>
      <c r="G8" s="28" t="n">
        <f aca="false">G5+G6+G7</f>
        <v>14484</v>
      </c>
      <c r="H8" s="28" t="n">
        <f aca="false">H5+H6+H7</f>
        <v>17179</v>
      </c>
      <c r="I8" s="28" t="n">
        <f aca="false">I5+I6+I7</f>
        <v>18353</v>
      </c>
      <c r="J8" s="28" t="n">
        <f aca="false">J5+J6+J7</f>
        <v>21608</v>
      </c>
      <c r="K8" s="28" t="n">
        <f aca="false">K5+K6+K7</f>
        <v>21708</v>
      </c>
      <c r="L8" s="28" t="n">
        <f aca="false">L5+L6+L7</f>
        <v>21396</v>
      </c>
      <c r="M8" s="23" t="n">
        <f aca="false">L8/K8-1</f>
        <v>-0.0143725815367607</v>
      </c>
      <c r="N8" s="29" t="n">
        <f aca="false">SUM(AM8:AP8)</f>
        <v>22505</v>
      </c>
      <c r="O8" s="29" t="n">
        <f aca="false">O5+O6+O7</f>
        <v>23930</v>
      </c>
      <c r="P8" s="30"/>
      <c r="Q8" s="30" t="n">
        <f aca="false">Q5+Q6+Q7</f>
        <v>4225</v>
      </c>
      <c r="R8" s="30" t="n">
        <f aca="false">R5+R6+R7</f>
        <v>4006</v>
      </c>
      <c r="S8" s="30" t="n">
        <f aca="false">S5+S6+S7</f>
        <v>3564</v>
      </c>
      <c r="T8" s="30" t="n">
        <f aca="false">T5+T6+T7</f>
        <v>5384</v>
      </c>
      <c r="U8" s="30"/>
      <c r="V8" s="30" t="n">
        <f aca="false">V5+V6+V7</f>
        <v>4879</v>
      </c>
      <c r="W8" s="30" t="n">
        <f aca="false">W5+W6+W7</f>
        <v>4477</v>
      </c>
      <c r="X8" s="30" t="n">
        <f aca="false">X5+X6+X7</f>
        <v>3882</v>
      </c>
      <c r="Y8" s="30" t="n">
        <f aca="false">Y5+Y6+Y7</f>
        <v>5115</v>
      </c>
      <c r="Z8" s="30"/>
      <c r="AA8" s="30" t="n">
        <f aca="false">AA5+AA6+AA7</f>
        <v>5510</v>
      </c>
      <c r="AB8" s="30" t="n">
        <f aca="false">AB5+AB6+AB7</f>
        <v>5830</v>
      </c>
      <c r="AC8" s="30" t="n">
        <f aca="false">AC5+AC6+AC7</f>
        <v>4913</v>
      </c>
      <c r="AD8" s="30" t="n">
        <f aca="false">AD5+AD6+AD7</f>
        <v>5355</v>
      </c>
      <c r="AE8" s="30"/>
      <c r="AF8" s="30" t="n">
        <f aca="false">AF5+AF6+AF7</f>
        <v>5423</v>
      </c>
      <c r="AG8" s="30" t="n">
        <f aca="false">AG5+AG6+AG7</f>
        <v>5625</v>
      </c>
      <c r="AH8" s="30" t="n">
        <f aca="false">AH5+AH6+AH7</f>
        <v>5070</v>
      </c>
      <c r="AI8" s="31" t="n">
        <f aca="false">AI5+AI6+AI7</f>
        <v>5590</v>
      </c>
      <c r="AJ8" s="30" t="n">
        <f aca="false">AJ5+AJ6+AJ7</f>
        <v>5278</v>
      </c>
      <c r="AK8" s="32" t="n">
        <f aca="false">AJ8/AI8-1</f>
        <v>-0.0558139534883722</v>
      </c>
      <c r="AL8" s="30"/>
      <c r="AM8" s="30" t="n">
        <f aca="false">AM5+AM6+AM7</f>
        <v>5620</v>
      </c>
      <c r="AN8" s="30" t="n">
        <f aca="false">AN5+AN6+AN7</f>
        <v>5820</v>
      </c>
      <c r="AO8" s="30" t="n">
        <f aca="false">AO5+AO6+AO7</f>
        <v>5260</v>
      </c>
      <c r="AP8" s="30" t="n">
        <f aca="false">AP5+AP6+AP7</f>
        <v>5805</v>
      </c>
      <c r="AQ8" s="33"/>
    </row>
    <row r="9" s="2" customFormat="true" ht="25.5" hidden="false" customHeight="false" outlineLevel="0" collapsed="false">
      <c r="A9" s="18" t="s">
        <v>44</v>
      </c>
      <c r="B9" s="12"/>
      <c r="C9" s="12"/>
      <c r="D9" s="12"/>
      <c r="E9" s="21"/>
      <c r="F9" s="21"/>
      <c r="G9" s="21"/>
      <c r="H9" s="22"/>
      <c r="I9" s="22"/>
      <c r="J9" s="22"/>
      <c r="K9" s="22"/>
      <c r="L9" s="22"/>
      <c r="M9" s="23"/>
      <c r="N9" s="21"/>
      <c r="O9" s="21"/>
      <c r="P9" s="13"/>
      <c r="Q9" s="24"/>
      <c r="R9" s="24"/>
      <c r="S9" s="24"/>
      <c r="T9" s="24"/>
      <c r="U9" s="24"/>
      <c r="V9" s="24"/>
      <c r="W9" s="24"/>
      <c r="X9" s="24"/>
      <c r="Y9" s="14"/>
      <c r="Z9" s="16"/>
      <c r="AA9" s="14"/>
      <c r="AB9" s="14"/>
      <c r="AC9" s="14"/>
      <c r="AD9" s="14"/>
      <c r="AE9" s="14"/>
      <c r="AF9" s="14"/>
      <c r="AG9" s="14"/>
      <c r="AH9" s="14"/>
      <c r="AI9" s="17"/>
      <c r="AJ9" s="13"/>
      <c r="AK9" s="23"/>
      <c r="AL9" s="13"/>
      <c r="AM9" s="13"/>
      <c r="AN9" s="13"/>
      <c r="AO9" s="13"/>
      <c r="AP9" s="13"/>
    </row>
    <row r="10" s="2" customFormat="true" ht="25.5" hidden="false" customHeight="false" outlineLevel="0" collapsed="false">
      <c r="A10" s="20" t="s">
        <v>40</v>
      </c>
      <c r="B10" s="12"/>
      <c r="C10" s="12"/>
      <c r="D10" s="12"/>
      <c r="E10" s="21" t="n">
        <v>5875</v>
      </c>
      <c r="F10" s="21" t="n">
        <v>6293</v>
      </c>
      <c r="G10" s="21" t="n">
        <v>5892</v>
      </c>
      <c r="H10" s="22" t="n">
        <v>6970</v>
      </c>
      <c r="I10" s="22" t="n">
        <v>7388</v>
      </c>
      <c r="J10" s="22" t="n">
        <f aca="false">AA10+AB10+AC10+AD10</f>
        <v>8260</v>
      </c>
      <c r="K10" s="22" t="n">
        <f aca="false">AF10+AG10+AH10+AI10</f>
        <v>8606</v>
      </c>
      <c r="L10" s="22" t="n">
        <f aca="false">SUM(AF10:AH10)+AJ10</f>
        <v>8473</v>
      </c>
      <c r="M10" s="23" t="n">
        <f aca="false">L10/K10-1</f>
        <v>-0.0154543341854521</v>
      </c>
      <c r="N10" s="21" t="n">
        <f aca="false">SUM(AM10:AP10)</f>
        <v>9100</v>
      </c>
      <c r="O10" s="21" t="n">
        <v>9500</v>
      </c>
      <c r="P10" s="13"/>
      <c r="Q10" s="24" t="n">
        <v>1802</v>
      </c>
      <c r="R10" s="24" t="n">
        <v>1731</v>
      </c>
      <c r="S10" s="24" t="n">
        <v>1606</v>
      </c>
      <c r="T10" s="24" t="n">
        <v>1831</v>
      </c>
      <c r="U10" s="24"/>
      <c r="V10" s="24" t="n">
        <v>1983</v>
      </c>
      <c r="W10" s="24" t="n">
        <v>1806</v>
      </c>
      <c r="X10" s="24" t="n">
        <v>1569</v>
      </c>
      <c r="Y10" s="14" t="n">
        <v>2030</v>
      </c>
      <c r="Z10" s="16"/>
      <c r="AA10" s="14" t="n">
        <v>2012</v>
      </c>
      <c r="AB10" s="14" t="n">
        <v>2063</v>
      </c>
      <c r="AC10" s="14" t="n">
        <v>2011</v>
      </c>
      <c r="AD10" s="14" t="n">
        <v>2174</v>
      </c>
      <c r="AE10" s="14"/>
      <c r="AF10" s="14" t="n">
        <v>2260</v>
      </c>
      <c r="AG10" s="14" t="n">
        <v>2186</v>
      </c>
      <c r="AH10" s="14" t="n">
        <v>1960</v>
      </c>
      <c r="AI10" s="25" t="n">
        <v>2200</v>
      </c>
      <c r="AJ10" s="14" t="n">
        <v>2067</v>
      </c>
      <c r="AK10" s="23" t="n">
        <f aca="false">AJ10/AI10-1</f>
        <v>-0.0604545454545454</v>
      </c>
      <c r="AL10" s="13"/>
      <c r="AM10" s="14" t="n">
        <v>2500</v>
      </c>
      <c r="AN10" s="14" t="n">
        <v>2300</v>
      </c>
      <c r="AO10" s="14" t="n">
        <v>2050</v>
      </c>
      <c r="AP10" s="14" t="n">
        <v>2250</v>
      </c>
    </row>
    <row r="11" s="2" customFormat="true" ht="25.5" hidden="false" customHeight="false" outlineLevel="0" collapsed="false">
      <c r="A11" s="20" t="s">
        <v>41</v>
      </c>
      <c r="B11" s="12"/>
      <c r="C11" s="12"/>
      <c r="D11" s="12"/>
      <c r="E11" s="21" t="n">
        <v>2940</v>
      </c>
      <c r="F11" s="21" t="n">
        <v>3087</v>
      </c>
      <c r="G11" s="21" t="n">
        <v>3053</v>
      </c>
      <c r="H11" s="22" t="n">
        <v>3996</v>
      </c>
      <c r="I11" s="22" t="n">
        <v>4527</v>
      </c>
      <c r="J11" s="22" t="n">
        <f aca="false">AA11+AB11+AC11+AD11</f>
        <v>4566</v>
      </c>
      <c r="K11" s="22" t="n">
        <f aca="false">AF11+AG11+AH11+AI11</f>
        <v>4266</v>
      </c>
      <c r="L11" s="22" t="n">
        <f aca="false">SUM(AF11:AH11)+AJ11</f>
        <v>4380</v>
      </c>
      <c r="M11" s="23" t="n">
        <f aca="false">L11/K11-1</f>
        <v>0.0267229254571026</v>
      </c>
      <c r="N11" s="21" t="n">
        <f aca="false">SUM(AM11:AP11)</f>
        <v>4305</v>
      </c>
      <c r="O11" s="21" t="n">
        <v>4500</v>
      </c>
      <c r="P11" s="13"/>
      <c r="Q11" s="24" t="n">
        <v>971</v>
      </c>
      <c r="R11" s="24" t="n">
        <v>1104</v>
      </c>
      <c r="S11" s="24" t="n">
        <v>898</v>
      </c>
      <c r="T11" s="24" t="n">
        <v>1023</v>
      </c>
      <c r="U11" s="24"/>
      <c r="V11" s="24" t="n">
        <v>1159</v>
      </c>
      <c r="W11" s="24" t="n">
        <v>1202</v>
      </c>
      <c r="X11" s="24" t="n">
        <v>1083</v>
      </c>
      <c r="Y11" s="14" t="n">
        <v>1083</v>
      </c>
      <c r="Z11" s="16"/>
      <c r="AA11" s="14" t="n">
        <v>1153</v>
      </c>
      <c r="AB11" s="14" t="n">
        <v>1281</v>
      </c>
      <c r="AC11" s="14" t="n">
        <v>1094</v>
      </c>
      <c r="AD11" s="14" t="n">
        <v>1038</v>
      </c>
      <c r="AE11" s="14"/>
      <c r="AF11" s="14" t="n">
        <v>1137</v>
      </c>
      <c r="AG11" s="14" t="n">
        <v>1200</v>
      </c>
      <c r="AH11" s="14" t="n">
        <v>994</v>
      </c>
      <c r="AI11" s="25" t="n">
        <v>935</v>
      </c>
      <c r="AJ11" s="14" t="n">
        <v>1049</v>
      </c>
      <c r="AK11" s="23" t="n">
        <f aca="false">AJ11/AI11-1</f>
        <v>0.121925133689839</v>
      </c>
      <c r="AL11" s="13"/>
      <c r="AM11" s="14" t="n">
        <v>1140</v>
      </c>
      <c r="AN11" s="14" t="n">
        <v>1220</v>
      </c>
      <c r="AO11" s="14" t="n">
        <v>1000</v>
      </c>
      <c r="AP11" s="14" t="n">
        <v>945</v>
      </c>
    </row>
    <row r="12" s="34" customFormat="true" ht="25.5" hidden="false" customHeight="false" outlineLevel="0" collapsed="false">
      <c r="A12" s="20" t="s">
        <v>42</v>
      </c>
      <c r="B12" s="12"/>
      <c r="C12" s="12"/>
      <c r="D12" s="12"/>
      <c r="E12" s="21" t="n">
        <v>427</v>
      </c>
      <c r="F12" s="21" t="n">
        <v>432</v>
      </c>
      <c r="G12" s="21" t="n">
        <v>402</v>
      </c>
      <c r="H12" s="22" t="n">
        <v>490</v>
      </c>
      <c r="I12" s="22" t="n">
        <v>564</v>
      </c>
      <c r="J12" s="22" t="n">
        <f aca="false">AA12+AB12+AC12+AD12</f>
        <v>592</v>
      </c>
      <c r="K12" s="22" t="n">
        <f aca="false">AF12+AG12+AH12+AI12</f>
        <v>753</v>
      </c>
      <c r="L12" s="22" t="n">
        <f aca="false">SUM(AF12:AH12)+AJ12</f>
        <v>754</v>
      </c>
      <c r="M12" s="23" t="n">
        <f aca="false">L12/K12-1</f>
        <v>0.00132802124833997</v>
      </c>
      <c r="N12" s="21" t="n">
        <f aca="false">SUM(AM12:AP12)</f>
        <v>944</v>
      </c>
      <c r="O12" s="21" t="n">
        <v>1050</v>
      </c>
      <c r="P12" s="13"/>
      <c r="Q12" s="24" t="n">
        <v>137</v>
      </c>
      <c r="R12" s="24" t="n">
        <v>123</v>
      </c>
      <c r="S12" s="24" t="n">
        <v>105</v>
      </c>
      <c r="T12" s="24" t="n">
        <v>125</v>
      </c>
      <c r="U12" s="24"/>
      <c r="V12" s="24" t="n">
        <v>165</v>
      </c>
      <c r="W12" s="24" t="n">
        <v>134</v>
      </c>
      <c r="X12" s="24" t="n">
        <v>127</v>
      </c>
      <c r="Y12" s="14" t="n">
        <v>138</v>
      </c>
      <c r="Z12" s="16"/>
      <c r="AA12" s="14" t="n">
        <v>168</v>
      </c>
      <c r="AB12" s="14" t="n">
        <v>145</v>
      </c>
      <c r="AC12" s="14" t="n">
        <v>141</v>
      </c>
      <c r="AD12" s="14" t="n">
        <v>138</v>
      </c>
      <c r="AE12" s="14"/>
      <c r="AF12" s="14" t="n">
        <v>213</v>
      </c>
      <c r="AG12" s="14" t="n">
        <v>181</v>
      </c>
      <c r="AH12" s="14" t="n">
        <v>184</v>
      </c>
      <c r="AI12" s="25" t="n">
        <v>175</v>
      </c>
      <c r="AJ12" s="14" t="n">
        <v>176</v>
      </c>
      <c r="AK12" s="23" t="n">
        <f aca="false">AJ12/AI12-1</f>
        <v>0.00571428571428578</v>
      </c>
      <c r="AL12" s="13"/>
      <c r="AM12" s="14" t="n">
        <v>265</v>
      </c>
      <c r="AN12" s="14" t="n">
        <v>224</v>
      </c>
      <c r="AO12" s="14" t="n">
        <v>235</v>
      </c>
      <c r="AP12" s="14" t="n">
        <v>220</v>
      </c>
      <c r="AQ12" s="2"/>
    </row>
    <row r="13" s="35" customFormat="true" ht="27" hidden="false" customHeight="false" outlineLevel="0" collapsed="false">
      <c r="A13" s="26" t="s">
        <v>43</v>
      </c>
      <c r="B13" s="27" t="n">
        <f aca="false">B10+B11+B12</f>
        <v>0</v>
      </c>
      <c r="C13" s="27" t="n">
        <f aca="false">C10+C11+C12</f>
        <v>0</v>
      </c>
      <c r="D13" s="27" t="n">
        <f aca="false">D10+D11+D12</f>
        <v>0</v>
      </c>
      <c r="E13" s="28" t="n">
        <f aca="false">E10+E11+E12</f>
        <v>9242</v>
      </c>
      <c r="F13" s="28" t="n">
        <f aca="false">F10+F11+F12</f>
        <v>9812</v>
      </c>
      <c r="G13" s="28" t="n">
        <f aca="false">G10+G11+G12</f>
        <v>9347</v>
      </c>
      <c r="H13" s="28" t="n">
        <f aca="false">H10+H11+H12</f>
        <v>11456</v>
      </c>
      <c r="I13" s="28" t="n">
        <f aca="false">I10+I11+I12</f>
        <v>12479</v>
      </c>
      <c r="J13" s="28" t="n">
        <f aca="false">J10+J11+J12</f>
        <v>13418</v>
      </c>
      <c r="K13" s="28" t="n">
        <f aca="false">K10+K11+K12</f>
        <v>13625</v>
      </c>
      <c r="L13" s="28" t="n">
        <f aca="false">L10+L11+L12</f>
        <v>13607</v>
      </c>
      <c r="M13" s="23" t="n">
        <f aca="false">L13/K13-1</f>
        <v>-0.00132110091743121</v>
      </c>
      <c r="N13" s="29" t="n">
        <f aca="false">SUM(AM13:AP13)</f>
        <v>14349</v>
      </c>
      <c r="O13" s="29" t="n">
        <f aca="false">O10+O11+O12</f>
        <v>15050</v>
      </c>
      <c r="P13" s="30"/>
      <c r="Q13" s="30" t="n">
        <f aca="false">Q10+Q11+Q12</f>
        <v>2910</v>
      </c>
      <c r="R13" s="30" t="n">
        <f aca="false">R10+R11+R12</f>
        <v>2958</v>
      </c>
      <c r="S13" s="30" t="n">
        <f aca="false">S10+S11+S12</f>
        <v>2609</v>
      </c>
      <c r="T13" s="30" t="n">
        <v>2979</v>
      </c>
      <c r="U13" s="30"/>
      <c r="V13" s="30" t="n">
        <f aca="false">V10+V11+V12</f>
        <v>3307</v>
      </c>
      <c r="W13" s="30" t="n">
        <f aca="false">W10+W11+W12</f>
        <v>3142</v>
      </c>
      <c r="X13" s="30" t="n">
        <f aca="false">X10+X11+X12</f>
        <v>2779</v>
      </c>
      <c r="Y13" s="30" t="n">
        <f aca="false">Y10+Y11+Y12</f>
        <v>3251</v>
      </c>
      <c r="Z13" s="30"/>
      <c r="AA13" s="30" t="n">
        <f aca="false">AA10+AA11+AA12</f>
        <v>3333</v>
      </c>
      <c r="AB13" s="30" t="n">
        <f aca="false">AB10+AB11+AB12</f>
        <v>3489</v>
      </c>
      <c r="AC13" s="30" t="n">
        <f aca="false">AC10+AC11+AC12</f>
        <v>3246</v>
      </c>
      <c r="AD13" s="30" t="n">
        <f aca="false">AD10+AD11+AD12</f>
        <v>3350</v>
      </c>
      <c r="AE13" s="30"/>
      <c r="AF13" s="30" t="n">
        <f aca="false">AF10+AF11+AF12</f>
        <v>3610</v>
      </c>
      <c r="AG13" s="30" t="n">
        <f aca="false">AG10+AG11+AG12</f>
        <v>3567</v>
      </c>
      <c r="AH13" s="30" t="n">
        <f aca="false">AH10+AH11+AH12</f>
        <v>3138</v>
      </c>
      <c r="AI13" s="31" t="n">
        <f aca="false">AI10+AI11+AI12</f>
        <v>3310</v>
      </c>
      <c r="AJ13" s="30" t="n">
        <f aca="false">AJ10+AJ11+AJ12</f>
        <v>3292</v>
      </c>
      <c r="AK13" s="32" t="n">
        <f aca="false">AJ13/AI13-1</f>
        <v>-0.0054380664652568</v>
      </c>
      <c r="AL13" s="30"/>
      <c r="AM13" s="30" t="n">
        <f aca="false">AM10+AM11+AM12</f>
        <v>3905</v>
      </c>
      <c r="AN13" s="30" t="n">
        <f aca="false">AN10+AN11+AN12</f>
        <v>3744</v>
      </c>
      <c r="AO13" s="30" t="n">
        <f aca="false">AO10+AO11+AO12</f>
        <v>3285</v>
      </c>
      <c r="AP13" s="30" t="n">
        <f aca="false">AP10+AP11+AP12</f>
        <v>3415</v>
      </c>
      <c r="AQ13" s="4"/>
    </row>
    <row r="14" s="2" customFormat="true" ht="25.5" hidden="false" customHeight="false" outlineLevel="0" collapsed="false">
      <c r="A14" s="18" t="s">
        <v>45</v>
      </c>
      <c r="B14" s="12"/>
      <c r="C14" s="12"/>
      <c r="D14" s="12"/>
      <c r="E14" s="21"/>
      <c r="F14" s="21"/>
      <c r="G14" s="21"/>
      <c r="H14" s="22"/>
      <c r="I14" s="22"/>
      <c r="J14" s="22"/>
      <c r="K14" s="22"/>
      <c r="L14" s="22"/>
      <c r="M14" s="23"/>
      <c r="N14" s="21"/>
      <c r="O14" s="21"/>
      <c r="P14" s="13"/>
      <c r="Q14" s="24"/>
      <c r="R14" s="24"/>
      <c r="S14" s="24"/>
      <c r="T14" s="24"/>
      <c r="U14" s="24"/>
      <c r="V14" s="24"/>
      <c r="W14" s="24"/>
      <c r="X14" s="24"/>
      <c r="Y14" s="14"/>
      <c r="Z14" s="16"/>
      <c r="AA14" s="14"/>
      <c r="AB14" s="14"/>
      <c r="AC14" s="14"/>
      <c r="AD14" s="14"/>
      <c r="AE14" s="14"/>
      <c r="AF14" s="14"/>
      <c r="AG14" s="14"/>
      <c r="AH14" s="14"/>
      <c r="AI14" s="17"/>
      <c r="AJ14" s="13"/>
      <c r="AK14" s="23"/>
      <c r="AL14" s="13"/>
      <c r="AM14" s="13"/>
      <c r="AN14" s="13"/>
      <c r="AO14" s="13"/>
      <c r="AP14" s="13"/>
    </row>
    <row r="15" s="2" customFormat="true" ht="25.5" hidden="false" customHeight="false" outlineLevel="0" collapsed="false">
      <c r="A15" s="20" t="s">
        <v>40</v>
      </c>
      <c r="B15" s="12"/>
      <c r="C15" s="12"/>
      <c r="D15" s="12"/>
      <c r="E15" s="21" t="n">
        <v>3496</v>
      </c>
      <c r="F15" s="21" t="n">
        <v>4262</v>
      </c>
      <c r="G15" s="21" t="n">
        <v>4635</v>
      </c>
      <c r="H15" s="22" t="n">
        <v>5748</v>
      </c>
      <c r="I15" s="22" t="n">
        <v>5416</v>
      </c>
      <c r="J15" s="22" t="n">
        <f aca="false">AA15+AB15+AC15+AD15</f>
        <v>5435</v>
      </c>
      <c r="K15" s="22" t="n">
        <f aca="false">AF15+AG15+AH15+AI15</f>
        <v>5595</v>
      </c>
      <c r="L15" s="22" t="n">
        <f aca="false">SUM(AF15:AH15)+AJ15</f>
        <v>5552</v>
      </c>
      <c r="M15" s="23" t="n">
        <f aca="false">L15/K15-1</f>
        <v>-0.00768543342269878</v>
      </c>
      <c r="N15" s="21" t="n">
        <f aca="false">SUM(AM15:AP15)</f>
        <v>5800</v>
      </c>
      <c r="O15" s="21" t="n">
        <v>6000</v>
      </c>
      <c r="P15" s="13"/>
      <c r="Q15" s="19" t="n">
        <v>1251</v>
      </c>
      <c r="R15" s="19" t="n">
        <v>1567</v>
      </c>
      <c r="S15" s="19" t="n">
        <v>1614</v>
      </c>
      <c r="T15" s="24" t="n">
        <v>1316</v>
      </c>
      <c r="U15" s="24"/>
      <c r="V15" s="24" t="n">
        <v>1449</v>
      </c>
      <c r="W15" s="24" t="n">
        <v>1235</v>
      </c>
      <c r="X15" s="24" t="n">
        <v>1554</v>
      </c>
      <c r="Y15" s="14" t="n">
        <v>1178</v>
      </c>
      <c r="Z15" s="16"/>
      <c r="AA15" s="14" t="n">
        <v>1233</v>
      </c>
      <c r="AB15" s="14" t="n">
        <v>1370</v>
      </c>
      <c r="AC15" s="14" t="n">
        <v>1496</v>
      </c>
      <c r="AD15" s="14" t="n">
        <v>1336</v>
      </c>
      <c r="AE15" s="14"/>
      <c r="AF15" s="14" t="n">
        <v>1287</v>
      </c>
      <c r="AG15" s="14" t="n">
        <v>1361</v>
      </c>
      <c r="AH15" s="14" t="n">
        <v>1547</v>
      </c>
      <c r="AI15" s="25" t="n">
        <v>1400</v>
      </c>
      <c r="AJ15" s="14" t="n">
        <v>1357</v>
      </c>
      <c r="AK15" s="23" t="n">
        <f aca="false">AJ15/AI15-1</f>
        <v>-0.0307142857142857</v>
      </c>
      <c r="AL15" s="13"/>
      <c r="AM15" s="14" t="n">
        <v>1350</v>
      </c>
      <c r="AN15" s="14" t="n">
        <v>1370</v>
      </c>
      <c r="AO15" s="14" t="n">
        <v>1600</v>
      </c>
      <c r="AP15" s="14" t="n">
        <v>1480</v>
      </c>
    </row>
    <row r="16" s="36" customFormat="true" ht="25.5" hidden="false" customHeight="false" outlineLevel="0" collapsed="false">
      <c r="A16" s="20" t="s">
        <v>41</v>
      </c>
      <c r="B16" s="12"/>
      <c r="C16" s="12"/>
      <c r="D16" s="12"/>
      <c r="E16" s="21" t="n">
        <v>1508</v>
      </c>
      <c r="F16" s="21" t="n">
        <v>1808</v>
      </c>
      <c r="G16" s="21" t="n">
        <v>1896</v>
      </c>
      <c r="H16" s="22" t="n">
        <v>2347</v>
      </c>
      <c r="I16" s="22" t="n">
        <v>1938</v>
      </c>
      <c r="J16" s="22" t="n">
        <f aca="false">AA16+AB16+AC16+AD16</f>
        <v>1666</v>
      </c>
      <c r="K16" s="22" t="n">
        <f aca="false">AF16+AG16+AH16+AI16</f>
        <v>1848</v>
      </c>
      <c r="L16" s="22" t="n">
        <f aca="false">SUM(AF16:AH16)+AJ16</f>
        <v>1828</v>
      </c>
      <c r="M16" s="23" t="n">
        <f aca="false">L16/K16-1</f>
        <v>-0.0108225108225108</v>
      </c>
      <c r="N16" s="21" t="n">
        <f aca="false">SUM(AM16:AP16)</f>
        <v>2090</v>
      </c>
      <c r="O16" s="21" t="n">
        <v>2300</v>
      </c>
      <c r="P16" s="13"/>
      <c r="Q16" s="15" t="n">
        <v>478</v>
      </c>
      <c r="R16" s="15" t="n">
        <v>681</v>
      </c>
      <c r="S16" s="15" t="n">
        <v>616</v>
      </c>
      <c r="T16" s="15" t="n">
        <v>572</v>
      </c>
      <c r="U16" s="15"/>
      <c r="V16" s="15" t="n">
        <v>476</v>
      </c>
      <c r="W16" s="15" t="n">
        <v>564</v>
      </c>
      <c r="X16" s="15" t="n">
        <v>548</v>
      </c>
      <c r="Y16" s="14" t="n">
        <v>350</v>
      </c>
      <c r="Z16" s="16"/>
      <c r="AA16" s="14" t="n">
        <v>374</v>
      </c>
      <c r="AB16" s="14" t="n">
        <v>393</v>
      </c>
      <c r="AC16" s="14" t="n">
        <v>461</v>
      </c>
      <c r="AD16" s="14" t="n">
        <v>438</v>
      </c>
      <c r="AE16" s="14"/>
      <c r="AF16" s="14" t="n">
        <v>401</v>
      </c>
      <c r="AG16" s="14" t="n">
        <v>469</v>
      </c>
      <c r="AH16" s="14" t="n">
        <v>498</v>
      </c>
      <c r="AI16" s="25" t="n">
        <v>480</v>
      </c>
      <c r="AJ16" s="14" t="n">
        <v>460</v>
      </c>
      <c r="AK16" s="23" t="n">
        <f aca="false">AJ16/AI16-1</f>
        <v>-0.0416666666666666</v>
      </c>
      <c r="AL16" s="13"/>
      <c r="AM16" s="14" t="n">
        <v>430</v>
      </c>
      <c r="AN16" s="14" t="n">
        <v>560</v>
      </c>
      <c r="AO16" s="14" t="n">
        <v>550</v>
      </c>
      <c r="AP16" s="14" t="n">
        <v>550</v>
      </c>
      <c r="AQ16" s="2"/>
    </row>
    <row r="17" s="2" customFormat="true" ht="25.5" hidden="false" customHeight="false" outlineLevel="0" collapsed="false">
      <c r="A17" s="20" t="s">
        <v>42</v>
      </c>
      <c r="B17" s="12"/>
      <c r="C17" s="12"/>
      <c r="D17" s="12"/>
      <c r="E17" s="21" t="n">
        <v>130</v>
      </c>
      <c r="F17" s="21" t="n">
        <v>138</v>
      </c>
      <c r="G17" s="21" t="n">
        <v>148</v>
      </c>
      <c r="H17" s="22" t="n">
        <v>195</v>
      </c>
      <c r="I17" s="22" t="n">
        <v>193</v>
      </c>
      <c r="J17" s="22" t="n">
        <f aca="false">AA17+AB17+AC17+AD17</f>
        <v>147</v>
      </c>
      <c r="K17" s="22" t="n">
        <f aca="false">AF17+AG17+AH17+AI17</f>
        <v>156</v>
      </c>
      <c r="L17" s="22" t="n">
        <f aca="false">SUM(AF17:AH17)+AJ17</f>
        <v>165</v>
      </c>
      <c r="M17" s="23" t="n">
        <f aca="false">L17/K17-1</f>
        <v>0.0576923076923077</v>
      </c>
      <c r="N17" s="21" t="n">
        <f aca="false">SUM(AM17:AP17)</f>
        <v>170</v>
      </c>
      <c r="O17" s="21" t="n">
        <v>190</v>
      </c>
      <c r="P17" s="13"/>
      <c r="Q17" s="37" t="n">
        <v>51</v>
      </c>
      <c r="R17" s="37" t="n">
        <v>50</v>
      </c>
      <c r="S17" s="37" t="n">
        <v>49</v>
      </c>
      <c r="T17" s="37" t="n">
        <v>45</v>
      </c>
      <c r="U17" s="37"/>
      <c r="V17" s="37" t="n">
        <v>57</v>
      </c>
      <c r="W17" s="37" t="n">
        <v>45</v>
      </c>
      <c r="X17" s="37" t="n">
        <v>58</v>
      </c>
      <c r="Y17" s="14" t="n">
        <v>33</v>
      </c>
      <c r="Z17" s="16"/>
      <c r="AA17" s="14" t="n">
        <v>49</v>
      </c>
      <c r="AB17" s="14" t="n">
        <v>25</v>
      </c>
      <c r="AC17" s="14" t="n">
        <v>37</v>
      </c>
      <c r="AD17" s="14" t="n">
        <v>36</v>
      </c>
      <c r="AE17" s="14"/>
      <c r="AF17" s="14" t="n">
        <v>47</v>
      </c>
      <c r="AG17" s="14" t="n">
        <v>33</v>
      </c>
      <c r="AH17" s="14" t="n">
        <v>39</v>
      </c>
      <c r="AI17" s="25" t="n">
        <v>37</v>
      </c>
      <c r="AJ17" s="14" t="n">
        <v>46</v>
      </c>
      <c r="AK17" s="23" t="n">
        <f aca="false">AJ17/AI17-1</f>
        <v>0.243243243243243</v>
      </c>
      <c r="AL17" s="13"/>
      <c r="AM17" s="14" t="n">
        <v>48</v>
      </c>
      <c r="AN17" s="14" t="n">
        <v>42</v>
      </c>
      <c r="AO17" s="14" t="n">
        <v>41</v>
      </c>
      <c r="AP17" s="14" t="n">
        <v>39</v>
      </c>
    </row>
    <row r="18" s="2" customFormat="true" ht="27" hidden="false" customHeight="false" outlineLevel="0" collapsed="false">
      <c r="A18" s="26" t="s">
        <v>43</v>
      </c>
      <c r="B18" s="27" t="n">
        <f aca="false">B15+B16+B17</f>
        <v>0</v>
      </c>
      <c r="C18" s="27" t="n">
        <f aca="false">C15+C16+C17</f>
        <v>0</v>
      </c>
      <c r="D18" s="27" t="n">
        <f aca="false">D15+D16+D17</f>
        <v>0</v>
      </c>
      <c r="E18" s="28" t="n">
        <f aca="false">E15+E16+E17</f>
        <v>5134</v>
      </c>
      <c r="F18" s="28" t="n">
        <f aca="false">F15+F16+F17</f>
        <v>6208</v>
      </c>
      <c r="G18" s="28" t="n">
        <f aca="false">G15+G16+G17</f>
        <v>6679</v>
      </c>
      <c r="H18" s="28" t="n">
        <f aca="false">H15+H16+H17</f>
        <v>8290</v>
      </c>
      <c r="I18" s="28" t="n">
        <f aca="false">I15+I16+I17</f>
        <v>7547</v>
      </c>
      <c r="J18" s="28" t="n">
        <f aca="false">J15+J16+J17</f>
        <v>7248</v>
      </c>
      <c r="K18" s="28" t="n">
        <f aca="false">K15+K16+K17</f>
        <v>7599</v>
      </c>
      <c r="L18" s="28" t="n">
        <f aca="false">L15+L16+L17</f>
        <v>7545</v>
      </c>
      <c r="M18" s="23" t="n">
        <f aca="false">L18/K18-1</f>
        <v>-0.00710619818397162</v>
      </c>
      <c r="N18" s="29" t="n">
        <f aca="false">SUM(AM18:AP18)</f>
        <v>8060</v>
      </c>
      <c r="O18" s="29" t="n">
        <f aca="false">O15+O16+O17</f>
        <v>8490</v>
      </c>
      <c r="P18" s="30"/>
      <c r="Q18" s="30" t="n">
        <f aca="false">Q15+Q16+Q17</f>
        <v>1780</v>
      </c>
      <c r="R18" s="30" t="n">
        <f aca="false">R15+R16+R17</f>
        <v>2298</v>
      </c>
      <c r="S18" s="30" t="n">
        <f aca="false">S15+S16+S17</f>
        <v>2279</v>
      </c>
      <c r="T18" s="30" t="n">
        <f aca="false">T15+T16+T17</f>
        <v>1933</v>
      </c>
      <c r="U18" s="30"/>
      <c r="V18" s="30" t="n">
        <f aca="false">V15+V16+V17</f>
        <v>1982</v>
      </c>
      <c r="W18" s="30" t="n">
        <f aca="false">W15+W16+W17</f>
        <v>1844</v>
      </c>
      <c r="X18" s="30" t="n">
        <f aca="false">X15+X16+X17</f>
        <v>2160</v>
      </c>
      <c r="Y18" s="30" t="n">
        <f aca="false">Y15+Y16+Y17</f>
        <v>1561</v>
      </c>
      <c r="Z18" s="30"/>
      <c r="AA18" s="30" t="n">
        <f aca="false">AA15+AA16+AA17</f>
        <v>1656</v>
      </c>
      <c r="AB18" s="30" t="n">
        <f aca="false">AB15+AB16+AB17</f>
        <v>1788</v>
      </c>
      <c r="AC18" s="30" t="n">
        <f aca="false">AC15+AC16+AC17</f>
        <v>1994</v>
      </c>
      <c r="AD18" s="30" t="n">
        <f aca="false">AD15+AD16+AD17</f>
        <v>1810</v>
      </c>
      <c r="AE18" s="30"/>
      <c r="AF18" s="30" t="n">
        <f aca="false">AF15+AF16+AF17</f>
        <v>1735</v>
      </c>
      <c r="AG18" s="30" t="n">
        <f aca="false">AG15+AG16+AG17</f>
        <v>1863</v>
      </c>
      <c r="AH18" s="30" t="n">
        <f aca="false">AH15+AH16+AH17</f>
        <v>2084</v>
      </c>
      <c r="AI18" s="31" t="n">
        <f aca="false">AI15+AI16+AI17</f>
        <v>1917</v>
      </c>
      <c r="AJ18" s="30" t="n">
        <f aca="false">AJ15+AJ16+AJ17</f>
        <v>1863</v>
      </c>
      <c r="AK18" s="32" t="n">
        <f aca="false">AJ18/AI18-1</f>
        <v>-0.028169014084507</v>
      </c>
      <c r="AL18" s="30"/>
      <c r="AM18" s="30" t="n">
        <f aca="false">AM15+AM16+AM17</f>
        <v>1828</v>
      </c>
      <c r="AN18" s="30" t="n">
        <f aca="false">AN15+AN16+AN17</f>
        <v>1972</v>
      </c>
      <c r="AO18" s="30" t="n">
        <f aca="false">AO15+AO16+AO17</f>
        <v>2191</v>
      </c>
      <c r="AP18" s="30" t="n">
        <f aca="false">AP15+AP16+AP17</f>
        <v>2069</v>
      </c>
      <c r="AQ18" s="4"/>
    </row>
    <row r="19" s="38" customFormat="true" ht="25.5" hidden="false" customHeight="false" outlineLevel="0" collapsed="false">
      <c r="A19" s="18" t="s">
        <v>46</v>
      </c>
      <c r="B19" s="12"/>
      <c r="C19" s="12"/>
      <c r="D19" s="12"/>
      <c r="E19" s="21"/>
      <c r="F19" s="21"/>
      <c r="G19" s="21"/>
      <c r="H19" s="22"/>
      <c r="I19" s="22"/>
      <c r="J19" s="22"/>
      <c r="K19" s="22"/>
      <c r="L19" s="22"/>
      <c r="M19" s="23"/>
      <c r="N19" s="21"/>
      <c r="O19" s="21"/>
      <c r="P19" s="13"/>
      <c r="Q19" s="15"/>
      <c r="R19" s="15"/>
      <c r="S19" s="15"/>
      <c r="T19" s="15"/>
      <c r="U19" s="15"/>
      <c r="V19" s="15"/>
      <c r="W19" s="15"/>
      <c r="X19" s="15"/>
      <c r="Y19" s="14"/>
      <c r="Z19" s="16"/>
      <c r="AA19" s="14"/>
      <c r="AB19" s="14"/>
      <c r="AC19" s="14"/>
      <c r="AD19" s="14"/>
      <c r="AE19" s="14"/>
      <c r="AF19" s="14"/>
      <c r="AG19" s="14"/>
      <c r="AH19" s="14"/>
      <c r="AI19" s="17"/>
      <c r="AJ19" s="13"/>
      <c r="AK19" s="23"/>
      <c r="AL19" s="13"/>
      <c r="AM19" s="13"/>
      <c r="AN19" s="13"/>
      <c r="AO19" s="13"/>
      <c r="AP19" s="13"/>
      <c r="AQ19" s="2"/>
    </row>
    <row r="20" s="2" customFormat="true" ht="25.5" hidden="false" customHeight="false" outlineLevel="0" collapsed="false">
      <c r="A20" s="20" t="s">
        <v>40</v>
      </c>
      <c r="B20" s="12"/>
      <c r="C20" s="12"/>
      <c r="D20" s="12"/>
      <c r="E20" s="21" t="n">
        <v>3575</v>
      </c>
      <c r="F20" s="21" t="n">
        <v>3622</v>
      </c>
      <c r="G20" s="21" t="n">
        <v>3449</v>
      </c>
      <c r="H20" s="22" t="n">
        <v>3659</v>
      </c>
      <c r="I20" s="22" t="n">
        <v>4111</v>
      </c>
      <c r="J20" s="22" t="n">
        <f aca="false">AA20+AB20+AC20+AD20</f>
        <v>4543</v>
      </c>
      <c r="K20" s="22" t="n">
        <f aca="false">AF20+AG20+AH20+AI20</f>
        <v>4939</v>
      </c>
      <c r="L20" s="22" t="n">
        <f aca="false">SUM(AF20:AH20)+AJ20</f>
        <v>4865</v>
      </c>
      <c r="M20" s="23" t="n">
        <f aca="false">L20/K20-1</f>
        <v>-0.0149827900384694</v>
      </c>
      <c r="N20" s="21" t="n">
        <f aca="false">SUM(AM20:AP20)</f>
        <v>5440</v>
      </c>
      <c r="O20" s="21" t="n">
        <v>5900</v>
      </c>
      <c r="P20" s="13"/>
      <c r="Q20" s="39" t="n">
        <v>758</v>
      </c>
      <c r="R20" s="24" t="n">
        <v>991</v>
      </c>
      <c r="S20" s="24" t="n">
        <v>903</v>
      </c>
      <c r="T20" s="24" t="n">
        <v>1007</v>
      </c>
      <c r="U20" s="24"/>
      <c r="V20" s="39" t="n">
        <v>1022</v>
      </c>
      <c r="W20" s="39" t="n">
        <v>887</v>
      </c>
      <c r="X20" s="24" t="n">
        <v>1005</v>
      </c>
      <c r="Y20" s="14" t="n">
        <v>1197</v>
      </c>
      <c r="Z20" s="16"/>
      <c r="AA20" s="14" t="n">
        <v>1064</v>
      </c>
      <c r="AB20" s="14" t="n">
        <v>1108</v>
      </c>
      <c r="AC20" s="14" t="n">
        <v>1141</v>
      </c>
      <c r="AD20" s="14" t="n">
        <v>1230</v>
      </c>
      <c r="AE20" s="14"/>
      <c r="AF20" s="14" t="n">
        <v>1141</v>
      </c>
      <c r="AG20" s="14" t="n">
        <v>1303</v>
      </c>
      <c r="AH20" s="14" t="n">
        <v>1195</v>
      </c>
      <c r="AI20" s="25" t="n">
        <v>1300</v>
      </c>
      <c r="AJ20" s="14" t="n">
        <v>1226</v>
      </c>
      <c r="AK20" s="23" t="n">
        <f aca="false">AJ20/AI20-1</f>
        <v>-0.056923076923077</v>
      </c>
      <c r="AL20" s="13"/>
      <c r="AM20" s="14" t="n">
        <v>1230</v>
      </c>
      <c r="AN20" s="14" t="n">
        <v>1560</v>
      </c>
      <c r="AO20" s="14" t="n">
        <v>1260</v>
      </c>
      <c r="AP20" s="14" t="n">
        <v>1390</v>
      </c>
    </row>
    <row r="21" s="2" customFormat="true" ht="25.5" hidden="false" customHeight="false" outlineLevel="0" collapsed="false">
      <c r="A21" s="20" t="s">
        <v>41</v>
      </c>
      <c r="B21" s="12"/>
      <c r="C21" s="12"/>
      <c r="D21" s="12"/>
      <c r="E21" s="21" t="n">
        <v>1347</v>
      </c>
      <c r="F21" s="21" t="n">
        <v>1395</v>
      </c>
      <c r="G21" s="21" t="n">
        <v>1365</v>
      </c>
      <c r="H21" s="22" t="n">
        <v>1494</v>
      </c>
      <c r="I21" s="22" t="n">
        <v>1610</v>
      </c>
      <c r="J21" s="22" t="n">
        <f aca="false">AA21+AB21+AC21+AD21</f>
        <v>1664</v>
      </c>
      <c r="K21" s="22" t="n">
        <f aca="false">AF21+AG21+AH21+AI21</f>
        <v>1593</v>
      </c>
      <c r="L21" s="22" t="n">
        <f aca="false">SUM(AF21:AH21)+AJ21</f>
        <v>1614</v>
      </c>
      <c r="M21" s="23" t="n">
        <f aca="false">L21/K21-1</f>
        <v>0.0131826741996233</v>
      </c>
      <c r="N21" s="21" t="n">
        <f aca="false">SUM(AM21:AP21)</f>
        <v>1610</v>
      </c>
      <c r="O21" s="21" t="n">
        <v>1730</v>
      </c>
      <c r="P21" s="13"/>
      <c r="Q21" s="39" t="n">
        <v>301</v>
      </c>
      <c r="R21" s="39" t="n">
        <v>432</v>
      </c>
      <c r="S21" s="39" t="n">
        <v>365</v>
      </c>
      <c r="T21" s="39" t="n">
        <v>396</v>
      </c>
      <c r="U21" s="39"/>
      <c r="V21" s="39" t="n">
        <v>385</v>
      </c>
      <c r="W21" s="39" t="n">
        <v>402</v>
      </c>
      <c r="X21" s="39" t="n">
        <v>394</v>
      </c>
      <c r="Y21" s="14" t="n">
        <v>429</v>
      </c>
      <c r="Z21" s="16"/>
      <c r="AA21" s="14" t="n">
        <v>413</v>
      </c>
      <c r="AB21" s="14" t="n">
        <v>435</v>
      </c>
      <c r="AC21" s="14" t="n">
        <v>407</v>
      </c>
      <c r="AD21" s="14" t="n">
        <v>409</v>
      </c>
      <c r="AE21" s="14"/>
      <c r="AF21" s="14" t="n">
        <v>371</v>
      </c>
      <c r="AG21" s="14" t="n">
        <v>437</v>
      </c>
      <c r="AH21" s="14" t="n">
        <v>390</v>
      </c>
      <c r="AI21" s="25" t="n">
        <v>395</v>
      </c>
      <c r="AJ21" s="14" t="n">
        <v>416</v>
      </c>
      <c r="AK21" s="23" t="n">
        <f aca="false">AJ21/AI21-1</f>
        <v>0.0531645569620254</v>
      </c>
      <c r="AL21" s="13"/>
      <c r="AM21" s="14" t="n">
        <v>370</v>
      </c>
      <c r="AN21" s="14" t="n">
        <v>440</v>
      </c>
      <c r="AO21" s="14" t="n">
        <v>400</v>
      </c>
      <c r="AP21" s="14" t="n">
        <v>400</v>
      </c>
    </row>
    <row r="22" s="2" customFormat="true" ht="25.5" hidden="false" customHeight="false" outlineLevel="0" collapsed="false">
      <c r="A22" s="20" t="s">
        <v>42</v>
      </c>
      <c r="B22" s="12"/>
      <c r="C22" s="12"/>
      <c r="D22" s="12"/>
      <c r="E22" s="21" t="n">
        <v>244</v>
      </c>
      <c r="F22" s="21" t="n">
        <v>237</v>
      </c>
      <c r="G22" s="21" t="n">
        <v>214</v>
      </c>
      <c r="H22" s="22" t="n">
        <v>190</v>
      </c>
      <c r="I22" s="22" t="n">
        <v>234</v>
      </c>
      <c r="J22" s="22" t="n">
        <f aca="false">AA22+AB22+AC22+AD22</f>
        <v>224</v>
      </c>
      <c r="K22" s="22" t="n">
        <f aca="false">AF22+AG22+AH22+AI22</f>
        <v>247</v>
      </c>
      <c r="L22" s="22" t="n">
        <f aca="false">SUM(AF22:AH22)+AJ22</f>
        <v>250</v>
      </c>
      <c r="M22" s="23" t="n">
        <f aca="false">L22/K22-1</f>
        <v>0.0121457489878543</v>
      </c>
      <c r="N22" s="21" t="n">
        <f aca="false">SUM(AM22:AP22)</f>
        <v>276</v>
      </c>
      <c r="O22" s="21" t="n">
        <v>290</v>
      </c>
      <c r="P22" s="13"/>
      <c r="Q22" s="13" t="n">
        <v>40</v>
      </c>
      <c r="R22" s="13" t="n">
        <v>48</v>
      </c>
      <c r="S22" s="13" t="n">
        <v>47</v>
      </c>
      <c r="T22" s="13" t="n">
        <v>55</v>
      </c>
      <c r="U22" s="13"/>
      <c r="V22" s="13" t="n">
        <v>58</v>
      </c>
      <c r="W22" s="13" t="n">
        <v>58</v>
      </c>
      <c r="X22" s="13" t="n">
        <v>62</v>
      </c>
      <c r="Y22" s="14" t="n">
        <v>56</v>
      </c>
      <c r="Z22" s="16"/>
      <c r="AA22" s="14" t="n">
        <v>58</v>
      </c>
      <c r="AB22" s="14" t="n">
        <v>56</v>
      </c>
      <c r="AC22" s="14" t="n">
        <v>53</v>
      </c>
      <c r="AD22" s="14" t="n">
        <v>57</v>
      </c>
      <c r="AE22" s="14"/>
      <c r="AF22" s="14" t="n">
        <v>60</v>
      </c>
      <c r="AG22" s="14" t="n">
        <v>65</v>
      </c>
      <c r="AH22" s="14" t="n">
        <v>62</v>
      </c>
      <c r="AI22" s="25" t="n">
        <v>60</v>
      </c>
      <c r="AJ22" s="14" t="n">
        <v>63</v>
      </c>
      <c r="AK22" s="23" t="n">
        <f aca="false">AJ22/AI22-1</f>
        <v>0.05</v>
      </c>
      <c r="AL22" s="13"/>
      <c r="AM22" s="14" t="n">
        <v>62</v>
      </c>
      <c r="AN22" s="14" t="n">
        <v>77</v>
      </c>
      <c r="AO22" s="14" t="n">
        <v>73</v>
      </c>
      <c r="AP22" s="14" t="n">
        <v>64</v>
      </c>
    </row>
    <row r="23" s="2" customFormat="true" ht="27" hidden="false" customHeight="false" outlineLevel="0" collapsed="false">
      <c r="A23" s="26" t="s">
        <v>43</v>
      </c>
      <c r="B23" s="27" t="n">
        <f aca="false">B20+B21+B22</f>
        <v>0</v>
      </c>
      <c r="C23" s="27" t="n">
        <f aca="false">C20+C21+C22</f>
        <v>0</v>
      </c>
      <c r="D23" s="27" t="n">
        <f aca="false">D20+D21+D22</f>
        <v>0</v>
      </c>
      <c r="E23" s="28" t="n">
        <f aca="false">E20+E21+E22</f>
        <v>5166</v>
      </c>
      <c r="F23" s="28" t="n">
        <f aca="false">F20+F21+F22</f>
        <v>5254</v>
      </c>
      <c r="G23" s="28" t="n">
        <f aca="false">G20+G21+G22</f>
        <v>5028</v>
      </c>
      <c r="H23" s="28" t="n">
        <f aca="false">H20+H21+H22</f>
        <v>5343</v>
      </c>
      <c r="I23" s="28" t="n">
        <f aca="false">I20+I21+I22</f>
        <v>5955</v>
      </c>
      <c r="J23" s="28" t="n">
        <f aca="false">J20+J21+J22</f>
        <v>6431</v>
      </c>
      <c r="K23" s="28" t="n">
        <f aca="false">K20+K21+K22</f>
        <v>6779</v>
      </c>
      <c r="L23" s="28" t="n">
        <f aca="false">L20+L21+L22</f>
        <v>6729</v>
      </c>
      <c r="M23" s="23" t="n">
        <f aca="false">L23/K23-1</f>
        <v>-0.00737571913261548</v>
      </c>
      <c r="N23" s="29" t="n">
        <f aca="false">SUM(AM23:AP23)</f>
        <v>7326</v>
      </c>
      <c r="O23" s="29" t="n">
        <f aca="false">O20+O21+O22</f>
        <v>7920</v>
      </c>
      <c r="P23" s="30"/>
      <c r="Q23" s="30" t="n">
        <f aca="false">Q20+Q21+Q22</f>
        <v>1099</v>
      </c>
      <c r="R23" s="30" t="n">
        <f aca="false">R20+R21+R22</f>
        <v>1471</v>
      </c>
      <c r="S23" s="30" t="n">
        <f aca="false">S20+S21+S22</f>
        <v>1315</v>
      </c>
      <c r="T23" s="30" t="n">
        <f aca="false">T20+T21+T22</f>
        <v>1458</v>
      </c>
      <c r="U23" s="30"/>
      <c r="V23" s="30" t="n">
        <f aca="false">V20+V21+V22</f>
        <v>1465</v>
      </c>
      <c r="W23" s="30" t="n">
        <f aca="false">W20+W21+W22</f>
        <v>1347</v>
      </c>
      <c r="X23" s="30" t="n">
        <f aca="false">X20+X21+X22</f>
        <v>1461</v>
      </c>
      <c r="Y23" s="30" t="n">
        <f aca="false">Y20+Y21+Y22</f>
        <v>1682</v>
      </c>
      <c r="Z23" s="30"/>
      <c r="AA23" s="30" t="n">
        <f aca="false">AA20+AA21+AA22</f>
        <v>1535</v>
      </c>
      <c r="AB23" s="30" t="n">
        <f aca="false">AB20+AB21+AB22</f>
        <v>1599</v>
      </c>
      <c r="AC23" s="30" t="n">
        <f aca="false">AC20+AC21+AC22</f>
        <v>1601</v>
      </c>
      <c r="AD23" s="30" t="n">
        <f aca="false">AD20+AD21+AD22</f>
        <v>1696</v>
      </c>
      <c r="AE23" s="30"/>
      <c r="AF23" s="30" t="n">
        <f aca="false">AF20+AF21+AF22</f>
        <v>1572</v>
      </c>
      <c r="AG23" s="30" t="n">
        <f aca="false">AG20+AG21+AG22</f>
        <v>1805</v>
      </c>
      <c r="AH23" s="30" t="n">
        <f aca="false">AH20+AH21+AH22</f>
        <v>1647</v>
      </c>
      <c r="AI23" s="31" t="n">
        <f aca="false">AI20+AI21+AI22</f>
        <v>1755</v>
      </c>
      <c r="AJ23" s="30" t="n">
        <f aca="false">AJ20+AJ21+AJ22</f>
        <v>1705</v>
      </c>
      <c r="AK23" s="32" t="n">
        <f aca="false">AJ23/AI23-1</f>
        <v>-0.0284900284900285</v>
      </c>
      <c r="AL23" s="30"/>
      <c r="AM23" s="30" t="n">
        <f aca="false">AM20+AM21+AM22</f>
        <v>1662</v>
      </c>
      <c r="AN23" s="30" t="n">
        <f aca="false">AN20+AN21+AN22</f>
        <v>2077</v>
      </c>
      <c r="AO23" s="30" t="n">
        <f aca="false">AO20+AO21+AO22</f>
        <v>1733</v>
      </c>
      <c r="AP23" s="30" t="n">
        <f aca="false">AP20+AP21+AP22</f>
        <v>1854</v>
      </c>
      <c r="AQ23" s="4"/>
    </row>
    <row r="24" s="2" customFormat="true" ht="25.5" hidden="false" customHeight="false" outlineLevel="0" collapsed="false">
      <c r="A24" s="40" t="s">
        <v>47</v>
      </c>
      <c r="B24" s="12"/>
      <c r="C24" s="12"/>
      <c r="D24" s="12"/>
      <c r="E24" s="21" t="n">
        <v>88</v>
      </c>
      <c r="F24" s="21" t="n">
        <v>42</v>
      </c>
      <c r="G24" s="21" t="n">
        <v>30</v>
      </c>
      <c r="H24" s="22" t="n">
        <v>25</v>
      </c>
      <c r="I24" s="22" t="n">
        <v>102</v>
      </c>
      <c r="J24" s="22" t="n">
        <f aca="false">AA24+AB24+AC24+AD24</f>
        <v>58</v>
      </c>
      <c r="K24" s="22" t="n">
        <f aca="false">AF24+AG24+AH24+AI24</f>
        <v>45</v>
      </c>
      <c r="L24" s="22" t="n">
        <f aca="false">SUM(AF24:AH24)+AJ24</f>
        <v>45</v>
      </c>
      <c r="M24" s="23" t="n">
        <f aca="false">L24/K24-1</f>
        <v>0</v>
      </c>
      <c r="N24" s="21" t="n">
        <f aca="false">SUM(AM24:AP24)</f>
        <v>56</v>
      </c>
      <c r="O24" s="21" t="n">
        <v>60</v>
      </c>
      <c r="P24" s="13"/>
      <c r="Q24" s="13" t="n">
        <v>4</v>
      </c>
      <c r="R24" s="13" t="n">
        <v>8</v>
      </c>
      <c r="S24" s="13" t="n">
        <v>6</v>
      </c>
      <c r="T24" s="13" t="n">
        <v>7</v>
      </c>
      <c r="U24" s="13"/>
      <c r="V24" s="13" t="n">
        <v>7</v>
      </c>
      <c r="W24" s="13" t="n">
        <v>6</v>
      </c>
      <c r="X24" s="13" t="n">
        <v>41</v>
      </c>
      <c r="Y24" s="14" t="n">
        <v>48</v>
      </c>
      <c r="Z24" s="16"/>
      <c r="AA24" s="14" t="n">
        <v>14</v>
      </c>
      <c r="AB24" s="14" t="n">
        <v>18</v>
      </c>
      <c r="AC24" s="14" t="n">
        <v>12</v>
      </c>
      <c r="AD24" s="14" t="n">
        <v>14</v>
      </c>
      <c r="AE24" s="14"/>
      <c r="AF24" s="14" t="n">
        <v>13</v>
      </c>
      <c r="AG24" s="14" t="n">
        <v>12</v>
      </c>
      <c r="AH24" s="14" t="n">
        <v>9</v>
      </c>
      <c r="AI24" s="25" t="n">
        <v>11</v>
      </c>
      <c r="AJ24" s="14" t="n">
        <v>11</v>
      </c>
      <c r="AK24" s="23" t="n">
        <f aca="false">AJ24/AI24-1</f>
        <v>0</v>
      </c>
      <c r="AL24" s="13"/>
      <c r="AM24" s="14" t="n">
        <v>14</v>
      </c>
      <c r="AN24" s="14" t="n">
        <v>15</v>
      </c>
      <c r="AO24" s="14" t="n">
        <v>11</v>
      </c>
      <c r="AP24" s="14" t="n">
        <v>16</v>
      </c>
    </row>
    <row r="25" s="2" customFormat="true" ht="25.5" hidden="false" customHeight="false" outlineLevel="0" collapsed="false">
      <c r="A25" s="41" t="s">
        <v>48</v>
      </c>
      <c r="B25" s="42" t="n">
        <f aca="false">B24+B23+B18+B13+B8</f>
        <v>0</v>
      </c>
      <c r="C25" s="42" t="n">
        <f aca="false">C24+C23+C18+C13+C8</f>
        <v>0</v>
      </c>
      <c r="D25" s="42" t="n">
        <f aca="false">D24+D23+D18+D13+D8</f>
        <v>0</v>
      </c>
      <c r="E25" s="43" t="n">
        <f aca="false">E24+E23+E18+E13+E8</f>
        <v>34485</v>
      </c>
      <c r="F25" s="43" t="n">
        <f aca="false">F24+F23+F18+F13+F8</f>
        <v>37218</v>
      </c>
      <c r="G25" s="43" t="n">
        <f aca="false">G24+G23+G18+G13+G8</f>
        <v>35568</v>
      </c>
      <c r="H25" s="43" t="n">
        <f aca="false">H24+H23+H18+H13+H8</f>
        <v>42293</v>
      </c>
      <c r="I25" s="43" t="n">
        <f aca="false">I24+I23+I18+I13+I8</f>
        <v>44436</v>
      </c>
      <c r="J25" s="43" t="n">
        <f aca="false">J24+J23+J18+J13+J8</f>
        <v>48763</v>
      </c>
      <c r="K25" s="43" t="n">
        <f aca="false">K24+K23+K18+K13+K8</f>
        <v>49756</v>
      </c>
      <c r="L25" s="43" t="n">
        <f aca="false">L24+L23+L18+L13+L8</f>
        <v>49322</v>
      </c>
      <c r="M25" s="23" t="n">
        <f aca="false">L25/K25-1</f>
        <v>-0.00872256612267863</v>
      </c>
      <c r="N25" s="44" t="n">
        <f aca="false">SUM(AM25:AP25)</f>
        <v>52296</v>
      </c>
      <c r="O25" s="44" t="n">
        <f aca="false">O24+O23+O18+O13+O8</f>
        <v>55450</v>
      </c>
      <c r="P25" s="16"/>
      <c r="Q25" s="16" t="n">
        <f aca="false">Q24+Q23+Q18+Q13+Q8</f>
        <v>10018</v>
      </c>
      <c r="R25" s="16" t="n">
        <f aca="false">R24+R23+R18+R13+R8</f>
        <v>10741</v>
      </c>
      <c r="S25" s="16" t="n">
        <f aca="false">S24+S23+S18+S13+S8</f>
        <v>9773</v>
      </c>
      <c r="T25" s="16" t="n">
        <f aca="false">T24+T23+T18+T13+T8</f>
        <v>11761</v>
      </c>
      <c r="U25" s="16"/>
      <c r="V25" s="16" t="n">
        <f aca="false">V24+V23+V18+V13+V8</f>
        <v>11640</v>
      </c>
      <c r="W25" s="16" t="n">
        <f aca="false">W24+W23+W18+W13+W8</f>
        <v>10816</v>
      </c>
      <c r="X25" s="16" t="n">
        <f aca="false">X24+X23+X18+X13+X8</f>
        <v>10323</v>
      </c>
      <c r="Y25" s="16" t="n">
        <f aca="false">Y24+Y23+Y18+Y13+Y8</f>
        <v>11657</v>
      </c>
      <c r="Z25" s="16"/>
      <c r="AA25" s="16" t="n">
        <f aca="false">AA24+AA23+AA18+AA13+AA8</f>
        <v>12048</v>
      </c>
      <c r="AB25" s="16" t="n">
        <f aca="false">AB24+AB23+AB18+AB13+AB8</f>
        <v>12724</v>
      </c>
      <c r="AC25" s="16" t="n">
        <f aca="false">AC24+AC23+AC18+AC13+AC8</f>
        <v>11766</v>
      </c>
      <c r="AD25" s="16" t="n">
        <f aca="false">AD24+AD23+AD18+AD13+AD8</f>
        <v>12225</v>
      </c>
      <c r="AE25" s="16"/>
      <c r="AF25" s="16" t="n">
        <f aca="false">AF24+AF23+AF18+AF13+AF8</f>
        <v>12353</v>
      </c>
      <c r="AG25" s="16" t="n">
        <f aca="false">AG24+AG23+AG18+AG13+AG8</f>
        <v>12872</v>
      </c>
      <c r="AH25" s="16" t="n">
        <f aca="false">AH24+AH23+AH18+AH13+AH8</f>
        <v>11948</v>
      </c>
      <c r="AI25" s="45" t="n">
        <f aca="false">AI24+AI23+AI18+AI13+AI8</f>
        <v>12583</v>
      </c>
      <c r="AJ25" s="16" t="n">
        <f aca="false">AJ24+AJ23+AJ18+AJ13+AJ8</f>
        <v>12149</v>
      </c>
      <c r="AK25" s="46" t="n">
        <f aca="false">AJ25/AI25-1</f>
        <v>-0.0344909798935071</v>
      </c>
      <c r="AL25" s="16"/>
      <c r="AM25" s="16" t="n">
        <f aca="false">AM24+AM23+AM18+AM13+AM8</f>
        <v>13029</v>
      </c>
      <c r="AN25" s="16" t="n">
        <f aca="false">AN24+AN23+AN18+AN13+AN8</f>
        <v>13628</v>
      </c>
      <c r="AO25" s="16" t="n">
        <f aca="false">AO24+AO23+AO18+AO13+AO8</f>
        <v>12480</v>
      </c>
      <c r="AP25" s="16" t="n">
        <f aca="false">AP24+AP23+AP18+AP13+AP8</f>
        <v>13159</v>
      </c>
      <c r="AQ25" s="36"/>
    </row>
    <row r="26" s="2" customFormat="true" ht="25.5" hidden="false" customHeight="false" outlineLevel="0" collapsed="false">
      <c r="A26" s="40" t="s">
        <v>49</v>
      </c>
      <c r="B26" s="12"/>
      <c r="C26" s="12"/>
      <c r="D26" s="12"/>
      <c r="E26" s="21" t="n">
        <v>1886</v>
      </c>
      <c r="F26" s="21" t="n">
        <v>1906</v>
      </c>
      <c r="G26" s="21" t="n">
        <v>1846</v>
      </c>
      <c r="H26" s="22" t="n">
        <v>2205</v>
      </c>
      <c r="I26" s="22" t="n">
        <v>2346</v>
      </c>
      <c r="J26" s="22" t="n">
        <f aca="false">AA26+AB26+AC26+AD26</f>
        <v>2427</v>
      </c>
      <c r="K26" s="22" t="n">
        <f aca="false">AF26+AG26+AH26+AI26</f>
        <v>2102</v>
      </c>
      <c r="L26" s="22" t="n">
        <f aca="false">SUM(AF26:AH26)+AJ26</f>
        <v>2082</v>
      </c>
      <c r="M26" s="23" t="n">
        <f aca="false">L26/K26-1</f>
        <v>-0.00951474785918172</v>
      </c>
      <c r="N26" s="21" t="n">
        <f aca="false">SUM(AM26:AP26)</f>
        <v>2135</v>
      </c>
      <c r="O26" s="21" t="n">
        <v>2300</v>
      </c>
      <c r="P26" s="13"/>
      <c r="Q26" s="13" t="n">
        <v>563</v>
      </c>
      <c r="R26" s="13" t="n">
        <v>476</v>
      </c>
      <c r="S26" s="13" t="n">
        <v>570</v>
      </c>
      <c r="T26" s="13" t="n">
        <v>596</v>
      </c>
      <c r="U26" s="13"/>
      <c r="V26" s="13" t="n">
        <v>629</v>
      </c>
      <c r="W26" s="13" t="n">
        <v>557</v>
      </c>
      <c r="X26" s="13" t="n">
        <v>567</v>
      </c>
      <c r="Y26" s="14" t="n">
        <v>593</v>
      </c>
      <c r="Z26" s="16"/>
      <c r="AA26" s="14" t="n">
        <v>643</v>
      </c>
      <c r="AB26" s="14" t="n">
        <v>586</v>
      </c>
      <c r="AC26" s="14" t="n">
        <v>612</v>
      </c>
      <c r="AD26" s="14" t="n">
        <v>586</v>
      </c>
      <c r="AE26" s="14"/>
      <c r="AF26" s="14" t="n">
        <v>588</v>
      </c>
      <c r="AG26" s="14" t="n">
        <v>519</v>
      </c>
      <c r="AH26" s="14" t="n">
        <v>495</v>
      </c>
      <c r="AI26" s="25" t="n">
        <v>500</v>
      </c>
      <c r="AJ26" s="14" t="n">
        <v>480</v>
      </c>
      <c r="AK26" s="23" t="n">
        <f aca="false">AJ26/AI26-1</f>
        <v>-0.04</v>
      </c>
      <c r="AL26" s="13"/>
      <c r="AM26" s="14" t="n">
        <v>590</v>
      </c>
      <c r="AN26" s="14" t="n">
        <v>525</v>
      </c>
      <c r="AO26" s="14" t="n">
        <v>510</v>
      </c>
      <c r="AP26" s="14" t="n">
        <v>510</v>
      </c>
    </row>
    <row r="27" s="2" customFormat="true" ht="25.5" hidden="false" customHeight="false" outlineLevel="0" collapsed="false">
      <c r="A27" s="40" t="s">
        <v>50</v>
      </c>
      <c r="B27" s="12"/>
      <c r="C27" s="12"/>
      <c r="D27" s="12"/>
      <c r="E27" s="22" t="n">
        <v>26</v>
      </c>
      <c r="F27" s="22" t="n">
        <v>-7</v>
      </c>
      <c r="G27" s="22" t="n">
        <v>-11</v>
      </c>
      <c r="H27" s="22" t="n">
        <v>40</v>
      </c>
      <c r="I27" s="22" t="n">
        <v>-72</v>
      </c>
      <c r="J27" s="22" t="n">
        <f aca="false">AA27+AB27+AC27+AD27</f>
        <v>27</v>
      </c>
      <c r="K27" s="22" t="n">
        <f aca="false">AF27+AG27+AH27+AI27</f>
        <v>-29</v>
      </c>
      <c r="L27" s="22" t="n">
        <f aca="false">SUM(AF27:AH27)+AJ27</f>
        <v>-42</v>
      </c>
      <c r="M27" s="23" t="n">
        <f aca="false">L27/K27-1</f>
        <v>0.448275862068966</v>
      </c>
      <c r="N27" s="21" t="n">
        <f aca="false">SUM(AM27:AP27)</f>
        <v>-2</v>
      </c>
      <c r="O27" s="21" t="n">
        <v>20</v>
      </c>
      <c r="P27" s="13"/>
      <c r="Q27" s="13" t="n">
        <v>13</v>
      </c>
      <c r="R27" s="13" t="n">
        <v>26</v>
      </c>
      <c r="S27" s="13" t="n">
        <v>14</v>
      </c>
      <c r="T27" s="13" t="n">
        <v>-13</v>
      </c>
      <c r="U27" s="13"/>
      <c r="V27" s="13" t="n">
        <v>-21</v>
      </c>
      <c r="W27" s="13" t="n">
        <v>-16</v>
      </c>
      <c r="X27" s="13" t="n">
        <v>-19</v>
      </c>
      <c r="Y27" s="14" t="n">
        <v>-16</v>
      </c>
      <c r="Z27" s="16"/>
      <c r="AA27" s="14" t="n">
        <v>-4</v>
      </c>
      <c r="AB27" s="14" t="n">
        <v>5</v>
      </c>
      <c r="AC27" s="14" t="n">
        <v>12</v>
      </c>
      <c r="AD27" s="14" t="n">
        <v>14</v>
      </c>
      <c r="AE27" s="14"/>
      <c r="AF27" s="14" t="n">
        <v>-2</v>
      </c>
      <c r="AG27" s="14" t="n">
        <v>-3</v>
      </c>
      <c r="AH27" s="14" t="n">
        <v>-14</v>
      </c>
      <c r="AI27" s="25" t="n">
        <v>-10</v>
      </c>
      <c r="AJ27" s="14" t="n">
        <v>-23</v>
      </c>
      <c r="AK27" s="23" t="n">
        <f aca="false">AJ27/AI27-1</f>
        <v>1.3</v>
      </c>
      <c r="AL27" s="13"/>
      <c r="AM27" s="14" t="n">
        <v>1</v>
      </c>
      <c r="AN27" s="14" t="n">
        <v>2</v>
      </c>
      <c r="AO27" s="14" t="n">
        <v>-2</v>
      </c>
      <c r="AP27" s="14" t="n">
        <v>-3</v>
      </c>
    </row>
    <row r="28" s="47" customFormat="true" ht="25.5" hidden="false" customHeight="false" outlineLevel="0" collapsed="false">
      <c r="A28" s="41" t="s">
        <v>51</v>
      </c>
      <c r="B28" s="12"/>
      <c r="C28" s="12"/>
      <c r="D28" s="12"/>
      <c r="E28" s="22"/>
      <c r="F28" s="22"/>
      <c r="G28" s="22"/>
      <c r="H28" s="22"/>
      <c r="I28" s="22"/>
      <c r="J28" s="22"/>
      <c r="K28" s="22"/>
      <c r="L28" s="22"/>
      <c r="M28" s="23"/>
      <c r="N28" s="21"/>
      <c r="O28" s="21"/>
      <c r="P28" s="13"/>
      <c r="Q28" s="13"/>
      <c r="R28" s="13"/>
      <c r="S28" s="13"/>
      <c r="T28" s="13"/>
      <c r="U28" s="13"/>
      <c r="V28" s="13"/>
      <c r="W28" s="13"/>
      <c r="X28" s="13"/>
      <c r="Y28" s="14"/>
      <c r="Z28" s="16"/>
      <c r="AA28" s="14"/>
      <c r="AB28" s="14"/>
      <c r="AC28" s="14"/>
      <c r="AD28" s="14"/>
      <c r="AE28" s="14"/>
      <c r="AF28" s="14"/>
      <c r="AG28" s="14"/>
      <c r="AH28" s="14"/>
      <c r="AI28" s="25"/>
      <c r="AJ28" s="14"/>
      <c r="AK28" s="23"/>
      <c r="AL28" s="13"/>
      <c r="AM28" s="14"/>
      <c r="AN28" s="14"/>
      <c r="AO28" s="14"/>
      <c r="AP28" s="14"/>
      <c r="AQ28" s="2"/>
    </row>
    <row r="29" s="48" customFormat="true" ht="25.5" hidden="false" customHeight="false" outlineLevel="0" collapsed="false">
      <c r="A29" s="20" t="s">
        <v>52</v>
      </c>
      <c r="B29" s="12"/>
      <c r="C29" s="12"/>
      <c r="D29" s="12"/>
      <c r="E29" s="22" t="n">
        <f aca="false">E5+E10+E15+E20</f>
        <v>22268</v>
      </c>
      <c r="F29" s="22" t="n">
        <f aca="false">F5+F10+F15+F20</f>
        <v>24222</v>
      </c>
      <c r="G29" s="22" t="n">
        <f aca="false">G5+G10+G15+G20</f>
        <v>23305</v>
      </c>
      <c r="H29" s="22" t="n">
        <f aca="false">H5+H10+H15+H20</f>
        <v>28021</v>
      </c>
      <c r="I29" s="22" t="n">
        <f aca="false">I5+I10+I15+I20</f>
        <v>29143</v>
      </c>
      <c r="J29" s="22" t="n">
        <f aca="false">J5+J10+J15+J20</f>
        <v>33135</v>
      </c>
      <c r="K29" s="22" t="n">
        <f aca="false">K5+K10+K15+K20</f>
        <v>34080</v>
      </c>
      <c r="L29" s="22" t="n">
        <f aca="false">SUM(AF29:AH29)+AJ29</f>
        <v>33427</v>
      </c>
      <c r="M29" s="23" t="n">
        <f aca="false">L29/K29-1</f>
        <v>-0.0191607981220657</v>
      </c>
      <c r="N29" s="22" t="n">
        <f aca="false">N5+N10+N15+N20</f>
        <v>35890</v>
      </c>
      <c r="O29" s="22" t="n">
        <f aca="false">O5+O10+O15+O20</f>
        <v>38100</v>
      </c>
      <c r="P29" s="14"/>
      <c r="Q29" s="14" t="n">
        <f aca="false">Q5+Q10+Q15+Q20</f>
        <v>6768</v>
      </c>
      <c r="R29" s="14" t="n">
        <f aca="false">R5+R10+R15+R20</f>
        <v>6801</v>
      </c>
      <c r="S29" s="14" t="n">
        <f aca="false">S5+S10+S15+S20</f>
        <v>6505</v>
      </c>
      <c r="T29" s="14" t="n">
        <f aca="false">T5+T10+T15+T20</f>
        <v>7947</v>
      </c>
      <c r="U29" s="14"/>
      <c r="V29" s="14" t="n">
        <f aca="false">V5+V10+V15+V20</f>
        <v>7718</v>
      </c>
      <c r="W29" s="14" t="n">
        <f aca="false">W5+W10+W15+W20</f>
        <v>6780</v>
      </c>
      <c r="X29" s="14" t="n">
        <f aca="false">X5+X10+X15+X20</f>
        <v>6660</v>
      </c>
      <c r="Y29" s="14" t="n">
        <f aca="false">Y5+Y10+Y15+Y20</f>
        <v>7985</v>
      </c>
      <c r="Z29" s="14"/>
      <c r="AA29" s="14" t="n">
        <f aca="false">AA5+AA10+AA15+AA20</f>
        <v>8114</v>
      </c>
      <c r="AB29" s="14" t="n">
        <f aca="false">AB5+AB10+AB15+AB20</f>
        <v>8504</v>
      </c>
      <c r="AC29" s="14" t="n">
        <f aca="false">AC5+AC10+AC15+AC20</f>
        <v>7970</v>
      </c>
      <c r="AD29" s="14" t="n">
        <f aca="false">AD5+AD10+AD15+AD20</f>
        <v>8547</v>
      </c>
      <c r="AE29" s="14"/>
      <c r="AF29" s="14" t="n">
        <f aca="false">AF5+AF10+AF15+AF20</f>
        <v>8421</v>
      </c>
      <c r="AG29" s="14" t="n">
        <f aca="false">AG5+AG10+AG15+AG20</f>
        <v>8607</v>
      </c>
      <c r="AH29" s="14" t="n">
        <f aca="false">AH5+AH10+AH15+AH20</f>
        <v>8162</v>
      </c>
      <c r="AI29" s="25" t="n">
        <f aca="false">AI5+AI10+AI15+AI20</f>
        <v>8890</v>
      </c>
      <c r="AJ29" s="14" t="n">
        <f aca="false">AJ5+AJ10+AJ15+AJ20</f>
        <v>8237</v>
      </c>
      <c r="AK29" s="23" t="n">
        <f aca="false">AJ29/AI29-1</f>
        <v>-0.0734533183352081</v>
      </c>
      <c r="AL29" s="14"/>
      <c r="AM29" s="14" t="n">
        <f aca="false">AM5+AM10+AM15+AM20</f>
        <v>8980</v>
      </c>
      <c r="AN29" s="14" t="n">
        <f aca="false">AN5+AN10+AN15+AN20</f>
        <v>9130</v>
      </c>
      <c r="AO29" s="14" t="n">
        <f aca="false">AO5+AO10+AO15+AO20</f>
        <v>8510</v>
      </c>
      <c r="AP29" s="14" t="n">
        <f aca="false">AP5+AP10+AP15+AP20</f>
        <v>9270</v>
      </c>
      <c r="AQ29" s="2"/>
    </row>
    <row r="30" s="48" customFormat="true" ht="25.5" hidden="false" customHeight="false" outlineLevel="0" collapsed="false">
      <c r="A30" s="20" t="s">
        <v>41</v>
      </c>
      <c r="B30" s="12"/>
      <c r="C30" s="12"/>
      <c r="D30" s="12"/>
      <c r="E30" s="22" t="n">
        <f aca="false">E6+E11+E16+E21</f>
        <v>10733</v>
      </c>
      <c r="F30" s="22" t="n">
        <f aca="false">F6+F11+F16+F21</f>
        <v>11550</v>
      </c>
      <c r="G30" s="22" t="n">
        <f aca="false">G6+G11+G16+G21</f>
        <v>10953</v>
      </c>
      <c r="H30" s="22" t="n">
        <f aca="false">H6+H11+H16+H21</f>
        <v>12865</v>
      </c>
      <c r="I30" s="22" t="n">
        <f aca="false">I6+I11+I16+I21</f>
        <v>13567</v>
      </c>
      <c r="J30" s="22" t="n">
        <f aca="false">J6+J11+J16+J21</f>
        <v>13843</v>
      </c>
      <c r="K30" s="22" t="n">
        <f aca="false">K6+K11+K16+K21</f>
        <v>13632</v>
      </c>
      <c r="L30" s="22" t="n">
        <f aca="false">SUM(AF30:AH30)+AJ30</f>
        <v>13775</v>
      </c>
      <c r="M30" s="23" t="n">
        <f aca="false">L30/K30-1</f>
        <v>0.0104900234741785</v>
      </c>
      <c r="N30" s="22" t="n">
        <f aca="false">N6+N11+N16+N21</f>
        <v>14020</v>
      </c>
      <c r="O30" s="22" t="n">
        <f aca="false">O6+O11+O16+O21</f>
        <v>14730</v>
      </c>
      <c r="P30" s="14"/>
      <c r="Q30" s="14" t="n">
        <f aca="false">Q6+Q11+Q16+Q21</f>
        <v>2875</v>
      </c>
      <c r="R30" s="14" t="n">
        <f aca="false">R6+R11+R16+R21</f>
        <v>3585</v>
      </c>
      <c r="S30" s="14" t="n">
        <f aca="false">S6+S11+S16+S21</f>
        <v>2966</v>
      </c>
      <c r="T30" s="14" t="n">
        <f aca="false">T6+T11+T16+T21</f>
        <v>3439</v>
      </c>
      <c r="U30" s="14"/>
      <c r="V30" s="14" t="n">
        <f aca="false">V6+V11+V16+V21</f>
        <v>3450</v>
      </c>
      <c r="W30" s="14" t="n">
        <f aca="false">W6+W11+W16+W21</f>
        <v>3648</v>
      </c>
      <c r="X30" s="14" t="n">
        <f aca="false">X6+X11+X16+X21</f>
        <v>3232</v>
      </c>
      <c r="Y30" s="14" t="n">
        <f aca="false">Y6+Y11+Y16+Y21</f>
        <v>3237</v>
      </c>
      <c r="Z30" s="14"/>
      <c r="AA30" s="14" t="n">
        <f aca="false">AA6+AA11+AA16+AA21</f>
        <v>3434</v>
      </c>
      <c r="AB30" s="14" t="n">
        <f aca="false">AB6+AB11+AB16+AB21</f>
        <v>3794</v>
      </c>
      <c r="AC30" s="14" t="n">
        <f aca="false">AC6+AC11+AC16+AC21</f>
        <v>3381</v>
      </c>
      <c r="AD30" s="14" t="n">
        <f aca="false">AD6+AD11+AD16+AD21</f>
        <v>3234</v>
      </c>
      <c r="AE30" s="14"/>
      <c r="AF30" s="14" t="n">
        <f aca="false">AF6+AF11+AF16+AF21</f>
        <v>3388</v>
      </c>
      <c r="AG30" s="14" t="n">
        <f aca="false">AG6+AG11+AG16+AG21</f>
        <v>3774</v>
      </c>
      <c r="AH30" s="14" t="n">
        <f aca="false">AH6+AH11+AH16+AH21</f>
        <v>3290</v>
      </c>
      <c r="AI30" s="25" t="n">
        <f aca="false">AI6+AI11+AI16+AI21</f>
        <v>3180</v>
      </c>
      <c r="AJ30" s="14" t="n">
        <f aca="false">AJ6+AJ11+AJ16+AJ21</f>
        <v>3323</v>
      </c>
      <c r="AK30" s="23" t="n">
        <f aca="false">AJ30/AI30-1</f>
        <v>0.0449685534591195</v>
      </c>
      <c r="AL30" s="14"/>
      <c r="AM30" s="14" t="n">
        <f aca="false">AM6+AM11+AM16+AM21</f>
        <v>3440</v>
      </c>
      <c r="AN30" s="14" t="n">
        <f aca="false">AN6+AN11+AN16+AN21</f>
        <v>3920</v>
      </c>
      <c r="AO30" s="14" t="n">
        <f aca="false">AO6+AO11+AO16+AO21</f>
        <v>3370</v>
      </c>
      <c r="AP30" s="14" t="n">
        <f aca="false">AP6+AP11+AP16+AP21</f>
        <v>3290</v>
      </c>
      <c r="AQ30" s="2"/>
    </row>
    <row r="31" s="48" customFormat="true" ht="25.5" hidden="false" customHeight="false" outlineLevel="0" collapsed="false">
      <c r="A31" s="20" t="s">
        <v>42</v>
      </c>
      <c r="B31" s="12"/>
      <c r="C31" s="12"/>
      <c r="D31" s="12"/>
      <c r="E31" s="22" t="n">
        <f aca="false">E7+E12+E17+E22</f>
        <v>1396</v>
      </c>
      <c r="F31" s="22" t="n">
        <f aca="false">F7+F12+F17+F22</f>
        <v>1404</v>
      </c>
      <c r="G31" s="22" t="n">
        <f aca="false">G7+G12+G17+G22</f>
        <v>1280</v>
      </c>
      <c r="H31" s="22" t="n">
        <f aca="false">H7+H12+H17+H22</f>
        <v>1382</v>
      </c>
      <c r="I31" s="22" t="n">
        <f aca="false">I7+I12+I17+I22</f>
        <v>1624</v>
      </c>
      <c r="J31" s="22" t="n">
        <f aca="false">J7+J12+J17+J22</f>
        <v>1727</v>
      </c>
      <c r="K31" s="22" t="n">
        <f aca="false">K7+K12+K17+K22</f>
        <v>1999</v>
      </c>
      <c r="L31" s="22" t="n">
        <f aca="false">SUM(AF31:AH31)+AJ31</f>
        <v>2075</v>
      </c>
      <c r="M31" s="23" t="n">
        <f aca="false">L31/K31-1</f>
        <v>0.0380190095047523</v>
      </c>
      <c r="N31" s="22" t="n">
        <f aca="false">N7+N12+N17+N22</f>
        <v>2330</v>
      </c>
      <c r="O31" s="22" t="n">
        <f aca="false">O7+O12+O17+O22</f>
        <v>2560</v>
      </c>
      <c r="P31" s="14"/>
      <c r="Q31" s="14" t="n">
        <f aca="false">Q7+Q12+Q17+Q22</f>
        <v>371</v>
      </c>
      <c r="R31" s="14" t="n">
        <f aca="false">R7+R12+R17+R22</f>
        <v>347</v>
      </c>
      <c r="S31" s="14" t="n">
        <f aca="false">S7+S12+S17+S22</f>
        <v>296</v>
      </c>
      <c r="T31" s="14" t="n">
        <f aca="false">T7+T12+T17+T22</f>
        <v>368</v>
      </c>
      <c r="U31" s="14"/>
      <c r="V31" s="14" t="n">
        <f aca="false">V7+V12+V17+V22</f>
        <v>465</v>
      </c>
      <c r="W31" s="14" t="n">
        <f aca="false">W7+W12+W17+W22</f>
        <v>382</v>
      </c>
      <c r="X31" s="14" t="n">
        <f aca="false">X7+X12+X17+X22</f>
        <v>390</v>
      </c>
      <c r="Y31" s="14" t="n">
        <f aca="false">Y7+Y12+Y17+Y22</f>
        <v>387</v>
      </c>
      <c r="Z31" s="14"/>
      <c r="AA31" s="14" t="n">
        <f aca="false">AA7+AA12+AA17+AA22</f>
        <v>486</v>
      </c>
      <c r="AB31" s="14" t="n">
        <f aca="false">AB7+AB12+AB17+AB22</f>
        <v>408</v>
      </c>
      <c r="AC31" s="14" t="n">
        <f aca="false">AC7+AC12+AC17+AC22</f>
        <v>403</v>
      </c>
      <c r="AD31" s="14" t="n">
        <f aca="false">AD7+AD12+AD17+AD22</f>
        <v>430</v>
      </c>
      <c r="AE31" s="14"/>
      <c r="AF31" s="14" t="n">
        <f aca="false">AF7+AF12+AF17+AF22</f>
        <v>531</v>
      </c>
      <c r="AG31" s="14" t="n">
        <f aca="false">AG7+AG12+AG17+AG22</f>
        <v>479</v>
      </c>
      <c r="AH31" s="14" t="n">
        <f aca="false">AH7+AH12+AH17+AH22</f>
        <v>487</v>
      </c>
      <c r="AI31" s="25" t="n">
        <f aca="false">AI7+AI12+AI17+AI22</f>
        <v>502</v>
      </c>
      <c r="AJ31" s="14" t="n">
        <f aca="false">AJ7+AJ12+AJ17+AJ22</f>
        <v>578</v>
      </c>
      <c r="AK31" s="23" t="n">
        <f aca="false">AJ31/AI31-1</f>
        <v>0.151394422310757</v>
      </c>
      <c r="AL31" s="14"/>
      <c r="AM31" s="14" t="n">
        <f aca="false">AM7+AM12+AM17+AM22</f>
        <v>595</v>
      </c>
      <c r="AN31" s="14" t="n">
        <f aca="false">AN7+AN12+AN17+AN22</f>
        <v>563</v>
      </c>
      <c r="AO31" s="14" t="n">
        <f aca="false">AO7+AO12+AO17+AO22</f>
        <v>589</v>
      </c>
      <c r="AP31" s="14" t="n">
        <f aca="false">AP7+AP12+AP17+AP22</f>
        <v>583</v>
      </c>
      <c r="AQ31" s="2"/>
    </row>
    <row r="32" s="54" customFormat="true" ht="27" hidden="false" customHeight="false" outlineLevel="0" collapsed="false">
      <c r="A32" s="49" t="s">
        <v>53</v>
      </c>
      <c r="B32" s="50" t="n">
        <v>30601</v>
      </c>
      <c r="C32" s="50" t="n">
        <v>32376</v>
      </c>
      <c r="D32" s="50" t="n">
        <v>34350</v>
      </c>
      <c r="E32" s="28" t="n">
        <v>36397</v>
      </c>
      <c r="F32" s="28" t="n">
        <v>39117</v>
      </c>
      <c r="G32" s="28" t="n">
        <v>37403</v>
      </c>
      <c r="H32" s="28" t="n">
        <f aca="false">H27+H26+H25</f>
        <v>44538</v>
      </c>
      <c r="I32" s="28" t="n">
        <f aca="false">I27+I26+I25</f>
        <v>46710</v>
      </c>
      <c r="J32" s="28" t="n">
        <f aca="false">J27+J26+J25</f>
        <v>51217</v>
      </c>
      <c r="K32" s="28" t="n">
        <f aca="false">K27+K26+K25</f>
        <v>51829</v>
      </c>
      <c r="L32" s="51" t="n">
        <f aca="false">SUM(AF32:AH32)+AJ32</f>
        <v>51362</v>
      </c>
      <c r="M32" s="23" t="n">
        <f aca="false">L32/K32-1</f>
        <v>-0.0090103995832449</v>
      </c>
      <c r="N32" s="29" t="n">
        <f aca="false">SUM(AM32:AP32)</f>
        <v>54429</v>
      </c>
      <c r="O32" s="29" t="n">
        <f aca="false">O27+O26+O25</f>
        <v>57770</v>
      </c>
      <c r="P32" s="52"/>
      <c r="Q32" s="52" t="n">
        <v>10594</v>
      </c>
      <c r="R32" s="52" t="n">
        <v>11243</v>
      </c>
      <c r="S32" s="52" t="n">
        <v>10357</v>
      </c>
      <c r="T32" s="52" t="n">
        <v>12344</v>
      </c>
      <c r="U32" s="52"/>
      <c r="V32" s="52" t="n">
        <v>12248</v>
      </c>
      <c r="W32" s="52" t="n">
        <v>11357</v>
      </c>
      <c r="X32" s="52" t="n">
        <v>10871</v>
      </c>
      <c r="Y32" s="52" t="n">
        <f aca="false">Y27+Y26+Y25</f>
        <v>12234</v>
      </c>
      <c r="Z32" s="52"/>
      <c r="AA32" s="52" t="n">
        <f aca="false">AA27+AA26+AA25</f>
        <v>12687</v>
      </c>
      <c r="AB32" s="52" t="n">
        <f aca="false">AB27+AB26+AB25</f>
        <v>13315</v>
      </c>
      <c r="AC32" s="52" t="n">
        <f aca="false">AC27+AC26+AC25</f>
        <v>12390</v>
      </c>
      <c r="AD32" s="52" t="n">
        <f aca="false">AD27+AD26+AD25</f>
        <v>12825</v>
      </c>
      <c r="AE32" s="52"/>
      <c r="AF32" s="52" t="n">
        <f aca="false">AF27+AF26+AF25</f>
        <v>12939</v>
      </c>
      <c r="AG32" s="52" t="n">
        <f aca="false">AG27+AG26+AG25</f>
        <v>13388</v>
      </c>
      <c r="AH32" s="52" t="n">
        <f aca="false">AH27+AH26+AH25</f>
        <v>12429</v>
      </c>
      <c r="AI32" s="53" t="n">
        <f aca="false">AI27+AI26+AI25</f>
        <v>13073</v>
      </c>
      <c r="AJ32" s="52" t="n">
        <v>12606</v>
      </c>
      <c r="AK32" s="32" t="n">
        <f aca="false">AJ32/AI32-1</f>
        <v>-0.0357224814503174</v>
      </c>
      <c r="AL32" s="52"/>
      <c r="AM32" s="52" t="n">
        <f aca="false">AM27+AM26+AM25</f>
        <v>13620</v>
      </c>
      <c r="AN32" s="52" t="n">
        <f aca="false">AN27+AN26+AN25</f>
        <v>14155</v>
      </c>
      <c r="AO32" s="52" t="n">
        <f aca="false">AO27+AO26+AO25</f>
        <v>12988</v>
      </c>
      <c r="AP32" s="52" t="n">
        <f aca="false">AP27+AP26+AP25</f>
        <v>13666</v>
      </c>
      <c r="AQ32" s="4"/>
    </row>
    <row r="33" s="47" customFormat="true" ht="25.5" hidden="false" customHeight="false" outlineLevel="0" collapsed="false">
      <c r="A33" s="18" t="s">
        <v>54</v>
      </c>
      <c r="B33" s="55" t="n">
        <v>16534</v>
      </c>
      <c r="C33" s="55" t="n">
        <v>17405</v>
      </c>
      <c r="D33" s="55" t="n">
        <v>19038</v>
      </c>
      <c r="E33" s="22" t="n">
        <v>20441</v>
      </c>
      <c r="F33" s="22" t="n">
        <v>21643</v>
      </c>
      <c r="G33" s="22" t="n">
        <v>21162</v>
      </c>
      <c r="H33" s="22" t="n">
        <v>24576</v>
      </c>
      <c r="I33" s="22" t="n">
        <v>25231</v>
      </c>
      <c r="J33" s="22" t="n">
        <v>28925</v>
      </c>
      <c r="K33" s="22" t="n">
        <f aca="false">AF33+AG33+AH33+AI33</f>
        <v>28803</v>
      </c>
      <c r="L33" s="22" t="n">
        <f aca="false">SUM(AF33:AH33)+AJ33</f>
        <v>28475</v>
      </c>
      <c r="M33" s="23" t="n">
        <f aca="false">L33/K33-1</f>
        <v>-0.0113877026698608</v>
      </c>
      <c r="N33" s="21" t="n">
        <f aca="false">SUM(AM33:AP33)</f>
        <v>29450</v>
      </c>
      <c r="O33" s="21" t="n">
        <v>31500</v>
      </c>
      <c r="P33" s="13"/>
      <c r="Q33" s="24" t="n">
        <v>5853</v>
      </c>
      <c r="R33" s="24" t="n">
        <v>6396</v>
      </c>
      <c r="S33" s="24" t="n">
        <v>5638</v>
      </c>
      <c r="T33" s="24" t="n">
        <v>6689</v>
      </c>
      <c r="U33" s="24"/>
      <c r="V33" s="24" t="n">
        <v>6552</v>
      </c>
      <c r="W33" s="24" t="n">
        <v>6144</v>
      </c>
      <c r="X33" s="24" t="n">
        <v>5804</v>
      </c>
      <c r="Y33" s="14" t="n">
        <v>6731</v>
      </c>
      <c r="Z33" s="14"/>
      <c r="AA33" s="24" t="n">
        <v>7072</v>
      </c>
      <c r="AB33" s="24" t="n">
        <v>7604</v>
      </c>
      <c r="AC33" s="24" t="n">
        <v>7019</v>
      </c>
      <c r="AD33" s="24" t="n">
        <v>7230</v>
      </c>
      <c r="AE33" s="24"/>
      <c r="AF33" s="24" t="n">
        <v>7219</v>
      </c>
      <c r="AG33" s="24" t="n">
        <v>7417</v>
      </c>
      <c r="AH33" s="24" t="n">
        <v>6867</v>
      </c>
      <c r="AI33" s="25" t="n">
        <v>7300</v>
      </c>
      <c r="AJ33" s="19" t="n">
        <v>6972</v>
      </c>
      <c r="AK33" s="23" t="n">
        <f aca="false">AJ33/AI33-1</f>
        <v>-0.044931506849315</v>
      </c>
      <c r="AL33" s="13"/>
      <c r="AM33" s="14" t="n">
        <v>7350</v>
      </c>
      <c r="AN33" s="14" t="n">
        <v>7500</v>
      </c>
      <c r="AO33" s="14" t="n">
        <v>7100</v>
      </c>
      <c r="AP33" s="14" t="n">
        <v>7500</v>
      </c>
      <c r="AQ33" s="2"/>
    </row>
    <row r="34" s="48" customFormat="true" ht="26.8" hidden="false" customHeight="false" outlineLevel="0" collapsed="false">
      <c r="A34" s="56" t="s">
        <v>55</v>
      </c>
      <c r="B34" s="57" t="n">
        <v>14067</v>
      </c>
      <c r="C34" s="57" t="n">
        <v>14971</v>
      </c>
      <c r="D34" s="57" t="n">
        <v>15312</v>
      </c>
      <c r="E34" s="58" t="n">
        <v>15956</v>
      </c>
      <c r="F34" s="58" t="n">
        <v>17474</v>
      </c>
      <c r="G34" s="58" t="n">
        <f aca="false">G32-G33</f>
        <v>16241</v>
      </c>
      <c r="H34" s="58" t="n">
        <f aca="false">H32-H33</f>
        <v>19962</v>
      </c>
      <c r="I34" s="58" t="n">
        <f aca="false">I32-I33</f>
        <v>21479</v>
      </c>
      <c r="J34" s="58" t="n">
        <f aca="false">J32-J33</f>
        <v>22292</v>
      </c>
      <c r="K34" s="58" t="n">
        <f aca="false">K32-K33</f>
        <v>23026</v>
      </c>
      <c r="L34" s="58" t="n">
        <f aca="false">L32-L33</f>
        <v>22887</v>
      </c>
      <c r="M34" s="23" t="n">
        <f aca="false">L34/K34-1</f>
        <v>-0.00603665421697208</v>
      </c>
      <c r="N34" s="58" t="n">
        <f aca="false">SUM(AM34:AP34)</f>
        <v>24979</v>
      </c>
      <c r="O34" s="58" t="n">
        <f aca="false">O32-O33</f>
        <v>26270</v>
      </c>
      <c r="P34" s="13"/>
      <c r="Q34" s="59" t="n">
        <v>4741</v>
      </c>
      <c r="R34" s="59" t="n">
        <v>4847</v>
      </c>
      <c r="S34" s="59" t="n">
        <v>4719</v>
      </c>
      <c r="T34" s="59" t="n">
        <v>5655</v>
      </c>
      <c r="U34" s="13"/>
      <c r="V34" s="59" t="n">
        <v>5696</v>
      </c>
      <c r="W34" s="59" t="n">
        <v>5213</v>
      </c>
      <c r="X34" s="59" t="n">
        <v>5067</v>
      </c>
      <c r="Y34" s="60" t="n">
        <f aca="false">Y32-Y33</f>
        <v>5503</v>
      </c>
      <c r="Z34" s="13"/>
      <c r="AA34" s="60" t="n">
        <f aca="false">AA32-AA33</f>
        <v>5615</v>
      </c>
      <c r="AB34" s="60" t="n">
        <f aca="false">AB32-AB33</f>
        <v>5711</v>
      </c>
      <c r="AC34" s="60" t="n">
        <f aca="false">AC32-AC33</f>
        <v>5371</v>
      </c>
      <c r="AD34" s="60" t="n">
        <f aca="false">AD32-AD33</f>
        <v>5595</v>
      </c>
      <c r="AE34" s="13"/>
      <c r="AF34" s="60" t="n">
        <f aca="false">AF32-AF33</f>
        <v>5720</v>
      </c>
      <c r="AG34" s="60" t="n">
        <f aca="false">AG32-AG33</f>
        <v>5971</v>
      </c>
      <c r="AH34" s="60" t="n">
        <f aca="false">AH32-AH33</f>
        <v>5562</v>
      </c>
      <c r="AI34" s="61" t="n">
        <f aca="false">AI32-AI33</f>
        <v>5773</v>
      </c>
      <c r="AJ34" s="60" t="n">
        <f aca="false">AJ32-AJ33</f>
        <v>5634</v>
      </c>
      <c r="AK34" s="23" t="n">
        <f aca="false">AJ34/AI34-1</f>
        <v>-0.0240776026329465</v>
      </c>
      <c r="AL34" s="13"/>
      <c r="AM34" s="60" t="n">
        <f aca="false">AM32-AM33</f>
        <v>6270</v>
      </c>
      <c r="AN34" s="60" t="n">
        <f aca="false">AN32-AN33</f>
        <v>6655</v>
      </c>
      <c r="AO34" s="60" t="n">
        <f aca="false">AO32-AO33</f>
        <v>5888</v>
      </c>
      <c r="AP34" s="60" t="n">
        <f aca="false">AP32-AP33</f>
        <v>6166</v>
      </c>
      <c r="AQ34" s="2"/>
    </row>
    <row r="35" s="48" customFormat="true" ht="25.5" hidden="false" customHeight="false" outlineLevel="0" collapsed="false">
      <c r="A35" s="18" t="s">
        <v>56</v>
      </c>
      <c r="B35" s="55" t="n">
        <v>3213</v>
      </c>
      <c r="C35" s="55" t="n">
        <v>3278</v>
      </c>
      <c r="D35" s="55" t="n">
        <v>3341</v>
      </c>
      <c r="E35" s="22" t="n">
        <v>3577</v>
      </c>
      <c r="F35" s="22" t="n">
        <v>3753</v>
      </c>
      <c r="G35" s="22" t="n">
        <v>3592</v>
      </c>
      <c r="H35" s="22" t="n">
        <v>3114</v>
      </c>
      <c r="I35" s="22" t="n">
        <v>3850</v>
      </c>
      <c r="J35" s="22" t="n">
        <f aca="false">AA35+AB35+AC35+AD35</f>
        <v>4060</v>
      </c>
      <c r="K35" s="22" t="n">
        <f aca="false">AF35+AG35+AH35+AI35</f>
        <v>4344</v>
      </c>
      <c r="L35" s="22" t="n">
        <f aca="false">SUM(AF35:AH35)+AJ35</f>
        <v>4285</v>
      </c>
      <c r="M35" s="23" t="n">
        <f aca="false">L35/K35-1</f>
        <v>-0.0135819521178637</v>
      </c>
      <c r="N35" s="21" t="n">
        <f aca="false">SUM(AM35:AP35)</f>
        <v>4720</v>
      </c>
      <c r="O35" s="21" t="n">
        <v>5100</v>
      </c>
      <c r="P35" s="13"/>
      <c r="Q35" s="24" t="n">
        <v>677</v>
      </c>
      <c r="R35" s="24" t="n">
        <v>729</v>
      </c>
      <c r="S35" s="24" t="n">
        <v>711</v>
      </c>
      <c r="T35" s="24" t="n">
        <v>997</v>
      </c>
      <c r="U35" s="24"/>
      <c r="V35" s="24" t="n">
        <v>918</v>
      </c>
      <c r="W35" s="24" t="n">
        <v>1017</v>
      </c>
      <c r="X35" s="24" t="n">
        <v>854</v>
      </c>
      <c r="Y35" s="14" t="n">
        <v>1061</v>
      </c>
      <c r="Z35" s="14"/>
      <c r="AA35" s="24" t="n">
        <v>943</v>
      </c>
      <c r="AB35" s="24" t="n">
        <v>1102</v>
      </c>
      <c r="AC35" s="24" t="n">
        <v>923</v>
      </c>
      <c r="AD35" s="24" t="n">
        <v>1092</v>
      </c>
      <c r="AE35" s="24"/>
      <c r="AF35" s="24" t="n">
        <v>1069</v>
      </c>
      <c r="AG35" s="24" t="n">
        <v>1114</v>
      </c>
      <c r="AH35" s="24" t="n">
        <v>1011</v>
      </c>
      <c r="AI35" s="62" t="n">
        <v>1150</v>
      </c>
      <c r="AJ35" s="24" t="n">
        <v>1091</v>
      </c>
      <c r="AK35" s="23" t="n">
        <f aca="false">AJ35/AI35-1</f>
        <v>-0.051304347826087</v>
      </c>
      <c r="AL35" s="13"/>
      <c r="AM35" s="24" t="n">
        <v>1200</v>
      </c>
      <c r="AN35" s="24" t="n">
        <v>1200</v>
      </c>
      <c r="AO35" s="24" t="n">
        <v>1100</v>
      </c>
      <c r="AP35" s="24" t="n">
        <v>1220</v>
      </c>
      <c r="AQ35" s="2"/>
    </row>
    <row r="36" s="48" customFormat="true" ht="25.5" hidden="false" customHeight="false" outlineLevel="0" collapsed="false">
      <c r="A36" s="18" t="s">
        <v>57</v>
      </c>
      <c r="B36" s="55" t="n">
        <v>6679</v>
      </c>
      <c r="C36" s="55" t="n">
        <v>7191</v>
      </c>
      <c r="D36" s="55" t="n">
        <v>7222</v>
      </c>
      <c r="E36" s="22" t="n">
        <v>7934</v>
      </c>
      <c r="F36" s="22" t="n">
        <v>8949</v>
      </c>
      <c r="G36" s="22" t="n">
        <v>9534</v>
      </c>
      <c r="H36" s="22" t="n">
        <v>9911</v>
      </c>
      <c r="I36" s="22" t="n">
        <v>10954</v>
      </c>
      <c r="J36" s="22" t="n">
        <f aca="false">AA36+AB36+AC36+AD36</f>
        <v>12317</v>
      </c>
      <c r="K36" s="22" t="n">
        <f aca="false">AF36+AG36+AH36+AI36</f>
        <v>12724</v>
      </c>
      <c r="L36" s="22" t="n">
        <f aca="false">SUM(AF36:AH36)+AJ36</f>
        <v>12291</v>
      </c>
      <c r="M36" s="23" t="n">
        <f aca="false">L36/K36-1</f>
        <v>-0.0340301791889343</v>
      </c>
      <c r="N36" s="21" t="n">
        <f aca="false">SUM(AM36:AP36)</f>
        <v>13200</v>
      </c>
      <c r="O36" s="21" t="n">
        <v>13700</v>
      </c>
      <c r="P36" s="13"/>
      <c r="Q36" s="24" t="n">
        <v>2298</v>
      </c>
      <c r="R36" s="24" t="n">
        <v>2538</v>
      </c>
      <c r="S36" s="24" t="n">
        <v>2330</v>
      </c>
      <c r="T36" s="24" t="n">
        <v>2745</v>
      </c>
      <c r="U36" s="24"/>
      <c r="V36" s="24" t="n">
        <v>2654</v>
      </c>
      <c r="W36" s="24" t="n">
        <v>2742</v>
      </c>
      <c r="X36" s="24" t="n">
        <v>2584</v>
      </c>
      <c r="Y36" s="14" t="n">
        <v>2974</v>
      </c>
      <c r="Z36" s="14"/>
      <c r="AA36" s="24" t="n">
        <v>2977</v>
      </c>
      <c r="AB36" s="24" t="n">
        <v>3022</v>
      </c>
      <c r="AC36" s="24" t="n">
        <v>3036</v>
      </c>
      <c r="AD36" s="24" t="n">
        <v>3282</v>
      </c>
      <c r="AE36" s="24"/>
      <c r="AF36" s="24" t="n">
        <v>3047</v>
      </c>
      <c r="AG36" s="24" t="n">
        <v>3032</v>
      </c>
      <c r="AH36" s="24" t="n">
        <v>3215</v>
      </c>
      <c r="AI36" s="62" t="n">
        <v>3430</v>
      </c>
      <c r="AJ36" s="24" t="n">
        <v>2997</v>
      </c>
      <c r="AK36" s="23" t="n">
        <f aca="false">AJ36/AI36-1</f>
        <v>-0.126239067055394</v>
      </c>
      <c r="AL36" s="13"/>
      <c r="AM36" s="24" t="n">
        <v>3100</v>
      </c>
      <c r="AN36" s="24" t="n">
        <v>3100</v>
      </c>
      <c r="AO36" s="24" t="n">
        <v>3400</v>
      </c>
      <c r="AP36" s="24" t="n">
        <v>3600</v>
      </c>
      <c r="AQ36" s="2"/>
    </row>
    <row r="37" s="54" customFormat="true" ht="25.5" hidden="false" customHeight="false" outlineLevel="0" collapsed="false">
      <c r="A37" s="18" t="s">
        <v>58</v>
      </c>
      <c r="B37" s="55" t="n">
        <v>9892</v>
      </c>
      <c r="C37" s="55" t="n">
        <v>10469</v>
      </c>
      <c r="D37" s="55" t="n">
        <v>10563</v>
      </c>
      <c r="E37" s="22" t="n">
        <v>11511</v>
      </c>
      <c r="F37" s="22" t="n">
        <v>12702</v>
      </c>
      <c r="G37" s="22" t="n">
        <v>13126</v>
      </c>
      <c r="H37" s="22" t="n">
        <v>13025</v>
      </c>
      <c r="I37" s="22" t="n">
        <v>14804</v>
      </c>
      <c r="J37" s="22" t="n">
        <f aca="false">AA37+AB37+AC37+AD37</f>
        <v>16377</v>
      </c>
      <c r="K37" s="22" t="n">
        <f aca="false">AF37+AG37+AH37+AI37</f>
        <v>16788</v>
      </c>
      <c r="L37" s="22" t="n">
        <f aca="false">SUM(AF37:AH37)+AJ37</f>
        <v>16576</v>
      </c>
      <c r="M37" s="23" t="n">
        <f aca="false">L37/K37-1</f>
        <v>-0.0126280676673814</v>
      </c>
      <c r="N37" s="21" t="n">
        <f aca="false">SUM(AM37:AP37)</f>
        <v>17250</v>
      </c>
      <c r="O37" s="22" t="n">
        <v>17700</v>
      </c>
      <c r="P37" s="13"/>
      <c r="Q37" s="24" t="n">
        <v>2975</v>
      </c>
      <c r="R37" s="24" t="n">
        <v>3267</v>
      </c>
      <c r="S37" s="24" t="n">
        <v>3041</v>
      </c>
      <c r="T37" s="24" t="n">
        <v>3742</v>
      </c>
      <c r="U37" s="24"/>
      <c r="V37" s="24" t="n">
        <v>3572</v>
      </c>
      <c r="W37" s="24" t="n">
        <v>3759</v>
      </c>
      <c r="X37" s="24" t="n">
        <v>3438</v>
      </c>
      <c r="Y37" s="14" t="n">
        <v>4035</v>
      </c>
      <c r="Z37" s="14"/>
      <c r="AA37" s="24" t="n">
        <v>3920</v>
      </c>
      <c r="AB37" s="24" t="n">
        <v>4124</v>
      </c>
      <c r="AC37" s="24" t="n">
        <v>3959</v>
      </c>
      <c r="AD37" s="24" t="n">
        <v>4374</v>
      </c>
      <c r="AE37" s="24"/>
      <c r="AF37" s="24" t="n">
        <v>4116</v>
      </c>
      <c r="AG37" s="24" t="n">
        <v>4146</v>
      </c>
      <c r="AH37" s="24" t="n">
        <v>4226</v>
      </c>
      <c r="AI37" s="62" t="n">
        <v>4300</v>
      </c>
      <c r="AJ37" s="24" t="n">
        <v>4088</v>
      </c>
      <c r="AK37" s="23" t="n">
        <f aca="false">AJ37/AI37-1</f>
        <v>-0.0493023255813954</v>
      </c>
      <c r="AL37" s="13"/>
      <c r="AM37" s="24" t="n">
        <v>4300</v>
      </c>
      <c r="AN37" s="24" t="n">
        <v>4200</v>
      </c>
      <c r="AO37" s="24" t="n">
        <v>4350</v>
      </c>
      <c r="AP37" s="24" t="n">
        <v>4400</v>
      </c>
      <c r="AQ37" s="2"/>
    </row>
    <row r="38" s="47" customFormat="true" ht="25.5" hidden="false" customHeight="false" outlineLevel="0" collapsed="false">
      <c r="A38" s="63" t="s">
        <v>59</v>
      </c>
      <c r="B38" s="64" t="n">
        <f aca="false">B35+B36+B37</f>
        <v>19784</v>
      </c>
      <c r="C38" s="64" t="n">
        <f aca="false">C35+C36+C37</f>
        <v>20938</v>
      </c>
      <c r="D38" s="64" t="n">
        <f aca="false">D35+D36+D37</f>
        <v>21126</v>
      </c>
      <c r="E38" s="65" t="n">
        <f aca="false">E35+E36+E37</f>
        <v>23022</v>
      </c>
      <c r="F38" s="65" t="n">
        <f aca="false">F35+F36+F37</f>
        <v>25404</v>
      </c>
      <c r="G38" s="65" t="n">
        <f aca="false">G35+G36+G37</f>
        <v>26252</v>
      </c>
      <c r="H38" s="65" t="n">
        <f aca="false">H35+H36+H37</f>
        <v>26050</v>
      </c>
      <c r="I38" s="65" t="n">
        <f aca="false">I35+I36+I37</f>
        <v>29608</v>
      </c>
      <c r="J38" s="65" t="n">
        <f aca="false">J35+J36+J37</f>
        <v>32754</v>
      </c>
      <c r="K38" s="65" t="n">
        <f aca="false">K35+K36+K37</f>
        <v>33856</v>
      </c>
      <c r="L38" s="65" t="n">
        <f aca="false">L35+L36+L37</f>
        <v>33152</v>
      </c>
      <c r="M38" s="23" t="n">
        <f aca="false">L38/K38-1</f>
        <v>-0.0207939508506616</v>
      </c>
      <c r="N38" s="65" t="n">
        <f aca="false">N35+N36+N37</f>
        <v>35170</v>
      </c>
      <c r="O38" s="65" t="n">
        <f aca="false">O35+O36+O37</f>
        <v>36500</v>
      </c>
      <c r="P38" s="13"/>
      <c r="Q38" s="66" t="n">
        <f aca="false">Q35+Q36+Q37</f>
        <v>5950</v>
      </c>
      <c r="R38" s="66" t="n">
        <f aca="false">R35+R36+R37</f>
        <v>6534</v>
      </c>
      <c r="S38" s="66" t="n">
        <f aca="false">S35+S36+S37</f>
        <v>6082</v>
      </c>
      <c r="T38" s="66" t="n">
        <f aca="false">T35+T36+T37</f>
        <v>7484</v>
      </c>
      <c r="U38" s="66"/>
      <c r="V38" s="66" t="n">
        <f aca="false">V35+V36+V37</f>
        <v>7144</v>
      </c>
      <c r="W38" s="66" t="n">
        <f aca="false">W35+W36+W37</f>
        <v>7518</v>
      </c>
      <c r="X38" s="66" t="n">
        <f aca="false">X35+X36+X37</f>
        <v>6876</v>
      </c>
      <c r="Y38" s="66" t="n">
        <f aca="false">Y35+Y36+Y37</f>
        <v>8070</v>
      </c>
      <c r="Z38" s="13"/>
      <c r="AA38" s="66" t="n">
        <f aca="false">AA35+AA36+AA37</f>
        <v>7840</v>
      </c>
      <c r="AB38" s="66" t="n">
        <f aca="false">AB35+AB36+AB37</f>
        <v>8248</v>
      </c>
      <c r="AC38" s="66" t="n">
        <f aca="false">AC35+AC36+AC37</f>
        <v>7918</v>
      </c>
      <c r="AD38" s="66" t="n">
        <f aca="false">AD35+AD36+AD37</f>
        <v>8748</v>
      </c>
      <c r="AE38" s="13"/>
      <c r="AF38" s="66" t="n">
        <f aca="false">AF35+AF36+AF37</f>
        <v>8232</v>
      </c>
      <c r="AG38" s="66" t="n">
        <f aca="false">AG35+AG36+AG37</f>
        <v>8292</v>
      </c>
      <c r="AH38" s="66" t="n">
        <f aca="false">AH35+AH36+AH37</f>
        <v>8452</v>
      </c>
      <c r="AI38" s="67" t="n">
        <f aca="false">AI35+AI36+AI37</f>
        <v>8880</v>
      </c>
      <c r="AJ38" s="66" t="n">
        <f aca="false">AJ35+AJ36+AJ37</f>
        <v>8176</v>
      </c>
      <c r="AK38" s="68" t="n">
        <f aca="false">AJ38/AI38-1</f>
        <v>-0.0792792792792793</v>
      </c>
      <c r="AL38" s="13"/>
      <c r="AM38" s="66" t="n">
        <f aca="false">AM35+AM36+AM37</f>
        <v>8600</v>
      </c>
      <c r="AN38" s="66" t="n">
        <f aca="false">AN35+AN36+AN37</f>
        <v>8500</v>
      </c>
      <c r="AO38" s="66" t="n">
        <f aca="false">AO35+AO36+AO37</f>
        <v>8850</v>
      </c>
      <c r="AP38" s="66" t="n">
        <f aca="false">AP35+AP36+AP37</f>
        <v>9220</v>
      </c>
      <c r="AQ38" s="34"/>
    </row>
    <row r="39" s="48" customFormat="true" ht="25.5" hidden="false" customHeight="false" outlineLevel="0" collapsed="false">
      <c r="A39" s="69" t="s">
        <v>60</v>
      </c>
      <c r="B39" s="70" t="n">
        <f aca="false">B34-B37</f>
        <v>4175</v>
      </c>
      <c r="C39" s="70" t="n">
        <f aca="false">C34-C37</f>
        <v>4502</v>
      </c>
      <c r="D39" s="70" t="n">
        <f aca="false">D34-D37</f>
        <v>4749</v>
      </c>
      <c r="E39" s="71" t="n">
        <f aca="false">E34-E37</f>
        <v>4445</v>
      </c>
      <c r="F39" s="71" t="n">
        <f aca="false">F34-F37</f>
        <v>4772</v>
      </c>
      <c r="G39" s="71" t="n">
        <f aca="false">G34-G37</f>
        <v>3115</v>
      </c>
      <c r="H39" s="71" t="n">
        <f aca="false">H34-H37</f>
        <v>6937</v>
      </c>
      <c r="I39" s="71" t="n">
        <f aca="false">I34-I37</f>
        <v>6675</v>
      </c>
      <c r="J39" s="71" t="n">
        <f aca="false">J34-J37</f>
        <v>5915</v>
      </c>
      <c r="K39" s="71" t="n">
        <f aca="false">K34-K37</f>
        <v>6238</v>
      </c>
      <c r="L39" s="71" t="n">
        <f aca="false">L34-L37</f>
        <v>6311</v>
      </c>
      <c r="M39" s="23" t="n">
        <f aca="false">L39/K39-1</f>
        <v>0.0117024687399807</v>
      </c>
      <c r="N39" s="71" t="n">
        <f aca="false">N34-N37</f>
        <v>7729</v>
      </c>
      <c r="O39" s="71" t="n">
        <f aca="false">O34-O37</f>
        <v>8570</v>
      </c>
      <c r="P39" s="13"/>
      <c r="Q39" s="72" t="n">
        <v>1766</v>
      </c>
      <c r="R39" s="72" t="n">
        <v>1580</v>
      </c>
      <c r="S39" s="72" t="n">
        <v>1678</v>
      </c>
      <c r="T39" s="72" t="n">
        <v>1913</v>
      </c>
      <c r="U39" s="72"/>
      <c r="V39" s="72" t="n">
        <v>2124</v>
      </c>
      <c r="W39" s="72" t="n">
        <v>1454</v>
      </c>
      <c r="X39" s="72" t="n">
        <v>1629</v>
      </c>
      <c r="Y39" s="72" t="n">
        <f aca="false">Y34-Y37</f>
        <v>1468</v>
      </c>
      <c r="Z39" s="13"/>
      <c r="AA39" s="72" t="n">
        <f aca="false">AA34-AA37</f>
        <v>1695</v>
      </c>
      <c r="AB39" s="72" t="n">
        <f aca="false">AB34-AB37</f>
        <v>1587</v>
      </c>
      <c r="AC39" s="72" t="n">
        <f aca="false">AC34-AC37</f>
        <v>1412</v>
      </c>
      <c r="AD39" s="72" t="n">
        <f aca="false">AD34-AD37</f>
        <v>1221</v>
      </c>
      <c r="AE39" s="13"/>
      <c r="AF39" s="72" t="n">
        <f aca="false">AF34-AF37</f>
        <v>1604</v>
      </c>
      <c r="AG39" s="72" t="n">
        <f aca="false">AG34-AG37</f>
        <v>1825</v>
      </c>
      <c r="AH39" s="72" t="n">
        <f aca="false">AH34-AH37</f>
        <v>1336</v>
      </c>
      <c r="AI39" s="73" t="n">
        <f aca="false">AI34-AI37</f>
        <v>1473</v>
      </c>
      <c r="AJ39" s="72" t="n">
        <f aca="false">AJ34-AJ37</f>
        <v>1546</v>
      </c>
      <c r="AK39" s="74" t="n">
        <f aca="false">AJ39/AI39-1</f>
        <v>0.0495587236931432</v>
      </c>
      <c r="AL39" s="13"/>
      <c r="AM39" s="72" t="n">
        <f aca="false">AM34-AM37</f>
        <v>1970</v>
      </c>
      <c r="AN39" s="72" t="n">
        <f aca="false">AN34-AN37</f>
        <v>2455</v>
      </c>
      <c r="AO39" s="72" t="n">
        <f aca="false">AO34-AO37</f>
        <v>1538</v>
      </c>
      <c r="AP39" s="72" t="n">
        <f aca="false">AP34-AP37</f>
        <v>1766</v>
      </c>
      <c r="AQ39" s="35"/>
    </row>
    <row r="40" s="48" customFormat="true" ht="25.5" hidden="false" customHeight="false" outlineLevel="0" collapsed="false">
      <c r="A40" s="18" t="s">
        <v>61</v>
      </c>
      <c r="B40" s="55" t="n">
        <v>28</v>
      </c>
      <c r="C40" s="55" t="n">
        <v>19</v>
      </c>
      <c r="D40" s="55" t="n">
        <v>59</v>
      </c>
      <c r="E40" s="22" t="n">
        <v>54</v>
      </c>
      <c r="F40" s="22" t="n">
        <v>49</v>
      </c>
      <c r="G40" s="22" t="n">
        <v>89</v>
      </c>
      <c r="H40" s="22" t="n">
        <v>262</v>
      </c>
      <c r="I40" s="22" t="n">
        <v>205</v>
      </c>
      <c r="J40" s="22" t="n">
        <f aca="false">AA40+AB40+AC40+AD40</f>
        <v>-6</v>
      </c>
      <c r="K40" s="22" t="n">
        <f aca="false">AF40+AG40+AH40+AI40</f>
        <v>-158</v>
      </c>
      <c r="L40" s="22" t="n">
        <f aca="false">SUM(AF40:AH40)+AJ40</f>
        <v>-161</v>
      </c>
      <c r="M40" s="23" t="n">
        <f aca="false">L40/K40-1</f>
        <v>0.018987341772152</v>
      </c>
      <c r="N40" s="21" t="n">
        <f aca="false">SUM(AM40:AP40)</f>
        <v>-143</v>
      </c>
      <c r="O40" s="21" t="n">
        <v>-120</v>
      </c>
      <c r="P40" s="13"/>
      <c r="Q40" s="24" t="n">
        <v>65</v>
      </c>
      <c r="R40" s="24" t="n">
        <v>70</v>
      </c>
      <c r="S40" s="24" t="n">
        <v>64</v>
      </c>
      <c r="T40" s="24" t="n">
        <v>63</v>
      </c>
      <c r="U40" s="24"/>
      <c r="V40" s="24" t="n">
        <v>57</v>
      </c>
      <c r="W40" s="24" t="n">
        <v>55</v>
      </c>
      <c r="X40" s="24" t="n">
        <v>53</v>
      </c>
      <c r="Y40" s="14" t="n">
        <v>40</v>
      </c>
      <c r="Z40" s="14"/>
      <c r="AA40" s="24" t="n">
        <v>13</v>
      </c>
      <c r="AB40" s="24" t="n">
        <v>16</v>
      </c>
      <c r="AC40" s="24" t="n">
        <v>-7</v>
      </c>
      <c r="AD40" s="24" t="n">
        <v>-28</v>
      </c>
      <c r="AE40" s="24"/>
      <c r="AF40" s="24" t="n">
        <v>-34</v>
      </c>
      <c r="AG40" s="24" t="n">
        <v>-22</v>
      </c>
      <c r="AH40" s="24" t="n">
        <v>-52</v>
      </c>
      <c r="AI40" s="62" t="n">
        <v>-50</v>
      </c>
      <c r="AJ40" s="24" t="n">
        <v>-53</v>
      </c>
      <c r="AK40" s="23" t="n">
        <f aca="false">AJ40/AI40-1</f>
        <v>0.0600000000000001</v>
      </c>
      <c r="AL40" s="13"/>
      <c r="AM40" s="24" t="n">
        <v>-30</v>
      </c>
      <c r="AN40" s="24" t="n">
        <v>-20</v>
      </c>
      <c r="AO40" s="24" t="n">
        <v>-48</v>
      </c>
      <c r="AP40" s="24" t="n">
        <v>-45</v>
      </c>
      <c r="AQ40" s="2"/>
    </row>
    <row r="41" s="48" customFormat="true" ht="25.5" hidden="false" customHeight="false" outlineLevel="0" collapsed="false">
      <c r="A41" s="18" t="s">
        <v>62</v>
      </c>
      <c r="B41" s="55" t="n">
        <v>-58</v>
      </c>
      <c r="C41" s="55" t="n">
        <v>-140</v>
      </c>
      <c r="D41" s="55" t="n">
        <v>-196</v>
      </c>
      <c r="E41" s="22" t="n">
        <v>66</v>
      </c>
      <c r="F41" s="22" t="n">
        <v>-78</v>
      </c>
      <c r="G41" s="22" t="n">
        <v>139</v>
      </c>
      <c r="H41" s="22" t="n">
        <v>14</v>
      </c>
      <c r="I41" s="22" t="n">
        <v>-181</v>
      </c>
      <c r="J41" s="22" t="n">
        <f aca="false">AA41+AB41+AC41+AD41</f>
        <v>-280</v>
      </c>
      <c r="K41" s="22" t="n">
        <f aca="false">AF41+AG41+AH41+AI41</f>
        <v>-100.9</v>
      </c>
      <c r="L41" s="22" t="n">
        <f aca="false">SUM(AF41:AH41)+AJ41</f>
        <v>-228</v>
      </c>
      <c r="M41" s="23" t="n">
        <f aca="false">L41/K41-1</f>
        <v>1.25966303270565</v>
      </c>
      <c r="N41" s="21" t="n">
        <f aca="false">SUM(AM41:AP41)</f>
        <v>-175</v>
      </c>
      <c r="O41" s="21" t="n">
        <v>-200</v>
      </c>
      <c r="P41" s="13"/>
      <c r="Q41" s="24" t="n">
        <v>-14</v>
      </c>
      <c r="R41" s="24" t="n">
        <v>54</v>
      </c>
      <c r="S41" s="24" t="n">
        <v>-22</v>
      </c>
      <c r="T41" s="24" t="n">
        <v>-4</v>
      </c>
      <c r="U41" s="24"/>
      <c r="V41" s="24" t="n">
        <v>-39</v>
      </c>
      <c r="W41" s="24" t="n">
        <v>-102</v>
      </c>
      <c r="X41" s="24" t="n">
        <v>-94</v>
      </c>
      <c r="Y41" s="14" t="n">
        <v>54</v>
      </c>
      <c r="Z41" s="14"/>
      <c r="AA41" s="24" t="n">
        <v>-146</v>
      </c>
      <c r="AB41" s="24" t="n">
        <v>-79</v>
      </c>
      <c r="AC41" s="24" t="n">
        <v>-58</v>
      </c>
      <c r="AD41" s="24" t="n">
        <v>3</v>
      </c>
      <c r="AE41" s="24"/>
      <c r="AF41" s="24" t="n">
        <v>-10</v>
      </c>
      <c r="AG41" s="24" t="n">
        <v>-75</v>
      </c>
      <c r="AH41" s="24" t="n">
        <v>-16</v>
      </c>
      <c r="AI41" s="62" t="n">
        <v>0.1</v>
      </c>
      <c r="AJ41" s="24" t="n">
        <v>-127</v>
      </c>
      <c r="AK41" s="23" t="n">
        <f aca="false">AJ41/AI41-1</f>
        <v>-1271</v>
      </c>
      <c r="AL41" s="13"/>
      <c r="AM41" s="24" t="n">
        <v>-20</v>
      </c>
      <c r="AN41" s="24" t="n">
        <v>-90</v>
      </c>
      <c r="AO41" s="24" t="n">
        <v>-80</v>
      </c>
      <c r="AP41" s="24" t="n">
        <v>15</v>
      </c>
      <c r="AQ41" s="2"/>
    </row>
    <row r="42" s="54" customFormat="true" ht="25.5" hidden="false" customHeight="false" outlineLevel="0" collapsed="false">
      <c r="A42" s="11" t="s">
        <v>63</v>
      </c>
      <c r="B42" s="75" t="n">
        <v>4205</v>
      </c>
      <c r="C42" s="75" t="n">
        <v>4623</v>
      </c>
      <c r="D42" s="75" t="n">
        <v>4886</v>
      </c>
      <c r="E42" s="43" t="n">
        <v>4325</v>
      </c>
      <c r="F42" s="43" t="n">
        <v>4801</v>
      </c>
      <c r="G42" s="43" t="n">
        <v>2887</v>
      </c>
      <c r="H42" s="43" t="n">
        <v>6661</v>
      </c>
      <c r="I42" s="43" t="n">
        <f aca="false">I39-I40-I41</f>
        <v>6651</v>
      </c>
      <c r="J42" s="43" t="n">
        <f aca="false">J39-J40-J41</f>
        <v>6201</v>
      </c>
      <c r="K42" s="43" t="n">
        <f aca="false">K39-K40-K41</f>
        <v>6496.9</v>
      </c>
      <c r="L42" s="43" t="n">
        <f aca="false">SUM(AF42:AH42)+AJ42</f>
        <v>6700</v>
      </c>
      <c r="M42" s="23" t="n">
        <f aca="false">L42/K42-1</f>
        <v>0.0312610629684926</v>
      </c>
      <c r="N42" s="43" t="n">
        <f aca="false">N39-N40-N41</f>
        <v>8047</v>
      </c>
      <c r="O42" s="43" t="n">
        <f aca="false">O39-O40-O41</f>
        <v>8890</v>
      </c>
      <c r="P42" s="76"/>
      <c r="Q42" s="77" t="n">
        <v>1715</v>
      </c>
      <c r="R42" s="77" t="n">
        <v>1456</v>
      </c>
      <c r="S42" s="77" t="n">
        <v>1636</v>
      </c>
      <c r="T42" s="77" t="n">
        <v>1854</v>
      </c>
      <c r="U42" s="77"/>
      <c r="V42" s="77" t="n">
        <v>2106</v>
      </c>
      <c r="W42" s="77" t="n">
        <v>1501</v>
      </c>
      <c r="X42" s="77" t="n">
        <v>1670</v>
      </c>
      <c r="Y42" s="16" t="n">
        <v>1374</v>
      </c>
      <c r="Z42" s="16"/>
      <c r="AA42" s="77" t="n">
        <v>1828</v>
      </c>
      <c r="AB42" s="77" t="n">
        <v>1650</v>
      </c>
      <c r="AC42" s="77" t="n">
        <v>1477</v>
      </c>
      <c r="AD42" s="77" t="n">
        <v>1246</v>
      </c>
      <c r="AE42" s="77"/>
      <c r="AF42" s="77" t="n">
        <f aca="false">AF39-AF40-AF41</f>
        <v>1648</v>
      </c>
      <c r="AG42" s="77" t="n">
        <f aca="false">AG39-AG40-AG41</f>
        <v>1922</v>
      </c>
      <c r="AH42" s="77" t="n">
        <f aca="false">AH39-AH40-AH41</f>
        <v>1404</v>
      </c>
      <c r="AI42" s="78" t="n">
        <f aca="false">AI39-AI40-AI41</f>
        <v>1522.9</v>
      </c>
      <c r="AJ42" s="77" t="n">
        <v>1726</v>
      </c>
      <c r="AK42" s="46" t="n">
        <f aca="false">AJ42/AI42-1</f>
        <v>0.133363976623547</v>
      </c>
      <c r="AL42" s="77"/>
      <c r="AM42" s="77" t="n">
        <f aca="false">AM39-AM40-AM41</f>
        <v>2020</v>
      </c>
      <c r="AN42" s="77" t="n">
        <f aca="false">AN39-AN40-AN41</f>
        <v>2565</v>
      </c>
      <c r="AO42" s="77" t="n">
        <f aca="false">AO39-AO40-AO41</f>
        <v>1666</v>
      </c>
      <c r="AP42" s="77" t="n">
        <f aca="false">AP39-AP40-AP41</f>
        <v>1796</v>
      </c>
      <c r="AQ42" s="36"/>
    </row>
    <row r="43" s="47" customFormat="true" ht="25.5" hidden="false" customHeight="false" outlineLevel="0" collapsed="false">
      <c r="A43" s="18" t="s">
        <v>64</v>
      </c>
      <c r="B43" s="55" t="n">
        <v>932</v>
      </c>
      <c r="C43" s="55" t="n">
        <v>863</v>
      </c>
      <c r="D43" s="55" t="n">
        <v>646</v>
      </c>
      <c r="E43" s="22" t="n">
        <v>2392</v>
      </c>
      <c r="F43" s="22" t="n">
        <v>772</v>
      </c>
      <c r="G43" s="22" t="n">
        <v>348</v>
      </c>
      <c r="H43" s="22" t="n">
        <v>934</v>
      </c>
      <c r="I43" s="22" t="n">
        <v>605</v>
      </c>
      <c r="J43" s="22" t="n">
        <f aca="false">AA43+AB43+AC43+AD43</f>
        <v>1131</v>
      </c>
      <c r="K43" s="22" t="n">
        <f aca="false">AF43+AG43+AH43+AI43</f>
        <v>1021</v>
      </c>
      <c r="L43" s="22" t="n">
        <f aca="false">SUM(AF43:AH43)+AJ43</f>
        <v>1000</v>
      </c>
      <c r="M43" s="23" t="n">
        <f aca="false">L43/K43-1</f>
        <v>-0.0205680705190989</v>
      </c>
      <c r="N43" s="21" t="n">
        <f aca="false">SUM(AM43:AP43)</f>
        <v>1155.77831358301</v>
      </c>
      <c r="O43" s="21" t="n">
        <f aca="false">O42*O44</f>
        <v>1511.3</v>
      </c>
      <c r="P43" s="13"/>
      <c r="Q43" s="24" t="n">
        <v>197</v>
      </c>
      <c r="R43" s="24" t="n">
        <v>205</v>
      </c>
      <c r="S43" s="24" t="n">
        <v>187</v>
      </c>
      <c r="T43" s="24" t="n">
        <v>345</v>
      </c>
      <c r="U43" s="24"/>
      <c r="V43" s="24" t="n">
        <v>232</v>
      </c>
      <c r="W43" s="24" t="n">
        <v>164</v>
      </c>
      <c r="X43" s="24" t="n">
        <v>274</v>
      </c>
      <c r="Y43" s="14" t="n">
        <v>-65</v>
      </c>
      <c r="Z43" s="14"/>
      <c r="AA43" s="24" t="n">
        <v>360</v>
      </c>
      <c r="AB43" s="24" t="n">
        <v>319</v>
      </c>
      <c r="AC43" s="24" t="n">
        <v>237</v>
      </c>
      <c r="AD43" s="24" t="n">
        <v>215</v>
      </c>
      <c r="AE43" s="24"/>
      <c r="AF43" s="24" t="n">
        <v>198</v>
      </c>
      <c r="AG43" s="24" t="n">
        <v>344</v>
      </c>
      <c r="AH43" s="24" t="n">
        <v>232</v>
      </c>
      <c r="AI43" s="62" t="n">
        <v>247</v>
      </c>
      <c r="AJ43" s="24" t="n">
        <v>226</v>
      </c>
      <c r="AK43" s="23" t="n">
        <f aca="false">AJ43/AI43-1</f>
        <v>-0.0850202429149798</v>
      </c>
      <c r="AL43" s="13"/>
      <c r="AM43" s="79" t="n">
        <f aca="false">AM42*AM44</f>
        <v>342.721990134842</v>
      </c>
      <c r="AN43" s="79" t="n">
        <f aca="false">AN42*AN44</f>
        <v>422.457140018029</v>
      </c>
      <c r="AO43" s="79" t="n">
        <f aca="false">AO42*AO44</f>
        <v>186.971635618764</v>
      </c>
      <c r="AP43" s="79" t="n">
        <f aca="false">AP42*AP44</f>
        <v>203.627547811371</v>
      </c>
      <c r="AQ43" s="2"/>
    </row>
    <row r="44" s="48" customFormat="true" ht="25.5" hidden="false" customHeight="false" outlineLevel="0" collapsed="false">
      <c r="A44" s="80" t="s">
        <v>65</v>
      </c>
      <c r="B44" s="81"/>
      <c r="C44" s="81"/>
      <c r="D44" s="81"/>
      <c r="E44" s="82" t="n">
        <f aca="false">E43/E42</f>
        <v>0.553063583815029</v>
      </c>
      <c r="F44" s="82" t="n">
        <f aca="false">F43/F42</f>
        <v>0.160799833368048</v>
      </c>
      <c r="G44" s="82" t="n">
        <f aca="false">G43/G42</f>
        <v>0.120540353307932</v>
      </c>
      <c r="H44" s="82" t="n">
        <f aca="false">H43/H42</f>
        <v>0.140219186308362</v>
      </c>
      <c r="I44" s="82" t="n">
        <f aca="false">I43/I42</f>
        <v>0.0909637648473914</v>
      </c>
      <c r="J44" s="82" t="n">
        <f aca="false">J43/J42</f>
        <v>0.182389937106918</v>
      </c>
      <c r="K44" s="82" t="n">
        <f aca="false">K43/K42</f>
        <v>0.157151872431467</v>
      </c>
      <c r="L44" s="82" t="n">
        <f aca="false">L43/L42</f>
        <v>0.149253731343284</v>
      </c>
      <c r="M44" s="23" t="n">
        <f aca="false">L44/K44-1</f>
        <v>-0.0502580145306769</v>
      </c>
      <c r="N44" s="82" t="n">
        <f aca="false">N43/N42</f>
        <v>0.143628471925315</v>
      </c>
      <c r="O44" s="82" t="n">
        <v>0.17</v>
      </c>
      <c r="P44" s="13"/>
      <c r="Q44" s="82" t="n">
        <f aca="false">Q43/Q42</f>
        <v>0.114868804664723</v>
      </c>
      <c r="R44" s="82" t="n">
        <f aca="false">R43/R42</f>
        <v>0.140796703296703</v>
      </c>
      <c r="S44" s="82" t="n">
        <f aca="false">S43/S42</f>
        <v>0.114303178484108</v>
      </c>
      <c r="T44" s="82" t="n">
        <f aca="false">T43/T42</f>
        <v>0.186084142394822</v>
      </c>
      <c r="U44" s="13"/>
      <c r="V44" s="82" t="n">
        <f aca="false">V43/V42</f>
        <v>0.110161443494777</v>
      </c>
      <c r="W44" s="82" t="n">
        <f aca="false">W43/W42</f>
        <v>0.109260493004664</v>
      </c>
      <c r="X44" s="82" t="n">
        <f aca="false">X43/X42</f>
        <v>0.164071856287425</v>
      </c>
      <c r="Y44" s="82" t="n">
        <f aca="false">Y43/Y42</f>
        <v>-0.0473071324599709</v>
      </c>
      <c r="Z44" s="13"/>
      <c r="AA44" s="82" t="n">
        <f aca="false">AA43/AA42</f>
        <v>0.196936542669584</v>
      </c>
      <c r="AB44" s="82" t="n">
        <f aca="false">AB43/AB42</f>
        <v>0.193333333333333</v>
      </c>
      <c r="AC44" s="82" t="n">
        <f aca="false">AC43/AC42</f>
        <v>0.160460392687881</v>
      </c>
      <c r="AD44" s="82" t="n">
        <f aca="false">AD43/AD42</f>
        <v>0.172552166934189</v>
      </c>
      <c r="AE44" s="13"/>
      <c r="AF44" s="82" t="n">
        <f aca="false">AF43/AF42</f>
        <v>0.120145631067961</v>
      </c>
      <c r="AG44" s="82" t="n">
        <f aca="false">AG43/AG42</f>
        <v>0.1789802289282</v>
      </c>
      <c r="AH44" s="82" t="n">
        <f aca="false">AH43/AH42</f>
        <v>0.165242165242165</v>
      </c>
      <c r="AI44" s="83" t="n">
        <f aca="false">AI43/AI42</f>
        <v>0.162190557489001</v>
      </c>
      <c r="AJ44" s="84" t="n">
        <f aca="false">AJ43/AJ42</f>
        <v>0.130938586326767</v>
      </c>
      <c r="AK44" s="23" t="n">
        <f aca="false">AJ44/AI44-1</f>
        <v>-0.192686748514034</v>
      </c>
      <c r="AL44" s="13"/>
      <c r="AM44" s="85" t="n">
        <f aca="false">AVERAGE(AA44:AH44)</f>
        <v>0.169664351551902</v>
      </c>
      <c r="AN44" s="85" t="n">
        <f aca="false">AVERAGE(AB44:AI44)</f>
        <v>0.164700639383247</v>
      </c>
      <c r="AO44" s="85" t="n">
        <f aca="false">AVERAGE(AC44:AL44)</f>
        <v>0.112227872520266</v>
      </c>
      <c r="AP44" s="85" t="n">
        <f aca="false">AVERAGE(AD44:AM44)</f>
        <v>0.113378367378269</v>
      </c>
      <c r="AQ44" s="2"/>
    </row>
    <row r="45" s="48" customFormat="true" ht="27" hidden="false" customHeight="false" outlineLevel="0" collapsed="false">
      <c r="A45" s="86" t="s">
        <v>66</v>
      </c>
      <c r="B45" s="87" t="n">
        <v>3273</v>
      </c>
      <c r="C45" s="87" t="n">
        <v>3760</v>
      </c>
      <c r="D45" s="87" t="n">
        <v>4240</v>
      </c>
      <c r="E45" s="88" t="n">
        <v>1933</v>
      </c>
      <c r="F45" s="88" t="n">
        <v>4029</v>
      </c>
      <c r="G45" s="88" t="n">
        <v>2539</v>
      </c>
      <c r="H45" s="88" t="n">
        <v>5727</v>
      </c>
      <c r="I45" s="88" t="n">
        <v>6046</v>
      </c>
      <c r="J45" s="88" t="n">
        <f aca="false">J42-J43</f>
        <v>5070</v>
      </c>
      <c r="K45" s="88" t="n">
        <f aca="false">K42-K43</f>
        <v>5475.9</v>
      </c>
      <c r="L45" s="88" t="n">
        <f aca="false">L42-L43</f>
        <v>5700</v>
      </c>
      <c r="M45" s="23" t="n">
        <f aca="false">L45/K45-1</f>
        <v>0.0409247794883034</v>
      </c>
      <c r="N45" s="88" t="n">
        <f aca="false">N42-N43</f>
        <v>6891.22168641699</v>
      </c>
      <c r="O45" s="89" t="n">
        <f aca="false">O42-O43</f>
        <v>7378.7</v>
      </c>
      <c r="P45" s="90"/>
      <c r="Q45" s="89" t="n">
        <v>1518</v>
      </c>
      <c r="R45" s="89" t="n">
        <v>1251</v>
      </c>
      <c r="S45" s="89" t="n">
        <v>1449</v>
      </c>
      <c r="T45" s="89" t="n">
        <v>1509</v>
      </c>
      <c r="U45" s="90"/>
      <c r="V45" s="89" t="n">
        <v>1874</v>
      </c>
      <c r="W45" s="89" t="n">
        <v>1337</v>
      </c>
      <c r="X45" s="89" t="n">
        <v>1396</v>
      </c>
      <c r="Y45" s="89" t="n">
        <v>1439</v>
      </c>
      <c r="Z45" s="90"/>
      <c r="AA45" s="89" t="n">
        <f aca="false">AA42-AA43</f>
        <v>1468</v>
      </c>
      <c r="AB45" s="89" t="n">
        <f aca="false">AB42-AB43</f>
        <v>1331</v>
      </c>
      <c r="AC45" s="89" t="n">
        <f aca="false">AC42-AC43</f>
        <v>1240</v>
      </c>
      <c r="AD45" s="89" t="n">
        <f aca="false">AD42-AD43</f>
        <v>1031</v>
      </c>
      <c r="AE45" s="90"/>
      <c r="AF45" s="89" t="n">
        <f aca="false">AF42-AF43</f>
        <v>1450</v>
      </c>
      <c r="AG45" s="89" t="n">
        <f aca="false">AG42-AG43</f>
        <v>1578</v>
      </c>
      <c r="AH45" s="89" t="n">
        <f aca="false">AH42-AH43</f>
        <v>1172</v>
      </c>
      <c r="AI45" s="91" t="n">
        <f aca="false">AI42-AI43</f>
        <v>1275.9</v>
      </c>
      <c r="AJ45" s="89" t="n">
        <f aca="false">AJ42-AJ43</f>
        <v>1500</v>
      </c>
      <c r="AK45" s="92" t="n">
        <f aca="false">AJ45/AI45-1</f>
        <v>0.175640724194686</v>
      </c>
      <c r="AL45" s="90"/>
      <c r="AM45" s="89" t="n">
        <f aca="false">AM42-AM43</f>
        <v>1677.27800986516</v>
      </c>
      <c r="AN45" s="89" t="n">
        <f aca="false">AN42-AN43</f>
        <v>2142.54285998197</v>
      </c>
      <c r="AO45" s="89" t="n">
        <f aca="false">AO42-AO43</f>
        <v>1479.02836438124</v>
      </c>
      <c r="AP45" s="89" t="n">
        <f aca="false">AP42-AP43</f>
        <v>1592.37245218863</v>
      </c>
      <c r="AQ45" s="38"/>
    </row>
    <row r="46" s="48" customFormat="true" ht="25.5" hidden="false" customHeight="false" outlineLevel="0" collapsed="false">
      <c r="A46" s="11" t="s">
        <v>67</v>
      </c>
      <c r="B46" s="12"/>
      <c r="C46" s="12"/>
      <c r="D46" s="12"/>
      <c r="E46" s="13"/>
      <c r="F46" s="13"/>
      <c r="G46" s="13"/>
      <c r="H46" s="14" t="s">
        <v>38</v>
      </c>
      <c r="I46" s="14" t="s">
        <v>38</v>
      </c>
      <c r="J46" s="14" t="s">
        <v>38</v>
      </c>
      <c r="K46" s="14" t="s">
        <v>38</v>
      </c>
      <c r="L46" s="14"/>
      <c r="M46" s="23"/>
      <c r="N46" s="13"/>
      <c r="O46" s="13"/>
      <c r="P46" s="13"/>
      <c r="Q46" s="15"/>
      <c r="R46" s="15"/>
      <c r="S46" s="15"/>
      <c r="T46" s="15"/>
      <c r="U46" s="37"/>
      <c r="V46" s="15"/>
      <c r="W46" s="15"/>
      <c r="X46" s="15"/>
      <c r="Y46" s="16"/>
      <c r="Z46" s="16"/>
      <c r="AA46" s="14" t="s">
        <v>38</v>
      </c>
      <c r="AB46" s="14" t="s">
        <v>38</v>
      </c>
      <c r="AC46" s="14" t="s">
        <v>38</v>
      </c>
      <c r="AD46" s="14"/>
      <c r="AE46" s="14"/>
      <c r="AF46" s="14" t="s">
        <v>38</v>
      </c>
      <c r="AG46" s="14" t="s">
        <v>38</v>
      </c>
      <c r="AH46" s="14" t="s">
        <v>38</v>
      </c>
      <c r="AI46" s="17"/>
      <c r="AJ46" s="13"/>
      <c r="AK46" s="23"/>
      <c r="AL46" s="13"/>
      <c r="AM46" s="13"/>
      <c r="AN46" s="13"/>
      <c r="AO46" s="13"/>
      <c r="AP46" s="13"/>
      <c r="AQ46" s="2"/>
    </row>
    <row r="47" s="54" customFormat="true" ht="25.5" hidden="false" customHeight="false" outlineLevel="0" collapsed="false">
      <c r="A47" s="18" t="s">
        <v>68</v>
      </c>
      <c r="B47" s="93" t="n">
        <v>1.9</v>
      </c>
      <c r="C47" s="93" t="n">
        <v>2.21</v>
      </c>
      <c r="D47" s="93" t="n">
        <v>2.56</v>
      </c>
      <c r="E47" s="37" t="n">
        <v>1.19</v>
      </c>
      <c r="F47" s="37" t="n">
        <v>2.55</v>
      </c>
      <c r="G47" s="37" t="n">
        <v>1.63</v>
      </c>
      <c r="H47" s="37" t="n">
        <f aca="false">H45/H50</f>
        <v>3.64081373172282</v>
      </c>
      <c r="I47" s="37" t="n">
        <f aca="false">I45/I50</f>
        <v>3.82949075247023</v>
      </c>
      <c r="J47" s="37" t="n">
        <f aca="false">J45/J50</f>
        <v>3.26759474091261</v>
      </c>
      <c r="K47" s="37" t="n">
        <f aca="false">K45/K50</f>
        <v>3.6011442851506</v>
      </c>
      <c r="L47" s="37" t="n">
        <f aca="false">L45/L50</f>
        <v>3.75593041644702</v>
      </c>
      <c r="M47" s="23" t="n">
        <f aca="false">L47/K47-1</f>
        <v>0.0429824852991001</v>
      </c>
      <c r="N47" s="37" t="n">
        <f aca="false">N45/N50</f>
        <v>4.48939523545081</v>
      </c>
      <c r="O47" s="37" t="n">
        <f aca="false">O45/O50</f>
        <v>4.79136363636364</v>
      </c>
      <c r="P47" s="13"/>
      <c r="Q47" s="37" t="n">
        <v>0.97</v>
      </c>
      <c r="R47" s="37" t="n">
        <v>0.8</v>
      </c>
      <c r="S47" s="37" t="n">
        <v>0.92</v>
      </c>
      <c r="T47" s="37" t="n">
        <v>0.96</v>
      </c>
      <c r="U47" s="37"/>
      <c r="V47" s="37" t="n">
        <v>1.18</v>
      </c>
      <c r="W47" s="37" t="n">
        <v>0.84</v>
      </c>
      <c r="X47" s="37" t="n">
        <v>0.88</v>
      </c>
      <c r="Y47" s="37" t="n">
        <f aca="false">Y45/Y50</f>
        <v>0.915394402035623</v>
      </c>
      <c r="Z47" s="37"/>
      <c r="AA47" s="37" t="n">
        <v>0.94</v>
      </c>
      <c r="AB47" s="37" t="n">
        <v>0.85</v>
      </c>
      <c r="AC47" s="37" t="n">
        <v>0.8</v>
      </c>
      <c r="AD47" s="37" t="n">
        <f aca="false">AD45/AD50</f>
        <v>0.671005532053368</v>
      </c>
      <c r="AE47" s="37"/>
      <c r="AF47" s="37" t="n">
        <v>0.95</v>
      </c>
      <c r="AG47" s="37" t="n">
        <v>1.04</v>
      </c>
      <c r="AH47" s="37" t="n">
        <f aca="false">AH45/AH50</f>
        <v>0.77451757864129</v>
      </c>
      <c r="AI47" s="94" t="n">
        <f aca="false">AI45/AI50</f>
        <v>0.839407894736842</v>
      </c>
      <c r="AJ47" s="37" t="n">
        <f aca="false">AJ45/AJ50</f>
        <v>0.994694960212202</v>
      </c>
      <c r="AK47" s="23" t="n">
        <f aca="false">AJ47/AI47-1</f>
        <v>0.184995955421699</v>
      </c>
      <c r="AL47" s="37"/>
      <c r="AM47" s="37" t="n">
        <f aca="false">AM45/AM50</f>
        <v>1.08914156484751</v>
      </c>
      <c r="AN47" s="37" t="n">
        <f aca="false">AN45/AN50</f>
        <v>1.40035481044573</v>
      </c>
      <c r="AO47" s="37" t="n">
        <f aca="false">AO45/AO50</f>
        <v>0.973044976566603</v>
      </c>
      <c r="AP47" s="37" t="n">
        <f aca="false">AP45/AP50</f>
        <v>1.02733706592815</v>
      </c>
      <c r="AQ47" s="2"/>
    </row>
    <row r="48" s="2" customFormat="true" ht="25.5" hidden="false" customHeight="false" outlineLevel="0" collapsed="false">
      <c r="A48" s="18" t="s">
        <v>69</v>
      </c>
      <c r="B48" s="95" t="n">
        <v>1.85</v>
      </c>
      <c r="C48" s="95" t="n">
        <v>2.16</v>
      </c>
      <c r="D48" s="95" t="n">
        <v>2.51</v>
      </c>
      <c r="E48" s="37" t="n">
        <v>1.17</v>
      </c>
      <c r="F48" s="37" t="n">
        <v>2.49</v>
      </c>
      <c r="G48" s="37" t="n">
        <v>1.6</v>
      </c>
      <c r="H48" s="37" t="n">
        <f aca="false">H45/H51</f>
        <v>3.55846899465639</v>
      </c>
      <c r="I48" s="37" t="n">
        <f aca="false">I45/I51</f>
        <v>3.75341445244599</v>
      </c>
      <c r="J48" s="37" t="n">
        <f aca="false">J45/J51</f>
        <v>3.22965935693469</v>
      </c>
      <c r="K48" s="37" t="n">
        <f aca="false">K45/K51</f>
        <v>3.56625799833928</v>
      </c>
      <c r="L48" s="37" t="n">
        <f aca="false">L45/L51</f>
        <v>3.72622082761326</v>
      </c>
      <c r="M48" s="23" t="n">
        <f aca="false">L48/K48-1</f>
        <v>0.0448545308131023</v>
      </c>
      <c r="N48" s="37" t="n">
        <f aca="false">N45/N51</f>
        <v>4.45313194598837</v>
      </c>
      <c r="O48" s="37" t="n">
        <f aca="false">O45/O51</f>
        <v>4.76045161290323</v>
      </c>
      <c r="P48" s="13"/>
      <c r="Q48" s="37" t="n">
        <v>0.95</v>
      </c>
      <c r="R48" s="37" t="n">
        <v>0.78</v>
      </c>
      <c r="S48" s="37" t="n">
        <v>0.9</v>
      </c>
      <c r="T48" s="37" t="n">
        <v>0.93</v>
      </c>
      <c r="U48" s="15"/>
      <c r="V48" s="37" t="n">
        <v>1.16</v>
      </c>
      <c r="W48" s="37" t="n">
        <v>0.83</v>
      </c>
      <c r="X48" s="37" t="n">
        <v>0.87</v>
      </c>
      <c r="Y48" s="37" t="n">
        <f aca="false">Y45/Y51</f>
        <v>0.902194357366771</v>
      </c>
      <c r="Z48" s="37"/>
      <c r="AA48" s="37" t="n">
        <v>0.93</v>
      </c>
      <c r="AB48" s="37" t="n">
        <v>0.85</v>
      </c>
      <c r="AC48" s="37" t="n">
        <v>0.79</v>
      </c>
      <c r="AD48" s="37" t="n">
        <f aca="false">AD45/AD51</f>
        <v>0.662468675705198</v>
      </c>
      <c r="AE48" s="37"/>
      <c r="AF48" s="37" t="n">
        <v>0.94</v>
      </c>
      <c r="AG48" s="37" t="n">
        <v>1.03</v>
      </c>
      <c r="AH48" s="37" t="n">
        <f aca="false">AH45/AH51</f>
        <v>0.767769407140518</v>
      </c>
      <c r="AI48" s="94" t="n">
        <f aca="false">AI45/AI51</f>
        <v>0.828506493506494</v>
      </c>
      <c r="AJ48" s="37" t="n">
        <f aca="false">AJ45/AJ51</f>
        <v>0.988989252983451</v>
      </c>
      <c r="AK48" s="23" t="n">
        <f aca="false">AJ48/AI48-1</f>
        <v>0.193701269374178</v>
      </c>
      <c r="AL48" s="37"/>
      <c r="AM48" s="37" t="n">
        <f aca="false">AM45/AM51</f>
        <v>1.0821148450743</v>
      </c>
      <c r="AN48" s="37" t="n">
        <f aca="false">AN45/AN51</f>
        <v>1.3822857161174</v>
      </c>
      <c r="AO48" s="37" t="n">
        <f aca="false">AO45/AO51</f>
        <v>0.960408028818985</v>
      </c>
      <c r="AP48" s="37" t="n">
        <f aca="false">AP45/AP51</f>
        <v>1.02733706592815</v>
      </c>
    </row>
    <row r="49" s="2" customFormat="true" ht="41.75" hidden="false" customHeight="false" outlineLevel="0" collapsed="false">
      <c r="A49" s="11" t="s">
        <v>70</v>
      </c>
      <c r="B49" s="93"/>
      <c r="C49" s="93"/>
      <c r="D49" s="93"/>
      <c r="E49" s="13"/>
      <c r="F49" s="13"/>
      <c r="G49" s="13"/>
      <c r="H49" s="14" t="s">
        <v>38</v>
      </c>
      <c r="I49" s="14" t="s">
        <v>38</v>
      </c>
      <c r="J49" s="39"/>
      <c r="K49" s="39"/>
      <c r="L49" s="39"/>
      <c r="M49" s="23"/>
      <c r="N49" s="13"/>
      <c r="O49" s="13"/>
      <c r="P49" s="13"/>
      <c r="Q49" s="39"/>
      <c r="R49" s="24"/>
      <c r="S49" s="24"/>
      <c r="T49" s="24"/>
      <c r="U49" s="24"/>
      <c r="V49" s="15"/>
      <c r="W49" s="15"/>
      <c r="X49" s="15"/>
      <c r="Y49" s="16"/>
      <c r="Z49" s="16"/>
      <c r="AA49" s="14" t="s">
        <v>38</v>
      </c>
      <c r="AB49" s="14" t="s">
        <v>38</v>
      </c>
      <c r="AC49" s="14" t="s">
        <v>38</v>
      </c>
      <c r="AD49" s="14"/>
      <c r="AE49" s="14"/>
      <c r="AF49" s="14" t="s">
        <v>38</v>
      </c>
      <c r="AG49" s="14" t="s">
        <v>38</v>
      </c>
      <c r="AH49" s="14" t="s">
        <v>38</v>
      </c>
      <c r="AI49" s="17"/>
      <c r="AJ49" s="13"/>
      <c r="AK49" s="23"/>
      <c r="AL49" s="13"/>
      <c r="AM49" s="13"/>
      <c r="AN49" s="13"/>
      <c r="AO49" s="13"/>
      <c r="AP49" s="13"/>
    </row>
    <row r="50" s="2" customFormat="true" ht="25.5" hidden="false" customHeight="false" outlineLevel="0" collapsed="false">
      <c r="A50" s="18" t="s">
        <v>71</v>
      </c>
      <c r="B50" s="96" t="n">
        <f aca="false">B45/B47</f>
        <v>1722.63157894737</v>
      </c>
      <c r="C50" s="96" t="n">
        <f aca="false">C45/C47</f>
        <v>1701.35746606335</v>
      </c>
      <c r="D50" s="96" t="n">
        <f aca="false">D45/D47</f>
        <v>1656.25</v>
      </c>
      <c r="E50" s="39" t="n">
        <v>1623.8</v>
      </c>
      <c r="F50" s="39" t="n">
        <v>1579.7</v>
      </c>
      <c r="G50" s="39" t="n">
        <v>1558.8</v>
      </c>
      <c r="H50" s="24" t="n">
        <v>1573</v>
      </c>
      <c r="I50" s="39" t="n">
        <v>1578.8</v>
      </c>
      <c r="J50" s="39" t="n">
        <f aca="false">AVERAGE(AA50:AD50)</f>
        <v>1551.6</v>
      </c>
      <c r="K50" s="39" t="n">
        <f aca="false">AVERAGE(AF50:AI50)</f>
        <v>1520.6</v>
      </c>
      <c r="L50" s="39" t="n">
        <v>1517.6</v>
      </c>
      <c r="M50" s="23" t="n">
        <f aca="false">L50/K50-1</f>
        <v>-0.0019729054320663</v>
      </c>
      <c r="N50" s="39" t="n">
        <f aca="false">AVERAGE(AM50:AP50)</f>
        <v>1535</v>
      </c>
      <c r="O50" s="39" t="n">
        <v>1540</v>
      </c>
      <c r="P50" s="13"/>
      <c r="Q50" s="39" t="n">
        <v>1561.8</v>
      </c>
      <c r="R50" s="24" t="n">
        <v>1573</v>
      </c>
      <c r="S50" s="24" t="n">
        <v>1578</v>
      </c>
      <c r="T50" s="24" t="n">
        <v>1579</v>
      </c>
      <c r="U50" s="39"/>
      <c r="V50" s="39" t="n">
        <v>1581.9</v>
      </c>
      <c r="W50" s="39" t="n">
        <v>1582.4</v>
      </c>
      <c r="X50" s="24" t="n">
        <v>1579</v>
      </c>
      <c r="Y50" s="14" t="n">
        <v>1572</v>
      </c>
      <c r="Z50" s="14"/>
      <c r="AA50" s="39" t="n">
        <v>1567.1</v>
      </c>
      <c r="AB50" s="24" t="n">
        <v>1559</v>
      </c>
      <c r="AC50" s="39" t="n">
        <v>1543.8</v>
      </c>
      <c r="AD50" s="39" t="n">
        <v>1536.5</v>
      </c>
      <c r="AE50" s="39"/>
      <c r="AF50" s="39" t="n">
        <v>1528.4</v>
      </c>
      <c r="AG50" s="39" t="n">
        <v>1520.8</v>
      </c>
      <c r="AH50" s="39" t="n">
        <v>1513.2</v>
      </c>
      <c r="AI50" s="97" t="n">
        <v>1520</v>
      </c>
      <c r="AJ50" s="39" t="n">
        <v>1508</v>
      </c>
      <c r="AK50" s="23" t="n">
        <f aca="false">AJ50/AI50-1</f>
        <v>-0.00789473684210529</v>
      </c>
      <c r="AL50" s="13"/>
      <c r="AM50" s="39" t="n">
        <v>1540</v>
      </c>
      <c r="AN50" s="39" t="n">
        <v>1530</v>
      </c>
      <c r="AO50" s="39" t="n">
        <v>1520</v>
      </c>
      <c r="AP50" s="39" t="n">
        <v>1550</v>
      </c>
    </row>
    <row r="51" s="2" customFormat="true" ht="25.5" hidden="false" customHeight="false" outlineLevel="0" collapsed="false">
      <c r="A51" s="18" t="s">
        <v>72</v>
      </c>
      <c r="B51" s="96" t="n">
        <f aca="false">B45/B48</f>
        <v>1769.18918918919</v>
      </c>
      <c r="C51" s="96" t="n">
        <f aca="false">C45/C48</f>
        <v>1740.74074074074</v>
      </c>
      <c r="D51" s="96" t="n">
        <f aca="false">D45/D48</f>
        <v>1689.24302788845</v>
      </c>
      <c r="E51" s="39" t="n">
        <v>1659.1</v>
      </c>
      <c r="F51" s="39" t="n">
        <v>1618.4</v>
      </c>
      <c r="G51" s="39" t="n">
        <v>1591.6</v>
      </c>
      <c r="H51" s="39" t="n">
        <v>1609.4</v>
      </c>
      <c r="I51" s="39" t="n">
        <v>1610.8</v>
      </c>
      <c r="J51" s="39" t="n">
        <f aca="false">AVERAGE(AA51:AD51)</f>
        <v>1569.825</v>
      </c>
      <c r="K51" s="39" t="n">
        <f aca="false">AVERAGE(AF51:AI51)</f>
        <v>1535.475</v>
      </c>
      <c r="L51" s="39" t="n">
        <v>1529.7</v>
      </c>
      <c r="M51" s="23" t="n">
        <f aca="false">L51/K51-1</f>
        <v>-0.00376105114052649</v>
      </c>
      <c r="N51" s="39" t="n">
        <f aca="false">AVERAGE(AM51:AP51)</f>
        <v>1547.5</v>
      </c>
      <c r="O51" s="39" t="n">
        <v>1550</v>
      </c>
      <c r="P51" s="13"/>
      <c r="Q51" s="39" t="n">
        <v>1593.3</v>
      </c>
      <c r="R51" s="39" t="n">
        <v>1609.5</v>
      </c>
      <c r="S51" s="39" t="n">
        <v>1616.9</v>
      </c>
      <c r="T51" s="39" t="n">
        <v>1614.9</v>
      </c>
      <c r="U51" s="13"/>
      <c r="V51" s="39" t="n">
        <v>1619.6</v>
      </c>
      <c r="W51" s="39" t="n">
        <v>1617.4</v>
      </c>
      <c r="X51" s="39" t="n">
        <v>1610.7</v>
      </c>
      <c r="Y51" s="14" t="n">
        <v>1595</v>
      </c>
      <c r="Z51" s="14"/>
      <c r="AA51" s="39" t="n">
        <v>1585.8</v>
      </c>
      <c r="AB51" s="39" t="n">
        <v>1572.4</v>
      </c>
      <c r="AC51" s="39" t="n">
        <v>1564.8</v>
      </c>
      <c r="AD51" s="39" t="n">
        <v>1556.3</v>
      </c>
      <c r="AE51" s="39"/>
      <c r="AF51" s="39" t="n">
        <v>1543.3</v>
      </c>
      <c r="AG51" s="39" t="n">
        <v>1532.1</v>
      </c>
      <c r="AH51" s="39" t="n">
        <v>1526.5</v>
      </c>
      <c r="AI51" s="97" t="n">
        <v>1540</v>
      </c>
      <c r="AJ51" s="39" t="n">
        <v>1516.7</v>
      </c>
      <c r="AK51" s="23" t="n">
        <f aca="false">AJ51/AI51-1</f>
        <v>-0.0151298701298701</v>
      </c>
      <c r="AL51" s="13"/>
      <c r="AM51" s="39" t="n">
        <v>1550</v>
      </c>
      <c r="AN51" s="39" t="n">
        <v>1550</v>
      </c>
      <c r="AO51" s="39" t="n">
        <v>1540</v>
      </c>
      <c r="AP51" s="39" t="n">
        <v>1550</v>
      </c>
    </row>
    <row r="52" s="2" customFormat="true" ht="25.5" hidden="false" customHeight="false" outlineLevel="0" collapsed="false">
      <c r="A52" s="18"/>
      <c r="B52" s="55"/>
      <c r="C52" s="55"/>
      <c r="D52" s="55"/>
      <c r="E52" s="13"/>
      <c r="F52" s="13"/>
      <c r="G52" s="13"/>
      <c r="H52" s="13"/>
      <c r="I52" s="13"/>
      <c r="J52" s="13"/>
      <c r="K52" s="13"/>
      <c r="L52" s="13"/>
      <c r="M52" s="2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7"/>
      <c r="AJ52" s="13"/>
      <c r="AK52" s="23"/>
      <c r="AL52" s="13"/>
      <c r="AM52" s="13"/>
      <c r="AN52" s="13"/>
      <c r="AO52" s="13"/>
      <c r="AP52" s="13"/>
    </row>
    <row r="53" s="2" customFormat="true" ht="25.5" hidden="false" customHeight="false" outlineLevel="0" collapsed="false">
      <c r="A53" s="98" t="s">
        <v>73</v>
      </c>
      <c r="B53" s="55"/>
      <c r="C53" s="55"/>
      <c r="D53" s="55"/>
      <c r="E53" s="13"/>
      <c r="F53" s="13"/>
      <c r="G53" s="13"/>
      <c r="H53" s="13"/>
      <c r="I53" s="13"/>
      <c r="J53" s="13"/>
      <c r="K53" s="13"/>
      <c r="L53" s="13"/>
      <c r="M53" s="2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7"/>
      <c r="AJ53" s="13"/>
      <c r="AK53" s="23"/>
      <c r="AL53" s="13"/>
      <c r="AM53" s="13"/>
      <c r="AN53" s="13"/>
      <c r="AO53" s="13"/>
      <c r="AP53" s="13"/>
    </row>
    <row r="54" s="2" customFormat="true" ht="25.5" hidden="false" customHeight="false" outlineLevel="0" collapsed="false">
      <c r="A54" s="18" t="s">
        <v>39</v>
      </c>
      <c r="B54" s="99" t="s">
        <v>39</v>
      </c>
      <c r="C54" s="99" t="s">
        <v>39</v>
      </c>
      <c r="D54" s="99" t="s">
        <v>39</v>
      </c>
      <c r="E54" s="14"/>
      <c r="F54" s="14"/>
      <c r="G54" s="14"/>
      <c r="H54" s="14"/>
      <c r="I54" s="14"/>
      <c r="J54" s="14"/>
      <c r="K54" s="14"/>
      <c r="L54" s="14"/>
      <c r="M54" s="23"/>
      <c r="N54" s="14"/>
      <c r="O54" s="14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1"/>
      <c r="AJ54" s="100"/>
      <c r="AK54" s="23"/>
      <c r="AL54" s="100"/>
      <c r="AM54" s="100"/>
      <c r="AN54" s="100"/>
      <c r="AO54" s="100"/>
      <c r="AP54" s="100"/>
      <c r="AQ54" s="47"/>
    </row>
    <row r="55" s="106" customFormat="true" ht="25.5" hidden="false" customHeight="false" outlineLevel="0" collapsed="false">
      <c r="A55" s="20" t="s">
        <v>40</v>
      </c>
      <c r="B55" s="102" t="s">
        <v>40</v>
      </c>
      <c r="C55" s="102" t="s">
        <v>40</v>
      </c>
      <c r="D55" s="102" t="s">
        <v>40</v>
      </c>
      <c r="E55" s="103" t="e">
        <f aca="false">(E5-D5)/ABS(D5)</f>
        <v>#DIV/0!</v>
      </c>
      <c r="F55" s="103" t="n">
        <f aca="false">(F5-E5)/ABS(E5)</f>
        <v>0.0775584638489595</v>
      </c>
      <c r="G55" s="103" t="n">
        <f aca="false">(G5-F5)/ABS(F5)</f>
        <v>-0.071279243404679</v>
      </c>
      <c r="H55" s="103" t="n">
        <f aca="false">(H5-G5)/ABS(G5)</f>
        <v>0.248150927216208</v>
      </c>
      <c r="I55" s="103" t="n">
        <f aca="false">(I5-H5)/ABS(H5)</f>
        <v>0.0501545860529028</v>
      </c>
      <c r="J55" s="103" t="n">
        <f aca="false">(J5-I5)/ABS(I5)</f>
        <v>0.218269545305855</v>
      </c>
      <c r="K55" s="103" t="n">
        <f aca="false">(K5-J5)/ABS(J5)</f>
        <v>0.00288648721219037</v>
      </c>
      <c r="L55" s="103" t="n">
        <f aca="false">(L5-J5)/ABS(J5)</f>
        <v>-0.0241659394508962</v>
      </c>
      <c r="M55" s="23" t="n">
        <f aca="false">L55/K55-1</f>
        <v>-9.37209302325582</v>
      </c>
      <c r="N55" s="103" t="n">
        <f aca="false">(N5-K5)/ABS(K5)</f>
        <v>0.0408299866131191</v>
      </c>
      <c r="O55" s="103" t="n">
        <f aca="false">(O5-N5)/ABS(N5)</f>
        <v>0.0739549839228296</v>
      </c>
      <c r="P55" s="104"/>
      <c r="Q55" s="104"/>
      <c r="R55" s="104"/>
      <c r="S55" s="104"/>
      <c r="T55" s="104"/>
      <c r="U55" s="104"/>
      <c r="V55" s="103" t="n">
        <f aca="false">(V5-Q5)/ABS(Q5)</f>
        <v>0.103821440649307</v>
      </c>
      <c r="W55" s="103" t="n">
        <f aca="false">(W5-R5)/ABS(R5)</f>
        <v>0.135350318471338</v>
      </c>
      <c r="X55" s="103" t="n">
        <f aca="false">(X5-S5)/ABS(S5)</f>
        <v>0.0629722921914358</v>
      </c>
      <c r="Y55" s="103" t="n">
        <f aca="false">(Y5-T5)/ABS(T5)</f>
        <v>-0.0561560769839177</v>
      </c>
      <c r="Z55" s="103"/>
      <c r="AA55" s="103" t="n">
        <f aca="false">(AA5-V5)/ABS(V5)</f>
        <v>0.165747549019608</v>
      </c>
      <c r="AB55" s="103" t="n">
        <f aca="false">(AB5-W5)/ABS(W5)</f>
        <v>0.389551192145863</v>
      </c>
      <c r="AC55" s="103" t="n">
        <f aca="false">(AC5-X5)/ABS(X5)</f>
        <v>0.312006319115324</v>
      </c>
      <c r="AD55" s="103" t="n">
        <f aca="false">(AD5-Y5)/ABS(Y5)</f>
        <v>0.0634078212290503</v>
      </c>
      <c r="AE55" s="103"/>
      <c r="AF55" s="103" t="n">
        <f aca="false">(AF5-AA5)/ABS(AA5)</f>
        <v>-0.0189224704336399</v>
      </c>
      <c r="AG55" s="103" t="n">
        <f aca="false">(AG5-AB5)/ABS(AB5)</f>
        <v>-0.0519808226091345</v>
      </c>
      <c r="AH55" s="103" t="n">
        <f aca="false">(AH5-AC5)/ABS(AC5)</f>
        <v>0.0415412402167369</v>
      </c>
      <c r="AI55" s="105" t="n">
        <f aca="false">(AI5-AD5)/ABS(AD5)</f>
        <v>0.0480693459416864</v>
      </c>
      <c r="AJ55" s="103" t="n">
        <f aca="false">(AJ5-AD5)/ABS(AD5)</f>
        <v>-0.0577882847386393</v>
      </c>
      <c r="AK55" s="23" t="n">
        <f aca="false">AJ55/AI55-1</f>
        <v>-2.20218579234973</v>
      </c>
      <c r="AL55" s="103"/>
      <c r="AM55" s="103" t="n">
        <f aca="false">(AM5-AF5)/ABS(AF5)</f>
        <v>0.0447361371551031</v>
      </c>
      <c r="AN55" s="103" t="n">
        <f aca="false">(AN5-AG5)/ABS(AG5)</f>
        <v>0.0380622837370242</v>
      </c>
      <c r="AO55" s="103" t="n">
        <f aca="false">(AO5-AH5)/ABS(AH5)</f>
        <v>0.0404624277456647</v>
      </c>
      <c r="AP55" s="103" t="n">
        <f aca="false">(AP5-AI5)/ABS(AI5)</f>
        <v>0.0401002506265664</v>
      </c>
      <c r="AQ55" s="48"/>
    </row>
    <row r="56" s="106" customFormat="true" ht="25.5" hidden="false" customHeight="false" outlineLevel="0" collapsed="false">
      <c r="A56" s="20" t="s">
        <v>41</v>
      </c>
      <c r="B56" s="102" t="s">
        <v>41</v>
      </c>
      <c r="C56" s="102" t="s">
        <v>41</v>
      </c>
      <c r="D56" s="102" t="s">
        <v>41</v>
      </c>
      <c r="E56" s="103" t="e">
        <f aca="false">(E6-D6)/ABS(D6)</f>
        <v>#DIV/0!</v>
      </c>
      <c r="F56" s="103" t="n">
        <f aca="false">(F6-E6)/ABS(E6)</f>
        <v>0.065208586472256</v>
      </c>
      <c r="G56" s="103" t="n">
        <f aca="false">(G6-F6)/ABS(F6)</f>
        <v>-0.118060836501901</v>
      </c>
      <c r="H56" s="103" t="n">
        <f aca="false">(H6-G6)/ABS(G6)</f>
        <v>0.0838542789394266</v>
      </c>
      <c r="I56" s="103" t="n">
        <f aca="false">(I6-H6)/ABS(H6)</f>
        <v>0.0922832140015911</v>
      </c>
      <c r="J56" s="103" t="n">
        <f aca="false">(J6-I6)/ABS(I6)</f>
        <v>0.0828477785870357</v>
      </c>
      <c r="K56" s="103" t="n">
        <f aca="false">(K6-J6)/ABS(J6)</f>
        <v>-0.00369934420716328</v>
      </c>
      <c r="L56" s="103" t="n">
        <f aca="false">(L6-J6)/ABS(J6)</f>
        <v>0.00100891205649908</v>
      </c>
      <c r="M56" s="23" t="n">
        <f aca="false">L56/K56-1</f>
        <v>-1.27272727272727</v>
      </c>
      <c r="N56" s="103" t="n">
        <f aca="false">(N6-K6)/ABS(K6)</f>
        <v>0.0151898734177215</v>
      </c>
      <c r="O56" s="103" t="n">
        <f aca="false">(O6-N6)/ABS(N6)</f>
        <v>0.0307564422277639</v>
      </c>
      <c r="P56" s="104"/>
      <c r="Q56" s="104"/>
      <c r="R56" s="104"/>
      <c r="S56" s="104"/>
      <c r="T56" s="104"/>
      <c r="U56" s="104"/>
      <c r="V56" s="103" t="n">
        <f aca="false">(V6-Q6)/ABS(Q6)</f>
        <v>0.271111111111111</v>
      </c>
      <c r="W56" s="103" t="n">
        <f aca="false">(W6-R6)/ABS(R6)</f>
        <v>0.0818713450292398</v>
      </c>
      <c r="X56" s="103" t="n">
        <f aca="false">(X6-S6)/ABS(S6)</f>
        <v>0.110395584176633</v>
      </c>
      <c r="Y56" s="103" t="n">
        <f aca="false">(Y6-T6)/ABS(T6)</f>
        <v>-0.050414364640884</v>
      </c>
      <c r="Z56" s="103"/>
      <c r="AA56" s="103" t="n">
        <f aca="false">(AA6-V6)/ABS(V6)</f>
        <v>0.0447552447552448</v>
      </c>
      <c r="AB56" s="103" t="n">
        <f aca="false">(AB6-W6)/ABS(W6)</f>
        <v>0.138513513513514</v>
      </c>
      <c r="AC56" s="103" t="n">
        <f aca="false">(AC6-X6)/ABS(X6)</f>
        <v>0.175642087821044</v>
      </c>
      <c r="AD56" s="103" t="n">
        <f aca="false">(AD6-Y6)/ABS(Y6)</f>
        <v>-0.0189090909090909</v>
      </c>
      <c r="AE56" s="103"/>
      <c r="AF56" s="103" t="n">
        <f aca="false">(AF6-AA6)/ABS(AA6)</f>
        <v>-0.0100401606425703</v>
      </c>
      <c r="AG56" s="103" t="n">
        <f aca="false">(AG6-AB6)/ABS(AB6)</f>
        <v>-0.0100890207715134</v>
      </c>
      <c r="AH56" s="103" t="n">
        <f aca="false">(AH6-AC6)/ABS(AC6)</f>
        <v>-0.00775193798449612</v>
      </c>
      <c r="AI56" s="105" t="n">
        <f aca="false">(AI6-AD6)/ABS(AD6)</f>
        <v>0.0155670867309118</v>
      </c>
      <c r="AJ56" s="103" t="n">
        <f aca="false">(AJ6-AD6)/ABS(AD6)</f>
        <v>0.0363232023721275</v>
      </c>
      <c r="AK56" s="23" t="n">
        <f aca="false">AJ56/AI56-1</f>
        <v>1.33333333333333</v>
      </c>
      <c r="AL56" s="103"/>
      <c r="AM56" s="103" t="n">
        <f aca="false">(AM6-AF6)/ABS(AF6)</f>
        <v>0.0141987829614604</v>
      </c>
      <c r="AN56" s="103" t="n">
        <f aca="false">(AN6-AG6)/ABS(AG6)</f>
        <v>0.0191846522781775</v>
      </c>
      <c r="AO56" s="103" t="n">
        <f aca="false">(AO6-AH6)/ABS(AH6)</f>
        <v>0.00852272727272727</v>
      </c>
      <c r="AP56" s="103" t="n">
        <f aca="false">(AP6-AI6)/ABS(AI6)</f>
        <v>0.0182481751824818</v>
      </c>
      <c r="AQ56" s="48"/>
    </row>
    <row r="57" s="2" customFormat="true" ht="25.5" hidden="false" customHeight="false" outlineLevel="0" collapsed="false">
      <c r="A57" s="20" t="s">
        <v>42</v>
      </c>
      <c r="B57" s="102" t="s">
        <v>42</v>
      </c>
      <c r="C57" s="102" t="s">
        <v>42</v>
      </c>
      <c r="D57" s="102" t="s">
        <v>42</v>
      </c>
      <c r="E57" s="103" t="e">
        <f aca="false">(E7-D7)/ABS(D7)</f>
        <v>#DIV/0!</v>
      </c>
      <c r="F57" s="103" t="n">
        <f aca="false">(F7-E7)/ABS(E7)</f>
        <v>0.00336134453781513</v>
      </c>
      <c r="G57" s="103" t="n">
        <f aca="false">(G7-F7)/ABS(F7)</f>
        <v>-0.135678391959799</v>
      </c>
      <c r="H57" s="103" t="n">
        <f aca="false">(H7-G7)/ABS(G7)</f>
        <v>-0.0174418604651163</v>
      </c>
      <c r="I57" s="103" t="n">
        <f aca="false">(I7-H7)/ABS(H7)</f>
        <v>0.248520710059172</v>
      </c>
      <c r="J57" s="103" t="n">
        <f aca="false">(J7-I7)/ABS(I7)</f>
        <v>0.20695102685624</v>
      </c>
      <c r="K57" s="103" t="n">
        <f aca="false">(K7-J7)/ABS(J7)</f>
        <v>0.103403141361257</v>
      </c>
      <c r="L57" s="103" t="n">
        <f aca="false">(L7-J7)/ABS(J7)</f>
        <v>0.18586387434555</v>
      </c>
      <c r="M57" s="23" t="n">
        <f aca="false">L57/K57-1</f>
        <v>0.79746835443038</v>
      </c>
      <c r="N57" s="103" t="n">
        <f aca="false">(N7-K7)/ABS(K7)</f>
        <v>0.115065243179122</v>
      </c>
      <c r="O57" s="103" t="n">
        <f aca="false">(O7-N7)/ABS(N7)</f>
        <v>0.0957446808510638</v>
      </c>
      <c r="P57" s="104"/>
      <c r="Q57" s="104"/>
      <c r="R57" s="104"/>
      <c r="S57" s="104"/>
      <c r="T57" s="104"/>
      <c r="U57" s="104"/>
      <c r="V57" s="103" t="n">
        <f aca="false">(V7-Q7)/ABS(Q7)</f>
        <v>0.293706293706294</v>
      </c>
      <c r="W57" s="103" t="n">
        <f aca="false">(W7-R7)/ABS(R7)</f>
        <v>0.150793650793651</v>
      </c>
      <c r="X57" s="103" t="n">
        <f aca="false">(X7-S7)/ABS(S7)</f>
        <v>0.505263157894737</v>
      </c>
      <c r="Y57" s="103" t="n">
        <f aca="false">(Y7-T7)/ABS(T7)</f>
        <v>0.118881118881119</v>
      </c>
      <c r="Z57" s="103"/>
      <c r="AA57" s="103" t="n">
        <f aca="false">(AA7-V7)/ABS(V7)</f>
        <v>0.140540540540541</v>
      </c>
      <c r="AB57" s="103" t="n">
        <f aca="false">(AB7-W7)/ABS(W7)</f>
        <v>0.255172413793103</v>
      </c>
      <c r="AC57" s="103" t="n">
        <f aca="false">(AC7-X7)/ABS(X7)</f>
        <v>0.202797202797203</v>
      </c>
      <c r="AD57" s="103" t="n">
        <f aca="false">(AD7-Y7)/ABS(Y7)</f>
        <v>0.24375</v>
      </c>
      <c r="AE57" s="103"/>
      <c r="AF57" s="103" t="n">
        <f aca="false">(AF7-AA7)/ABS(AA7)</f>
        <v>0</v>
      </c>
      <c r="AG57" s="103" t="n">
        <f aca="false">(AG7-AB7)/ABS(AB7)</f>
        <v>0.0989010989010989</v>
      </c>
      <c r="AH57" s="103" t="n">
        <f aca="false">(AH7-AC7)/ABS(AC7)</f>
        <v>0.174418604651163</v>
      </c>
      <c r="AI57" s="105" t="n">
        <f aca="false">(AI7-AD7)/ABS(AD7)</f>
        <v>0.155778894472362</v>
      </c>
      <c r="AJ57" s="103" t="n">
        <f aca="false">(AJ7-AD7)/ABS(AD7)</f>
        <v>0.472361809045226</v>
      </c>
      <c r="AK57" s="23" t="n">
        <f aca="false">AJ57/AI57-1</f>
        <v>2.03225806451613</v>
      </c>
      <c r="AL57" s="103"/>
      <c r="AM57" s="103" t="n">
        <f aca="false">(AM7-AF7)/ABS(AF7)</f>
        <v>0.042654028436019</v>
      </c>
      <c r="AN57" s="103" t="n">
        <f aca="false">(AN7-AG7)/ABS(AG7)</f>
        <v>0.1</v>
      </c>
      <c r="AO57" s="103" t="n">
        <f aca="false">(AO7-AH7)/ABS(AH7)</f>
        <v>0.188118811881188</v>
      </c>
      <c r="AP57" s="103" t="n">
        <f aca="false">(AP7-AI7)/ABS(AI7)</f>
        <v>0.130434782608696</v>
      </c>
      <c r="AQ57" s="48"/>
    </row>
    <row r="58" s="2" customFormat="true" ht="25.5" hidden="false" customHeight="false" outlineLevel="0" collapsed="false">
      <c r="A58" s="9" t="s">
        <v>43</v>
      </c>
      <c r="B58" s="8" t="s">
        <v>43</v>
      </c>
      <c r="C58" s="8" t="s">
        <v>43</v>
      </c>
      <c r="D58" s="8" t="s">
        <v>43</v>
      </c>
      <c r="E58" s="103" t="e">
        <f aca="false">(E8-D8)/ABS(D8)</f>
        <v>#DIV/0!</v>
      </c>
      <c r="F58" s="103" t="n">
        <f aca="false">(F8-E8)/ABS(E8)</f>
        <v>0.0704813194210704</v>
      </c>
      <c r="G58" s="103" t="n">
        <f aca="false">(G8-F8)/ABS(F8)</f>
        <v>-0.0891711734373035</v>
      </c>
      <c r="H58" s="103" t="n">
        <f aca="false">(H8-G8)/ABS(G8)</f>
        <v>0.186067384700359</v>
      </c>
      <c r="I58" s="103" t="n">
        <f aca="false">(I8-H8)/ABS(H8)</f>
        <v>0.0683392514116072</v>
      </c>
      <c r="J58" s="103" t="n">
        <f aca="false">(J8-I8)/ABS(I8)</f>
        <v>0.177355200784613</v>
      </c>
      <c r="K58" s="103" t="n">
        <f aca="false">(K8-J8)/ABS(J8)</f>
        <v>0.0046279155868197</v>
      </c>
      <c r="L58" s="103" t="n">
        <f aca="false">(L8-J8)/ABS(J8)</f>
        <v>-0.00981118104405776</v>
      </c>
      <c r="M58" s="23" t="n">
        <f aca="false">L58/K58-1</f>
        <v>-3.12</v>
      </c>
      <c r="N58" s="103" t="n">
        <f aca="false">(N8-K8)/ABS(K8)</f>
        <v>0.0367145752717892</v>
      </c>
      <c r="O58" s="103" t="n">
        <f aca="false">(O8-N8)/ABS(N8)</f>
        <v>0.0633192623861364</v>
      </c>
      <c r="P58" s="104"/>
      <c r="Q58" s="104"/>
      <c r="R58" s="104"/>
      <c r="S58" s="104"/>
      <c r="T58" s="104"/>
      <c r="U58" s="104"/>
      <c r="V58" s="103" t="n">
        <f aca="false">(V8-Q8)/ABS(Q8)</f>
        <v>0.154792899408284</v>
      </c>
      <c r="W58" s="103" t="n">
        <f aca="false">(W8-R8)/ABS(R8)</f>
        <v>0.117573639540689</v>
      </c>
      <c r="X58" s="103" t="n">
        <f aca="false">(X8-S8)/ABS(S8)</f>
        <v>0.0892255892255892</v>
      </c>
      <c r="Y58" s="103" t="n">
        <f aca="false">(Y8-T8)/ABS(T8)</f>
        <v>-0.049962852897474</v>
      </c>
      <c r="Z58" s="103"/>
      <c r="AA58" s="103" t="n">
        <f aca="false">(AA8-V8)/ABS(V8)</f>
        <v>0.129329780692765</v>
      </c>
      <c r="AB58" s="103" t="n">
        <f aca="false">(AB8-W8)/ABS(W8)</f>
        <v>0.302211302211302</v>
      </c>
      <c r="AC58" s="103" t="n">
        <f aca="false">(AC8-X8)/ABS(X8)</f>
        <v>0.2655847501288</v>
      </c>
      <c r="AD58" s="103" t="n">
        <f aca="false">(AD8-Y8)/ABS(Y8)</f>
        <v>0.0469208211143695</v>
      </c>
      <c r="AE58" s="103"/>
      <c r="AF58" s="103" t="n">
        <f aca="false">(AF8-AA8)/ABS(AA8)</f>
        <v>-0.0157894736842105</v>
      </c>
      <c r="AG58" s="103" t="n">
        <f aca="false">(AG8-AB8)/ABS(AB8)</f>
        <v>-0.0351629502572899</v>
      </c>
      <c r="AH58" s="103" t="n">
        <f aca="false">(AH8-AC8)/ABS(AC8)</f>
        <v>0.0319560350091594</v>
      </c>
      <c r="AI58" s="105" t="n">
        <f aca="false">(AI8-AD8)/ABS(AD8)</f>
        <v>0.0438842203548086</v>
      </c>
      <c r="AJ58" s="103" t="n">
        <f aca="false">(AJ8-AD8)/ABS(AD8)</f>
        <v>-0.0143790849673203</v>
      </c>
      <c r="AK58" s="23" t="n">
        <f aca="false">AJ58/AI58-1</f>
        <v>-1.32765957446809</v>
      </c>
      <c r="AL58" s="103"/>
      <c r="AM58" s="103" t="n">
        <f aca="false">(AM8-AF8)/ABS(AF8)</f>
        <v>0.0363267564078923</v>
      </c>
      <c r="AN58" s="103" t="n">
        <f aca="false">(AN8-AG8)/ABS(AG8)</f>
        <v>0.0346666666666667</v>
      </c>
      <c r="AO58" s="103" t="n">
        <f aca="false">(AO8-AH8)/ABS(AH8)</f>
        <v>0.0374753451676529</v>
      </c>
      <c r="AP58" s="103" t="n">
        <f aca="false">(AP8-AI8)/ABS(AI8)</f>
        <v>0.0384615384615385</v>
      </c>
      <c r="AQ58" s="54"/>
    </row>
    <row r="59" s="2" customFormat="true" ht="25.5" hidden="false" customHeight="false" outlineLevel="0" collapsed="false">
      <c r="A59" s="18" t="s">
        <v>44</v>
      </c>
      <c r="B59" s="99" t="s">
        <v>44</v>
      </c>
      <c r="C59" s="99" t="s">
        <v>44</v>
      </c>
      <c r="D59" s="99" t="s">
        <v>44</v>
      </c>
      <c r="E59" s="103"/>
      <c r="F59" s="103"/>
      <c r="G59" s="103"/>
      <c r="H59" s="103"/>
      <c r="I59" s="103"/>
      <c r="J59" s="103"/>
      <c r="K59" s="103"/>
      <c r="L59" s="103"/>
      <c r="M59" s="23"/>
      <c r="N59" s="103"/>
      <c r="O59" s="103"/>
      <c r="P59" s="104"/>
      <c r="Q59" s="104"/>
      <c r="R59" s="104"/>
      <c r="S59" s="104"/>
      <c r="T59" s="104"/>
      <c r="U59" s="104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5"/>
      <c r="AJ59" s="103"/>
      <c r="AK59" s="23"/>
      <c r="AL59" s="103"/>
      <c r="AM59" s="103"/>
      <c r="AN59" s="103"/>
      <c r="AO59" s="103"/>
      <c r="AP59" s="103"/>
      <c r="AQ59" s="47"/>
    </row>
    <row r="60" s="2" customFormat="true" ht="25.5" hidden="false" customHeight="false" outlineLevel="0" collapsed="false">
      <c r="A60" s="20" t="s">
        <v>40</v>
      </c>
      <c r="B60" s="102" t="s">
        <v>40</v>
      </c>
      <c r="C60" s="102" t="s">
        <v>40</v>
      </c>
      <c r="D60" s="102" t="s">
        <v>40</v>
      </c>
      <c r="E60" s="103" t="e">
        <f aca="false">(E10-D10)/ABS(D10)</f>
        <v>#DIV/0!</v>
      </c>
      <c r="F60" s="103" t="n">
        <f aca="false">(F10-E10)/ABS(E10)</f>
        <v>0.0711489361702128</v>
      </c>
      <c r="G60" s="103" t="n">
        <f aca="false">(G10-F10)/ABS(F10)</f>
        <v>-0.0637215954234864</v>
      </c>
      <c r="H60" s="103" t="n">
        <f aca="false">(H10-G10)/ABS(G10)</f>
        <v>0.18295994568907</v>
      </c>
      <c r="I60" s="103" t="n">
        <f aca="false">(I10-H10)/ABS(H10)</f>
        <v>0.0599713055954089</v>
      </c>
      <c r="J60" s="103" t="n">
        <f aca="false">(J10-I10)/ABS(I10)</f>
        <v>0.118029236599892</v>
      </c>
      <c r="K60" s="103" t="n">
        <f aca="false">(K10-J10)/ABS(J10)</f>
        <v>0.0418886198547216</v>
      </c>
      <c r="L60" s="103" t="n">
        <f aca="false">(L10-J10)/ABS(J10)</f>
        <v>0.0257869249394673</v>
      </c>
      <c r="M60" s="23" t="n">
        <f aca="false">L60/K60-1</f>
        <v>-0.384393063583815</v>
      </c>
      <c r="N60" s="103" t="n">
        <f aca="false">(N10-K10)/ABS(K10)</f>
        <v>0.0574018126888218</v>
      </c>
      <c r="O60" s="103" t="n">
        <f aca="false">(O10-N10)/ABS(N10)</f>
        <v>0.043956043956044</v>
      </c>
      <c r="P60" s="104"/>
      <c r="Q60" s="104"/>
      <c r="R60" s="104"/>
      <c r="S60" s="104"/>
      <c r="T60" s="104"/>
      <c r="U60" s="104"/>
      <c r="V60" s="103" t="n">
        <f aca="false">(V10-Q10)/ABS(Q10)</f>
        <v>0.100443951165372</v>
      </c>
      <c r="W60" s="103" t="n">
        <f aca="false">(W10-R10)/ABS(R10)</f>
        <v>0.0433275563258232</v>
      </c>
      <c r="X60" s="103" t="n">
        <f aca="false">(X10-S10)/ABS(S10)</f>
        <v>-0.0230386052303861</v>
      </c>
      <c r="Y60" s="103" t="n">
        <f aca="false">(Y10-T10)/ABS(T10)</f>
        <v>0.108683779355543</v>
      </c>
      <c r="Z60" s="103"/>
      <c r="AA60" s="103" t="n">
        <f aca="false">(AA10-V10)/ABS(V10)</f>
        <v>0.0146243066061523</v>
      </c>
      <c r="AB60" s="103" t="n">
        <f aca="false">(AB10-W10)/ABS(W10)</f>
        <v>0.142303433001107</v>
      </c>
      <c r="AC60" s="103" t="n">
        <f aca="false">(AC10-X10)/ABS(X10)</f>
        <v>0.281708094327597</v>
      </c>
      <c r="AD60" s="103" t="n">
        <f aca="false">(AD10-Y10)/ABS(Y10)</f>
        <v>0.070935960591133</v>
      </c>
      <c r="AE60" s="103"/>
      <c r="AF60" s="103" t="n">
        <f aca="false">(AF10-AA10)/ABS(AA10)</f>
        <v>0.123260437375746</v>
      </c>
      <c r="AG60" s="103" t="n">
        <f aca="false">(AG10-AB10)/ABS(AB10)</f>
        <v>0.0596219098400388</v>
      </c>
      <c r="AH60" s="103" t="n">
        <f aca="false">(AH10-AC10)/ABS(AC10)</f>
        <v>-0.025360517155644</v>
      </c>
      <c r="AI60" s="105" t="n">
        <f aca="false">(AI10-AD10)/ABS(AD10)</f>
        <v>0.0119595216191352</v>
      </c>
      <c r="AJ60" s="103" t="n">
        <f aca="false">(AJ10-AD10)/ABS(AD10)</f>
        <v>-0.0492180312787489</v>
      </c>
      <c r="AK60" s="23" t="n">
        <f aca="false">AJ60/AI60-1</f>
        <v>-5.11538461538462</v>
      </c>
      <c r="AL60" s="103"/>
      <c r="AM60" s="103" t="n">
        <f aca="false">(AM10-AF10)/ABS(AF10)</f>
        <v>0.106194690265487</v>
      </c>
      <c r="AN60" s="103" t="n">
        <f aca="false">(AN10-AG10)/ABS(AG10)</f>
        <v>0.0521500457456542</v>
      </c>
      <c r="AO60" s="103" t="n">
        <f aca="false">(AO10-AH10)/ABS(AH10)</f>
        <v>0.0459183673469388</v>
      </c>
      <c r="AP60" s="103" t="n">
        <f aca="false">(AP10-AI10)/ABS(AI10)</f>
        <v>0.0227272727272727</v>
      </c>
      <c r="AQ60" s="48"/>
    </row>
    <row r="61" s="2" customFormat="true" ht="25.5" hidden="false" customHeight="false" outlineLevel="0" collapsed="false">
      <c r="A61" s="20" t="s">
        <v>41</v>
      </c>
      <c r="B61" s="102" t="s">
        <v>41</v>
      </c>
      <c r="C61" s="102" t="s">
        <v>41</v>
      </c>
      <c r="D61" s="102" t="s">
        <v>41</v>
      </c>
      <c r="E61" s="103" t="e">
        <f aca="false">(E11-D11)/ABS(D11)</f>
        <v>#DIV/0!</v>
      </c>
      <c r="F61" s="103" t="n">
        <f aca="false">(F11-E11)/ABS(E11)</f>
        <v>0.05</v>
      </c>
      <c r="G61" s="103" t="n">
        <f aca="false">(G11-F11)/ABS(F11)</f>
        <v>-0.0110139293812763</v>
      </c>
      <c r="H61" s="103" t="n">
        <f aca="false">(H11-G11)/ABS(G11)</f>
        <v>0.308876514903374</v>
      </c>
      <c r="I61" s="103" t="n">
        <f aca="false">(I11-H11)/ABS(H11)</f>
        <v>0.132882882882883</v>
      </c>
      <c r="J61" s="103" t="n">
        <f aca="false">(J11-I11)/ABS(I11)</f>
        <v>0.00861497680583168</v>
      </c>
      <c r="K61" s="103" t="n">
        <f aca="false">(K11-J11)/ABS(J11)</f>
        <v>-0.0657030223390276</v>
      </c>
      <c r="L61" s="103" t="n">
        <f aca="false">(L11-J11)/ABS(J11)</f>
        <v>-0.0407358738501971</v>
      </c>
      <c r="M61" s="23" t="n">
        <f aca="false">L61/K61-1</f>
        <v>-0.38</v>
      </c>
      <c r="N61" s="103" t="n">
        <f aca="false">(N11-K11)/ABS(K11)</f>
        <v>0.00914205344585091</v>
      </c>
      <c r="O61" s="103" t="n">
        <f aca="false">(O11-N11)/ABS(N11)</f>
        <v>0.0452961672473868</v>
      </c>
      <c r="P61" s="104"/>
      <c r="Q61" s="104"/>
      <c r="R61" s="104"/>
      <c r="S61" s="104"/>
      <c r="T61" s="104"/>
      <c r="U61" s="104"/>
      <c r="V61" s="103" t="n">
        <f aca="false">(V11-Q11)/ABS(Q11)</f>
        <v>0.193614830072091</v>
      </c>
      <c r="W61" s="103" t="n">
        <f aca="false">(W11-R11)/ABS(R11)</f>
        <v>0.088768115942029</v>
      </c>
      <c r="X61" s="103" t="n">
        <f aca="false">(X11-S11)/ABS(S11)</f>
        <v>0.206013363028953</v>
      </c>
      <c r="Y61" s="103" t="n">
        <f aca="false">(Y11-T11)/ABS(T11)</f>
        <v>0.0586510263929619</v>
      </c>
      <c r="Z61" s="103"/>
      <c r="AA61" s="103" t="n">
        <f aca="false">(AA11-V11)/ABS(V11)</f>
        <v>-0.00517687661777394</v>
      </c>
      <c r="AB61" s="103" t="n">
        <f aca="false">(AB11-W11)/ABS(W11)</f>
        <v>0.0657237936772047</v>
      </c>
      <c r="AC61" s="103" t="n">
        <f aca="false">(AC11-X11)/ABS(X11)</f>
        <v>0.0101569713758079</v>
      </c>
      <c r="AD61" s="103" t="n">
        <f aca="false">(AD11-Y11)/ABS(Y11)</f>
        <v>-0.0415512465373961</v>
      </c>
      <c r="AE61" s="103"/>
      <c r="AF61" s="103" t="n">
        <f aca="false">(AF11-AA11)/ABS(AA11)</f>
        <v>-0.0138768430182134</v>
      </c>
      <c r="AG61" s="103" t="n">
        <f aca="false">(AG11-AB11)/ABS(AB11)</f>
        <v>-0.063231850117096</v>
      </c>
      <c r="AH61" s="103" t="n">
        <f aca="false">(AH11-AC11)/ABS(AC11)</f>
        <v>-0.0914076782449726</v>
      </c>
      <c r="AI61" s="105" t="n">
        <f aca="false">(AI11-AD11)/ABS(AD11)</f>
        <v>-0.0992292870905588</v>
      </c>
      <c r="AJ61" s="103" t="n">
        <f aca="false">(AJ11-AD11)/ABS(AD11)</f>
        <v>0.010597302504817</v>
      </c>
      <c r="AK61" s="23" t="n">
        <f aca="false">AJ61/AI61-1</f>
        <v>-1.10679611650485</v>
      </c>
      <c r="AL61" s="103"/>
      <c r="AM61" s="103" t="n">
        <f aca="false">(AM11-AF11)/ABS(AF11)</f>
        <v>0.00263852242744063</v>
      </c>
      <c r="AN61" s="103" t="n">
        <f aca="false">(AN11-AG11)/ABS(AG11)</f>
        <v>0.0166666666666667</v>
      </c>
      <c r="AO61" s="103" t="n">
        <f aca="false">(AO11-AH11)/ABS(AH11)</f>
        <v>0.00603621730382294</v>
      </c>
      <c r="AP61" s="103" t="n">
        <f aca="false">(AP11-AI11)/ABS(AI11)</f>
        <v>0.0106951871657754</v>
      </c>
      <c r="AQ61" s="48"/>
    </row>
    <row r="62" s="2" customFormat="true" ht="25.5" hidden="false" customHeight="false" outlineLevel="0" collapsed="false">
      <c r="A62" s="20" t="s">
        <v>42</v>
      </c>
      <c r="B62" s="102" t="s">
        <v>42</v>
      </c>
      <c r="C62" s="102" t="s">
        <v>42</v>
      </c>
      <c r="D62" s="102" t="s">
        <v>42</v>
      </c>
      <c r="E62" s="103" t="e">
        <f aca="false">(E12-D12)/ABS(D12)</f>
        <v>#DIV/0!</v>
      </c>
      <c r="F62" s="103" t="n">
        <f aca="false">(F12-E12)/ABS(E12)</f>
        <v>0.0117096018735363</v>
      </c>
      <c r="G62" s="103" t="n">
        <f aca="false">(G12-F12)/ABS(F12)</f>
        <v>-0.0694444444444445</v>
      </c>
      <c r="H62" s="103" t="n">
        <f aca="false">(H12-G12)/ABS(G12)</f>
        <v>0.218905472636816</v>
      </c>
      <c r="I62" s="103" t="n">
        <f aca="false">(I12-H12)/ABS(H12)</f>
        <v>0.151020408163265</v>
      </c>
      <c r="J62" s="103" t="n">
        <f aca="false">(J12-I12)/ABS(I12)</f>
        <v>0.049645390070922</v>
      </c>
      <c r="K62" s="103" t="n">
        <f aca="false">(K12-J12)/ABS(J12)</f>
        <v>0.27195945945946</v>
      </c>
      <c r="L62" s="103" t="n">
        <f aca="false">(L12-J12)/ABS(J12)</f>
        <v>0.273648648648649</v>
      </c>
      <c r="M62" s="23" t="n">
        <f aca="false">L62/K62-1</f>
        <v>0.0062111801242235</v>
      </c>
      <c r="N62" s="103" t="n">
        <f aca="false">(N12-K12)/ABS(K12)</f>
        <v>0.253652058432935</v>
      </c>
      <c r="O62" s="103" t="n">
        <f aca="false">(O12-N12)/ABS(N12)</f>
        <v>0.11228813559322</v>
      </c>
      <c r="P62" s="104"/>
      <c r="Q62" s="104"/>
      <c r="R62" s="104"/>
      <c r="S62" s="104"/>
      <c r="T62" s="104"/>
      <c r="U62" s="104"/>
      <c r="V62" s="103" t="n">
        <f aca="false">(V12-Q12)/ABS(Q12)</f>
        <v>0.204379562043796</v>
      </c>
      <c r="W62" s="103" t="n">
        <f aca="false">(W12-R12)/ABS(R12)</f>
        <v>0.0894308943089431</v>
      </c>
      <c r="X62" s="103" t="n">
        <f aca="false">(X12-S12)/ABS(S12)</f>
        <v>0.20952380952381</v>
      </c>
      <c r="Y62" s="103" t="n">
        <f aca="false">(Y12-T12)/ABS(T12)</f>
        <v>0.104</v>
      </c>
      <c r="Z62" s="103"/>
      <c r="AA62" s="103" t="n">
        <f aca="false">(AA12-V12)/ABS(V12)</f>
        <v>0.0181818181818182</v>
      </c>
      <c r="AB62" s="103" t="n">
        <f aca="false">(AB12-W12)/ABS(W12)</f>
        <v>0.082089552238806</v>
      </c>
      <c r="AC62" s="103" t="n">
        <f aca="false">(AC12-X12)/ABS(X12)</f>
        <v>0.110236220472441</v>
      </c>
      <c r="AD62" s="103" t="n">
        <f aca="false">(AD12-Y12)/ABS(Y12)</f>
        <v>0</v>
      </c>
      <c r="AE62" s="103"/>
      <c r="AF62" s="103" t="n">
        <f aca="false">(AF12-AA12)/ABS(AA12)</f>
        <v>0.267857142857143</v>
      </c>
      <c r="AG62" s="103" t="n">
        <f aca="false">(AG12-AB12)/ABS(AB12)</f>
        <v>0.248275862068966</v>
      </c>
      <c r="AH62" s="103" t="n">
        <f aca="false">(AH12-AC12)/ABS(AC12)</f>
        <v>0.304964539007092</v>
      </c>
      <c r="AI62" s="105" t="n">
        <f aca="false">(AI12-AD12)/ABS(AD12)</f>
        <v>0.268115942028986</v>
      </c>
      <c r="AJ62" s="103" t="n">
        <f aca="false">(AJ12-AD12)/ABS(AD12)</f>
        <v>0.27536231884058</v>
      </c>
      <c r="AK62" s="23" t="n">
        <f aca="false">AJ62/AI62-1</f>
        <v>0.027027027027027</v>
      </c>
      <c r="AL62" s="103"/>
      <c r="AM62" s="103" t="n">
        <f aca="false">(AM12-AF12)/ABS(AF12)</f>
        <v>0.244131455399061</v>
      </c>
      <c r="AN62" s="103" t="n">
        <f aca="false">(AN12-AG12)/ABS(AG12)</f>
        <v>0.237569060773481</v>
      </c>
      <c r="AO62" s="103" t="n">
        <f aca="false">(AO12-AH12)/ABS(AH12)</f>
        <v>0.277173913043478</v>
      </c>
      <c r="AP62" s="103" t="n">
        <f aca="false">(AP12-AI12)/ABS(AI12)</f>
        <v>0.257142857142857</v>
      </c>
      <c r="AQ62" s="48"/>
    </row>
    <row r="63" s="2" customFormat="true" ht="25.5" hidden="false" customHeight="false" outlineLevel="0" collapsed="false">
      <c r="A63" s="9" t="s">
        <v>43</v>
      </c>
      <c r="B63" s="8" t="s">
        <v>43</v>
      </c>
      <c r="C63" s="8" t="s">
        <v>43</v>
      </c>
      <c r="D63" s="8" t="s">
        <v>43</v>
      </c>
      <c r="E63" s="103" t="e">
        <f aca="false">(E13-D13)/ABS(D13)</f>
        <v>#DIV/0!</v>
      </c>
      <c r="F63" s="103" t="n">
        <f aca="false">(F13-E13)/ABS(E13)</f>
        <v>0.0616749621294092</v>
      </c>
      <c r="G63" s="103" t="n">
        <f aca="false">(G13-F13)/ABS(F13)</f>
        <v>-0.0473909498573176</v>
      </c>
      <c r="H63" s="103" t="n">
        <f aca="false">(H13-G13)/ABS(G13)</f>
        <v>0.225633893227774</v>
      </c>
      <c r="I63" s="103" t="n">
        <f aca="false">(I13-H13)/ABS(H13)</f>
        <v>0.0892981843575419</v>
      </c>
      <c r="J63" s="103" t="n">
        <f aca="false">(J13-I13)/ABS(I13)</f>
        <v>0.0752464139754788</v>
      </c>
      <c r="K63" s="103" t="n">
        <f aca="false">(K13-J13)/ABS(J13)</f>
        <v>0.0154270383067521</v>
      </c>
      <c r="L63" s="103" t="n">
        <f aca="false">(L13-J13)/ABS(J13)</f>
        <v>0.0140855567148606</v>
      </c>
      <c r="M63" s="23" t="n">
        <f aca="false">L63/K63-1</f>
        <v>-0.0869565217391305</v>
      </c>
      <c r="N63" s="103" t="n">
        <f aca="false">(N13-K13)/ABS(K13)</f>
        <v>0.0531376146788991</v>
      </c>
      <c r="O63" s="103" t="n">
        <f aca="false">(O13-N13)/ABS(N13)</f>
        <v>0.0488535786465956</v>
      </c>
      <c r="P63" s="104"/>
      <c r="Q63" s="104"/>
      <c r="R63" s="104"/>
      <c r="S63" s="104"/>
      <c r="T63" s="104"/>
      <c r="U63" s="104"/>
      <c r="V63" s="103" t="n">
        <f aca="false">(V13-Q13)/ABS(Q13)</f>
        <v>0.136426116838488</v>
      </c>
      <c r="W63" s="103" t="n">
        <f aca="false">(W13-R13)/ABS(R13)</f>
        <v>0.0622041920216362</v>
      </c>
      <c r="X63" s="103" t="n">
        <f aca="false">(X13-S13)/ABS(S13)</f>
        <v>0.0651590647757762</v>
      </c>
      <c r="Y63" s="103" t="n">
        <f aca="false">(Y13-T13)/ABS(T13)</f>
        <v>0.0913058073178919</v>
      </c>
      <c r="Z63" s="103"/>
      <c r="AA63" s="103" t="n">
        <f aca="false">(AA13-V13)/ABS(V13)</f>
        <v>0.00786211067432719</v>
      </c>
      <c r="AB63" s="103" t="n">
        <f aca="false">(AB13-W13)/ABS(W13)</f>
        <v>0.110439210693826</v>
      </c>
      <c r="AC63" s="103" t="n">
        <f aca="false">(AC13-X13)/ABS(X13)</f>
        <v>0.168046059733717</v>
      </c>
      <c r="AD63" s="103" t="n">
        <f aca="false">(AD13-Y13)/ABS(Y13)</f>
        <v>0.0304521685635189</v>
      </c>
      <c r="AE63" s="103"/>
      <c r="AF63" s="103" t="n">
        <f aca="false">(AF13-AA13)/ABS(AA13)</f>
        <v>0.0831083108310831</v>
      </c>
      <c r="AG63" s="103" t="n">
        <f aca="false">(AG13-AB13)/ABS(AB13)</f>
        <v>0.0223559759243336</v>
      </c>
      <c r="AH63" s="103" t="n">
        <f aca="false">(AH13-AC13)/ABS(AC13)</f>
        <v>-0.033271719038817</v>
      </c>
      <c r="AI63" s="105" t="n">
        <f aca="false">(AI13-AD13)/ABS(AD13)</f>
        <v>-0.0119402985074627</v>
      </c>
      <c r="AJ63" s="103" t="n">
        <f aca="false">(AJ13-AD13)/ABS(AD13)</f>
        <v>-0.0173134328358209</v>
      </c>
      <c r="AK63" s="23" t="n">
        <f aca="false">AJ63/AI63-1</f>
        <v>0.45</v>
      </c>
      <c r="AL63" s="103"/>
      <c r="AM63" s="103" t="n">
        <f aca="false">(AM13-AF13)/ABS(AF13)</f>
        <v>0.0817174515235457</v>
      </c>
      <c r="AN63" s="103" t="n">
        <f aca="false">(AN13-AG13)/ABS(AG13)</f>
        <v>0.0496215306980656</v>
      </c>
      <c r="AO63" s="103" t="n">
        <f aca="false">(AO13-AH13)/ABS(AH13)</f>
        <v>0.0468451242829828</v>
      </c>
      <c r="AP63" s="103" t="n">
        <f aca="false">(AP13-AI13)/ABS(AI13)</f>
        <v>0.0317220543806647</v>
      </c>
      <c r="AQ63" s="54"/>
    </row>
    <row r="64" s="2" customFormat="true" ht="25.5" hidden="false" customHeight="false" outlineLevel="0" collapsed="false">
      <c r="A64" s="18" t="s">
        <v>45</v>
      </c>
      <c r="B64" s="99" t="s">
        <v>45</v>
      </c>
      <c r="C64" s="99" t="s">
        <v>45</v>
      </c>
      <c r="D64" s="99" t="s">
        <v>45</v>
      </c>
      <c r="E64" s="103"/>
      <c r="F64" s="103"/>
      <c r="G64" s="103"/>
      <c r="H64" s="103"/>
      <c r="I64" s="103"/>
      <c r="J64" s="103"/>
      <c r="K64" s="103"/>
      <c r="L64" s="103"/>
      <c r="M64" s="23"/>
      <c r="N64" s="103"/>
      <c r="O64" s="103"/>
      <c r="P64" s="104"/>
      <c r="Q64" s="104"/>
      <c r="R64" s="104"/>
      <c r="S64" s="104"/>
      <c r="T64" s="104"/>
      <c r="U64" s="104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5"/>
      <c r="AJ64" s="103"/>
      <c r="AK64" s="23"/>
      <c r="AL64" s="103"/>
      <c r="AM64" s="103" t="e">
        <f aca="false">(AM14-AF14)/ABS(AF14)</f>
        <v>#DIV/0!</v>
      </c>
      <c r="AN64" s="103" t="e">
        <f aca="false">(AN14-AG14)/ABS(AG14)</f>
        <v>#DIV/0!</v>
      </c>
      <c r="AO64" s="103" t="e">
        <f aca="false">(AO14-AH14)/ABS(AH14)</f>
        <v>#DIV/0!</v>
      </c>
      <c r="AP64" s="103" t="e">
        <f aca="false">(AP14-AI14)/ABS(AI14)</f>
        <v>#DIV/0!</v>
      </c>
      <c r="AQ64" s="47"/>
    </row>
    <row r="65" s="2" customFormat="true" ht="25.5" hidden="false" customHeight="false" outlineLevel="0" collapsed="false">
      <c r="A65" s="20" t="s">
        <v>40</v>
      </c>
      <c r="B65" s="102" t="s">
        <v>40</v>
      </c>
      <c r="C65" s="102" t="s">
        <v>40</v>
      </c>
      <c r="D65" s="102" t="s">
        <v>40</v>
      </c>
      <c r="E65" s="103" t="e">
        <f aca="false">(E15-D15)/ABS(D15)</f>
        <v>#DIV/0!</v>
      </c>
      <c r="F65" s="103" t="n">
        <f aca="false">(F15-E15)/ABS(E15)</f>
        <v>0.219107551487414</v>
      </c>
      <c r="G65" s="103" t="n">
        <f aca="false">(G15-F15)/ABS(F15)</f>
        <v>0.0875175973721258</v>
      </c>
      <c r="H65" s="103" t="n">
        <f aca="false">(H15-G15)/ABS(G15)</f>
        <v>0.240129449838188</v>
      </c>
      <c r="I65" s="103" t="n">
        <f aca="false">(I15-H15)/ABS(H15)</f>
        <v>-0.057759220598469</v>
      </c>
      <c r="J65" s="103" t="n">
        <f aca="false">(J15-I15)/ABS(I15)</f>
        <v>0.00350812407680945</v>
      </c>
      <c r="K65" s="103" t="n">
        <f aca="false">(K15-J15)/ABS(J15)</f>
        <v>0.0294388224471021</v>
      </c>
      <c r="L65" s="103" t="n">
        <f aca="false">(L15-J15)/ABS(J15)</f>
        <v>0.0215271389144434</v>
      </c>
      <c r="M65" s="23" t="n">
        <f aca="false">L65/K65-1</f>
        <v>-0.26875</v>
      </c>
      <c r="N65" s="103" t="n">
        <f aca="false">(N15-K15)/ABS(K15)</f>
        <v>0.0366398570151921</v>
      </c>
      <c r="O65" s="103" t="n">
        <f aca="false">(O15-N15)/ABS(N15)</f>
        <v>0.0344827586206897</v>
      </c>
      <c r="P65" s="104"/>
      <c r="Q65" s="104"/>
      <c r="R65" s="104"/>
      <c r="S65" s="104"/>
      <c r="T65" s="104"/>
      <c r="U65" s="104"/>
      <c r="V65" s="103" t="n">
        <f aca="false">(V15-Q15)/ABS(Q15)</f>
        <v>0.158273381294964</v>
      </c>
      <c r="W65" s="103" t="n">
        <f aca="false">(W15-R15)/ABS(R15)</f>
        <v>-0.211869814932993</v>
      </c>
      <c r="X65" s="103" t="n">
        <f aca="false">(X15-S15)/ABS(S15)</f>
        <v>-0.0371747211895911</v>
      </c>
      <c r="Y65" s="103" t="n">
        <f aca="false">(Y15-T15)/ABS(T15)</f>
        <v>-0.104863221884498</v>
      </c>
      <c r="Z65" s="103"/>
      <c r="AA65" s="103" t="n">
        <f aca="false">(AA15-V15)/ABS(V15)</f>
        <v>-0.149068322981366</v>
      </c>
      <c r="AB65" s="103" t="n">
        <f aca="false">(AB15-W15)/ABS(W15)</f>
        <v>0.109311740890688</v>
      </c>
      <c r="AC65" s="103" t="n">
        <f aca="false">(AC15-X15)/ABS(X15)</f>
        <v>-0.0373230373230373</v>
      </c>
      <c r="AD65" s="103" t="n">
        <f aca="false">(AD15-Y15)/ABS(Y15)</f>
        <v>0.134125636672326</v>
      </c>
      <c r="AE65" s="103"/>
      <c r="AF65" s="103" t="n">
        <f aca="false">(AF15-AA15)/ABS(AA15)</f>
        <v>0.0437956204379562</v>
      </c>
      <c r="AG65" s="103" t="n">
        <f aca="false">(AG15-AB15)/ABS(AB15)</f>
        <v>-0.00656934306569343</v>
      </c>
      <c r="AH65" s="103" t="n">
        <f aca="false">(AH15-AC15)/ABS(AC15)</f>
        <v>0.0340909090909091</v>
      </c>
      <c r="AI65" s="105" t="n">
        <f aca="false">(AI15-AD15)/ABS(AD15)</f>
        <v>0.0479041916167665</v>
      </c>
      <c r="AJ65" s="103" t="n">
        <f aca="false">(AJ15-AD15)/ABS(AD15)</f>
        <v>0.0157185628742515</v>
      </c>
      <c r="AK65" s="23" t="n">
        <f aca="false">AJ65/AI65-1</f>
        <v>-0.671875</v>
      </c>
      <c r="AL65" s="103"/>
      <c r="AM65" s="103" t="n">
        <f aca="false">(AM15-AF15)/ABS(AF15)</f>
        <v>0.048951048951049</v>
      </c>
      <c r="AN65" s="103" t="n">
        <f aca="false">(AN15-AG15)/ABS(AG15)</f>
        <v>0.00661278471711977</v>
      </c>
      <c r="AO65" s="103" t="n">
        <f aca="false">(AO15-AH15)/ABS(AH15)</f>
        <v>0.0342598577892696</v>
      </c>
      <c r="AP65" s="103" t="n">
        <f aca="false">(AP15-AI15)/ABS(AI15)</f>
        <v>0.0571428571428571</v>
      </c>
      <c r="AQ65" s="48"/>
    </row>
    <row r="66" s="2" customFormat="true" ht="25.5" hidden="false" customHeight="false" outlineLevel="0" collapsed="false">
      <c r="A66" s="20" t="s">
        <v>41</v>
      </c>
      <c r="B66" s="102" t="s">
        <v>41</v>
      </c>
      <c r="C66" s="102" t="s">
        <v>41</v>
      </c>
      <c r="D66" s="102" t="s">
        <v>41</v>
      </c>
      <c r="E66" s="103" t="e">
        <f aca="false">(E16-D16)/ABS(D16)</f>
        <v>#DIV/0!</v>
      </c>
      <c r="F66" s="103" t="n">
        <f aca="false">(F16-E16)/ABS(E16)</f>
        <v>0.19893899204244</v>
      </c>
      <c r="G66" s="103" t="n">
        <f aca="false">(G16-F16)/ABS(F16)</f>
        <v>0.0486725663716814</v>
      </c>
      <c r="H66" s="103" t="n">
        <f aca="false">(H16-G16)/ABS(G16)</f>
        <v>0.237869198312236</v>
      </c>
      <c r="I66" s="103" t="n">
        <f aca="false">(I16-H16)/ABS(H16)</f>
        <v>-0.174265019173413</v>
      </c>
      <c r="J66" s="103" t="n">
        <f aca="false">(J16-I16)/ABS(I16)</f>
        <v>-0.140350877192982</v>
      </c>
      <c r="K66" s="103" t="n">
        <f aca="false">(K16-J16)/ABS(J16)</f>
        <v>0.109243697478992</v>
      </c>
      <c r="L66" s="103" t="n">
        <f aca="false">(L16-J16)/ABS(J16)</f>
        <v>0.0972388955582233</v>
      </c>
      <c r="M66" s="23" t="n">
        <f aca="false">L66/K66-1</f>
        <v>-0.10989010989011</v>
      </c>
      <c r="N66" s="103" t="n">
        <f aca="false">(N16-K16)/ABS(K16)</f>
        <v>0.130952380952381</v>
      </c>
      <c r="O66" s="103" t="n">
        <f aca="false">(O16-N16)/ABS(N16)</f>
        <v>0.100478468899522</v>
      </c>
      <c r="P66" s="104"/>
      <c r="Q66" s="104"/>
      <c r="R66" s="104"/>
      <c r="S66" s="104"/>
      <c r="T66" s="104"/>
      <c r="U66" s="104"/>
      <c r="V66" s="103" t="n">
        <f aca="false">(V16-Q16)/ABS(Q16)</f>
        <v>-0.00418410041841004</v>
      </c>
      <c r="W66" s="103" t="n">
        <f aca="false">(W16-R16)/ABS(R16)</f>
        <v>-0.171806167400881</v>
      </c>
      <c r="X66" s="103" t="n">
        <f aca="false">(X16-S16)/ABS(S16)</f>
        <v>-0.11038961038961</v>
      </c>
      <c r="Y66" s="103" t="n">
        <f aca="false">(Y16-T16)/ABS(T16)</f>
        <v>-0.388111888111888</v>
      </c>
      <c r="Z66" s="103"/>
      <c r="AA66" s="103" t="n">
        <f aca="false">(AA16-V16)/ABS(V16)</f>
        <v>-0.214285714285714</v>
      </c>
      <c r="AB66" s="103" t="n">
        <f aca="false">(AB16-W16)/ABS(W16)</f>
        <v>-0.303191489361702</v>
      </c>
      <c r="AC66" s="103" t="n">
        <f aca="false">(AC16-X16)/ABS(X16)</f>
        <v>-0.158759124087591</v>
      </c>
      <c r="AD66" s="103" t="n">
        <f aca="false">(AD16-Y16)/ABS(Y16)</f>
        <v>0.251428571428571</v>
      </c>
      <c r="AE66" s="103"/>
      <c r="AF66" s="103" t="n">
        <f aca="false">(AF16-AA16)/ABS(AA16)</f>
        <v>0.072192513368984</v>
      </c>
      <c r="AG66" s="103" t="n">
        <f aca="false">(AG16-AB16)/ABS(AB16)</f>
        <v>0.193384223918575</v>
      </c>
      <c r="AH66" s="103" t="n">
        <f aca="false">(AH16-AC16)/ABS(AC16)</f>
        <v>0.0802603036876356</v>
      </c>
      <c r="AI66" s="105" t="n">
        <f aca="false">(AI16-AD16)/ABS(AD16)</f>
        <v>0.0958904109589041</v>
      </c>
      <c r="AJ66" s="103" t="n">
        <f aca="false">(AJ16-AD16)/ABS(AD16)</f>
        <v>0.0502283105022831</v>
      </c>
      <c r="AK66" s="23" t="n">
        <f aca="false">AJ66/AI66-1</f>
        <v>-0.476190476190476</v>
      </c>
      <c r="AL66" s="103"/>
      <c r="AM66" s="103" t="n">
        <f aca="false">(AM16-AF16)/ABS(AF16)</f>
        <v>0.0723192019950125</v>
      </c>
      <c r="AN66" s="103" t="n">
        <f aca="false">(AN16-AG16)/ABS(AG16)</f>
        <v>0.194029850746269</v>
      </c>
      <c r="AO66" s="103" t="n">
        <f aca="false">(AO16-AH16)/ABS(AH16)</f>
        <v>0.104417670682731</v>
      </c>
      <c r="AP66" s="103" t="n">
        <f aca="false">(AP16-AI16)/ABS(AI16)</f>
        <v>0.145833333333333</v>
      </c>
      <c r="AQ66" s="48"/>
    </row>
    <row r="67" s="2" customFormat="true" ht="25.5" hidden="false" customHeight="false" outlineLevel="0" collapsed="false">
      <c r="A67" s="20" t="s">
        <v>42</v>
      </c>
      <c r="B67" s="102" t="s">
        <v>42</v>
      </c>
      <c r="C67" s="102" t="s">
        <v>42</v>
      </c>
      <c r="D67" s="102" t="s">
        <v>42</v>
      </c>
      <c r="E67" s="103" t="e">
        <f aca="false">(E17-D17)/ABS(D17)</f>
        <v>#DIV/0!</v>
      </c>
      <c r="F67" s="103" t="n">
        <f aca="false">(F17-E17)/ABS(E17)</f>
        <v>0.0615384615384615</v>
      </c>
      <c r="G67" s="103" t="n">
        <f aca="false">(G17-F17)/ABS(F17)</f>
        <v>0.072463768115942</v>
      </c>
      <c r="H67" s="103" t="n">
        <f aca="false">(H17-G17)/ABS(G17)</f>
        <v>0.317567567567568</v>
      </c>
      <c r="I67" s="103" t="n">
        <f aca="false">(I17-H17)/ABS(H17)</f>
        <v>-0.0102564102564103</v>
      </c>
      <c r="J67" s="103" t="n">
        <f aca="false">(J17-I17)/ABS(I17)</f>
        <v>-0.238341968911917</v>
      </c>
      <c r="K67" s="103" t="n">
        <f aca="false">(K17-J17)/ABS(J17)</f>
        <v>0.0612244897959184</v>
      </c>
      <c r="L67" s="103" t="n">
        <f aca="false">(L17-J17)/ABS(J17)</f>
        <v>0.122448979591837</v>
      </c>
      <c r="M67" s="23" t="n">
        <f aca="false">L67/K67-1</f>
        <v>1</v>
      </c>
      <c r="N67" s="103" t="n">
        <f aca="false">(N17-K17)/ABS(K17)</f>
        <v>0.0897435897435897</v>
      </c>
      <c r="O67" s="103" t="n">
        <f aca="false">(O17-N17)/ABS(N17)</f>
        <v>0.117647058823529</v>
      </c>
      <c r="P67" s="104"/>
      <c r="Q67" s="104"/>
      <c r="R67" s="104"/>
      <c r="S67" s="104"/>
      <c r="T67" s="104"/>
      <c r="U67" s="104"/>
      <c r="V67" s="103" t="n">
        <f aca="false">(V17-Q17)/ABS(Q17)</f>
        <v>0.117647058823529</v>
      </c>
      <c r="W67" s="103" t="n">
        <f aca="false">(W17-R17)/ABS(R17)</f>
        <v>-0.1</v>
      </c>
      <c r="X67" s="103" t="n">
        <f aca="false">(X17-S17)/ABS(S17)</f>
        <v>0.183673469387755</v>
      </c>
      <c r="Y67" s="103" t="n">
        <f aca="false">(Y17-T17)/ABS(T17)</f>
        <v>-0.266666666666667</v>
      </c>
      <c r="Z67" s="103"/>
      <c r="AA67" s="103" t="n">
        <f aca="false">(AA17-V17)/ABS(V17)</f>
        <v>-0.140350877192982</v>
      </c>
      <c r="AB67" s="103" t="n">
        <f aca="false">(AB17-W17)/ABS(W17)</f>
        <v>-0.444444444444444</v>
      </c>
      <c r="AC67" s="103" t="n">
        <f aca="false">(AC17-X17)/ABS(X17)</f>
        <v>-0.362068965517241</v>
      </c>
      <c r="AD67" s="103" t="n">
        <f aca="false">(AD17-Y17)/ABS(Y17)</f>
        <v>0.0909090909090909</v>
      </c>
      <c r="AE67" s="103"/>
      <c r="AF67" s="103" t="n">
        <f aca="false">(AF17-AA17)/ABS(AA17)</f>
        <v>-0.0408163265306122</v>
      </c>
      <c r="AG67" s="103" t="n">
        <f aca="false">(AG17-AB17)/ABS(AB17)</f>
        <v>0.32</v>
      </c>
      <c r="AH67" s="103" t="n">
        <f aca="false">(AH17-AC17)/ABS(AC17)</f>
        <v>0.0540540540540541</v>
      </c>
      <c r="AI67" s="105" t="n">
        <f aca="false">(AI17-AD17)/ABS(AD17)</f>
        <v>0.0277777777777778</v>
      </c>
      <c r="AJ67" s="103" t="n">
        <f aca="false">(AJ17-AD17)/ABS(AD17)</f>
        <v>0.277777777777778</v>
      </c>
      <c r="AK67" s="23" t="n">
        <f aca="false">AJ67/AI67-1</f>
        <v>9</v>
      </c>
      <c r="AL67" s="103"/>
      <c r="AM67" s="103" t="n">
        <f aca="false">(AM17-AF17)/ABS(AF17)</f>
        <v>0.0212765957446809</v>
      </c>
      <c r="AN67" s="103" t="n">
        <f aca="false">(AN17-AG17)/ABS(AG17)</f>
        <v>0.272727272727273</v>
      </c>
      <c r="AO67" s="103" t="n">
        <f aca="false">(AO17-AH17)/ABS(AH17)</f>
        <v>0.0512820512820513</v>
      </c>
      <c r="AP67" s="103" t="n">
        <f aca="false">(AP17-AI17)/ABS(AI17)</f>
        <v>0.0540540540540541</v>
      </c>
      <c r="AQ67" s="48"/>
    </row>
    <row r="68" s="2" customFormat="true" ht="25.5" hidden="false" customHeight="false" outlineLevel="0" collapsed="false">
      <c r="A68" s="9" t="s">
        <v>43</v>
      </c>
      <c r="B68" s="8" t="s">
        <v>43</v>
      </c>
      <c r="C68" s="8" t="s">
        <v>43</v>
      </c>
      <c r="D68" s="8" t="s">
        <v>43</v>
      </c>
      <c r="E68" s="103" t="e">
        <f aca="false">(E18-D18)/ABS(D18)</f>
        <v>#DIV/0!</v>
      </c>
      <c r="F68" s="103" t="n">
        <f aca="false">(F18-E18)/ABS(E18)</f>
        <v>0.209193611219322</v>
      </c>
      <c r="G68" s="103" t="n">
        <f aca="false">(G18-F18)/ABS(F18)</f>
        <v>0.0758698453608247</v>
      </c>
      <c r="H68" s="103" t="n">
        <f aca="false">(H18-G18)/ABS(G18)</f>
        <v>0.241203773019913</v>
      </c>
      <c r="I68" s="103" t="n">
        <f aca="false">(I18-H18)/ABS(H18)</f>
        <v>-0.0896260554885404</v>
      </c>
      <c r="J68" s="103" t="n">
        <f aca="false">(J18-I18)/ABS(I18)</f>
        <v>-0.0396183914138068</v>
      </c>
      <c r="K68" s="103" t="n">
        <f aca="false">(K18-J18)/ABS(J18)</f>
        <v>0.0484271523178808</v>
      </c>
      <c r="L68" s="103" t="n">
        <f aca="false">(L18-J18)/ABS(J18)</f>
        <v>0.040976821192053</v>
      </c>
      <c r="M68" s="23" t="n">
        <f aca="false">L68/K68-1</f>
        <v>-0.153846153846154</v>
      </c>
      <c r="N68" s="103" t="n">
        <f aca="false">(N18-K18)/ABS(K18)</f>
        <v>0.0606658770890907</v>
      </c>
      <c r="O68" s="103" t="n">
        <f aca="false">(O18-N18)/ABS(N18)</f>
        <v>0.0533498759305211</v>
      </c>
      <c r="P68" s="104"/>
      <c r="Q68" s="104"/>
      <c r="R68" s="104"/>
      <c r="S68" s="104"/>
      <c r="T68" s="104"/>
      <c r="U68" s="104"/>
      <c r="V68" s="103" t="n">
        <f aca="false">(V18-Q18)/ABS(Q18)</f>
        <v>0.113483146067416</v>
      </c>
      <c r="W68" s="103" t="n">
        <f aca="false">(W18-R18)/ABS(R18)</f>
        <v>-0.197563098346388</v>
      </c>
      <c r="X68" s="103" t="n">
        <f aca="false">(X18-S18)/ABS(S18)</f>
        <v>-0.0522158841597192</v>
      </c>
      <c r="Y68" s="103" t="n">
        <f aca="false">(Y18-T18)/ABS(T18)</f>
        <v>-0.192446973616141</v>
      </c>
      <c r="Z68" s="103"/>
      <c r="AA68" s="103" t="n">
        <f aca="false">(AA18-V18)/ABS(V18)</f>
        <v>-0.164480322906155</v>
      </c>
      <c r="AB68" s="103" t="n">
        <f aca="false">(AB18-W18)/ABS(W18)</f>
        <v>-0.0303687635574837</v>
      </c>
      <c r="AC68" s="103" t="n">
        <f aca="false">(AC18-X18)/ABS(X18)</f>
        <v>-0.0768518518518519</v>
      </c>
      <c r="AD68" s="103" t="n">
        <f aca="false">(AD18-Y18)/ABS(Y18)</f>
        <v>0.159513132607303</v>
      </c>
      <c r="AE68" s="103"/>
      <c r="AF68" s="103" t="n">
        <f aca="false">(AF18-AA18)/ABS(AA18)</f>
        <v>0.0477053140096618</v>
      </c>
      <c r="AG68" s="103" t="n">
        <f aca="false">(AG18-AB18)/ABS(AB18)</f>
        <v>0.0419463087248322</v>
      </c>
      <c r="AH68" s="103" t="n">
        <f aca="false">(AH18-AC18)/ABS(AC18)</f>
        <v>0.045135406218656</v>
      </c>
      <c r="AI68" s="105" t="n">
        <f aca="false">(AI18-AD18)/ABS(AD18)</f>
        <v>0.0591160220994475</v>
      </c>
      <c r="AJ68" s="103" t="n">
        <f aca="false">(AJ18-AD18)/ABS(AD18)</f>
        <v>0.0292817679558011</v>
      </c>
      <c r="AK68" s="23" t="n">
        <f aca="false">AJ68/AI68-1</f>
        <v>-0.504672897196262</v>
      </c>
      <c r="AL68" s="103"/>
      <c r="AM68" s="103" t="n">
        <f aca="false">(AM18-AF18)/ABS(AF18)</f>
        <v>0.0536023054755043</v>
      </c>
      <c r="AN68" s="103" t="n">
        <f aca="false">(AN18-AG18)/ABS(AG18)</f>
        <v>0.0585077831454643</v>
      </c>
      <c r="AO68" s="103" t="n">
        <f aca="false">(AO18-AH18)/ABS(AH18)</f>
        <v>0.0513435700575816</v>
      </c>
      <c r="AP68" s="103" t="n">
        <f aca="false">(AP18-AI18)/ABS(AI18)</f>
        <v>0.0792905581637976</v>
      </c>
      <c r="AQ68" s="54"/>
    </row>
    <row r="69" s="2" customFormat="true" ht="25.5" hidden="false" customHeight="false" outlineLevel="0" collapsed="false">
      <c r="A69" s="18" t="s">
        <v>46</v>
      </c>
      <c r="B69" s="99" t="s">
        <v>46</v>
      </c>
      <c r="C69" s="99" t="s">
        <v>46</v>
      </c>
      <c r="D69" s="99" t="s">
        <v>46</v>
      </c>
      <c r="E69" s="103"/>
      <c r="F69" s="103"/>
      <c r="G69" s="103"/>
      <c r="H69" s="103"/>
      <c r="I69" s="103"/>
      <c r="J69" s="103"/>
      <c r="K69" s="103"/>
      <c r="L69" s="103"/>
      <c r="M69" s="23"/>
      <c r="N69" s="103"/>
      <c r="O69" s="103"/>
      <c r="P69" s="104"/>
      <c r="Q69" s="104"/>
      <c r="R69" s="104"/>
      <c r="S69" s="104"/>
      <c r="T69" s="104"/>
      <c r="U69" s="104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5"/>
      <c r="AJ69" s="103"/>
      <c r="AK69" s="23"/>
      <c r="AL69" s="103"/>
      <c r="AM69" s="103" t="e">
        <f aca="false">(AM19-AF19)/ABS(AF19)</f>
        <v>#DIV/0!</v>
      </c>
      <c r="AN69" s="103" t="e">
        <f aca="false">(AN19-AG19)/ABS(AG19)</f>
        <v>#DIV/0!</v>
      </c>
      <c r="AO69" s="103" t="e">
        <f aca="false">(AO19-AH19)/ABS(AH19)</f>
        <v>#DIV/0!</v>
      </c>
      <c r="AP69" s="103" t="e">
        <f aca="false">(AP19-AI19)/ABS(AI19)</f>
        <v>#DIV/0!</v>
      </c>
      <c r="AQ69" s="47"/>
    </row>
    <row r="70" s="2" customFormat="true" ht="25.5" hidden="false" customHeight="false" outlineLevel="0" collapsed="false">
      <c r="A70" s="20" t="s">
        <v>40</v>
      </c>
      <c r="B70" s="102" t="s">
        <v>40</v>
      </c>
      <c r="C70" s="102" t="s">
        <v>40</v>
      </c>
      <c r="D70" s="102" t="s">
        <v>40</v>
      </c>
      <c r="E70" s="103" t="e">
        <f aca="false">(E20-D20)/ABS(D20)</f>
        <v>#DIV/0!</v>
      </c>
      <c r="F70" s="103" t="n">
        <f aca="false">(F20-E20)/ABS(E20)</f>
        <v>0.0131468531468531</v>
      </c>
      <c r="G70" s="103" t="n">
        <f aca="false">(G20-F20)/ABS(F20)</f>
        <v>-0.0477636664826063</v>
      </c>
      <c r="H70" s="103" t="n">
        <f aca="false">(H20-G20)/ABS(G20)</f>
        <v>0.0608872136851261</v>
      </c>
      <c r="I70" s="103" t="n">
        <f aca="false">(I20-H20)/ABS(H20)</f>
        <v>0.123531019404209</v>
      </c>
      <c r="J70" s="103" t="n">
        <f aca="false">(J20-I20)/ABS(I20)</f>
        <v>0.105083921187059</v>
      </c>
      <c r="K70" s="103" t="n">
        <f aca="false">(K20-J20)/ABS(J20)</f>
        <v>0.0871670702179177</v>
      </c>
      <c r="L70" s="103" t="n">
        <f aca="false">(L20-J20)/ABS(J20)</f>
        <v>0.0708782742681048</v>
      </c>
      <c r="M70" s="23" t="n">
        <f aca="false">L70/K70-1</f>
        <v>-0.186868686868687</v>
      </c>
      <c r="N70" s="103" t="n">
        <f aca="false">(N20-K20)/ABS(K20)</f>
        <v>0.10143753796315</v>
      </c>
      <c r="O70" s="103" t="n">
        <f aca="false">(O20-N20)/ABS(N20)</f>
        <v>0.0845588235294118</v>
      </c>
      <c r="P70" s="104"/>
      <c r="Q70" s="104"/>
      <c r="R70" s="104"/>
      <c r="S70" s="104"/>
      <c r="T70" s="104"/>
      <c r="U70" s="104"/>
      <c r="V70" s="103" t="n">
        <f aca="false">(V20-Q20)/ABS(Q20)</f>
        <v>0.348284960422164</v>
      </c>
      <c r="W70" s="103" t="n">
        <f aca="false">(W20-R20)/ABS(R20)</f>
        <v>-0.104944500504541</v>
      </c>
      <c r="X70" s="103" t="n">
        <f aca="false">(X20-S20)/ABS(S20)</f>
        <v>0.112956810631229</v>
      </c>
      <c r="Y70" s="103" t="n">
        <f aca="false">(Y20-T20)/ABS(T20)</f>
        <v>0.188679245283019</v>
      </c>
      <c r="Z70" s="103"/>
      <c r="AA70" s="103" t="n">
        <f aca="false">(AA20-V20)/ABS(V20)</f>
        <v>0.0410958904109589</v>
      </c>
      <c r="AB70" s="103" t="n">
        <f aca="false">(AB20-W20)/ABS(W20)</f>
        <v>0.249154453213078</v>
      </c>
      <c r="AC70" s="103" t="n">
        <f aca="false">(AC20-X20)/ABS(X20)</f>
        <v>0.135323383084577</v>
      </c>
      <c r="AD70" s="103" t="n">
        <f aca="false">(AD20-Y20)/ABS(Y20)</f>
        <v>0.0275689223057644</v>
      </c>
      <c r="AE70" s="103"/>
      <c r="AF70" s="103" t="n">
        <f aca="false">(AF20-AA20)/ABS(AA20)</f>
        <v>0.0723684210526316</v>
      </c>
      <c r="AG70" s="103" t="n">
        <f aca="false">(AG20-AB20)/ABS(AB20)</f>
        <v>0.175992779783394</v>
      </c>
      <c r="AH70" s="103" t="n">
        <f aca="false">(AH20-AC20)/ABS(AC20)</f>
        <v>0.0473269062226117</v>
      </c>
      <c r="AI70" s="105" t="n">
        <f aca="false">(AI20-AD20)/ABS(AD20)</f>
        <v>0.0569105691056911</v>
      </c>
      <c r="AJ70" s="103" t="n">
        <f aca="false">(AJ20-AD20)/ABS(AD20)</f>
        <v>-0.0032520325203252</v>
      </c>
      <c r="AK70" s="23" t="n">
        <f aca="false">AJ70/AI70-1</f>
        <v>-1.05714285714286</v>
      </c>
      <c r="AL70" s="103"/>
      <c r="AM70" s="103" t="n">
        <f aca="false">(AM20-AF20)/ABS(AF20)</f>
        <v>0.0780017528483786</v>
      </c>
      <c r="AN70" s="103" t="n">
        <f aca="false">(AN20-AG20)/ABS(AG20)</f>
        <v>0.197237145049885</v>
      </c>
      <c r="AO70" s="103" t="n">
        <f aca="false">(AO20-AH20)/ABS(AH20)</f>
        <v>0.0543933054393306</v>
      </c>
      <c r="AP70" s="103" t="n">
        <f aca="false">(AP20-AI20)/ABS(AI20)</f>
        <v>0.0692307692307692</v>
      </c>
      <c r="AQ70" s="48"/>
    </row>
    <row r="71" s="2" customFormat="true" ht="25.5" hidden="false" customHeight="false" outlineLevel="0" collapsed="false">
      <c r="A71" s="20" t="s">
        <v>41</v>
      </c>
      <c r="B71" s="102" t="s">
        <v>41</v>
      </c>
      <c r="C71" s="102" t="s">
        <v>41</v>
      </c>
      <c r="D71" s="102" t="s">
        <v>41</v>
      </c>
      <c r="E71" s="103" t="e">
        <f aca="false">(E21-D21)/ABS(D21)</f>
        <v>#DIV/0!</v>
      </c>
      <c r="F71" s="103" t="n">
        <f aca="false">(F21-E21)/ABS(E21)</f>
        <v>0.0356347438752784</v>
      </c>
      <c r="G71" s="103" t="n">
        <f aca="false">(G21-F21)/ABS(F21)</f>
        <v>-0.021505376344086</v>
      </c>
      <c r="H71" s="103" t="n">
        <f aca="false">(H21-G21)/ABS(G21)</f>
        <v>0.0945054945054945</v>
      </c>
      <c r="I71" s="103" t="n">
        <f aca="false">(I21-H21)/ABS(H21)</f>
        <v>0.0776439089692102</v>
      </c>
      <c r="J71" s="103" t="n">
        <f aca="false">(J21-I21)/ABS(I21)</f>
        <v>0.0335403726708075</v>
      </c>
      <c r="K71" s="103" t="n">
        <f aca="false">(K21-J21)/ABS(J21)</f>
        <v>-0.0426682692307692</v>
      </c>
      <c r="L71" s="103" t="n">
        <f aca="false">(L21-J21)/ABS(J21)</f>
        <v>-0.0300480769230769</v>
      </c>
      <c r="M71" s="23" t="n">
        <f aca="false">L71/K71-1</f>
        <v>-0.295774647887324</v>
      </c>
      <c r="N71" s="103" t="n">
        <f aca="false">(N21-K21)/ABS(K21)</f>
        <v>0.0106716886377903</v>
      </c>
      <c r="O71" s="103" t="n">
        <f aca="false">(O21-N21)/ABS(N21)</f>
        <v>0.0745341614906832</v>
      </c>
      <c r="P71" s="104"/>
      <c r="Q71" s="104"/>
      <c r="R71" s="104"/>
      <c r="S71" s="104"/>
      <c r="T71" s="104"/>
      <c r="U71" s="104"/>
      <c r="V71" s="103" t="n">
        <f aca="false">(V21-Q21)/ABS(Q21)</f>
        <v>0.27906976744186</v>
      </c>
      <c r="W71" s="103" t="n">
        <f aca="false">(W21-R21)/ABS(R21)</f>
        <v>-0.0694444444444445</v>
      </c>
      <c r="X71" s="103" t="n">
        <f aca="false">(X21-S21)/ABS(S21)</f>
        <v>0.0794520547945206</v>
      </c>
      <c r="Y71" s="103" t="n">
        <f aca="false">(Y21-T21)/ABS(T21)</f>
        <v>0.0833333333333333</v>
      </c>
      <c r="Z71" s="103"/>
      <c r="AA71" s="103" t="n">
        <f aca="false">(AA21-V21)/ABS(V21)</f>
        <v>0.0727272727272727</v>
      </c>
      <c r="AB71" s="103" t="n">
        <f aca="false">(AB21-W21)/ABS(W21)</f>
        <v>0.082089552238806</v>
      </c>
      <c r="AC71" s="103" t="n">
        <f aca="false">(AC21-X21)/ABS(X21)</f>
        <v>0.032994923857868</v>
      </c>
      <c r="AD71" s="103" t="n">
        <f aca="false">(AD21-Y21)/ABS(Y21)</f>
        <v>-0.0466200466200466</v>
      </c>
      <c r="AE71" s="103"/>
      <c r="AF71" s="103" t="n">
        <f aca="false">(AF21-AA21)/ABS(AA21)</f>
        <v>-0.101694915254237</v>
      </c>
      <c r="AG71" s="103" t="n">
        <f aca="false">(AG21-AB21)/ABS(AB21)</f>
        <v>0.00459770114942529</v>
      </c>
      <c r="AH71" s="103" t="n">
        <f aca="false">(AH21-AC21)/ABS(AC21)</f>
        <v>-0.0417690417690418</v>
      </c>
      <c r="AI71" s="105" t="n">
        <f aca="false">(AI21-AD21)/ABS(AD21)</f>
        <v>-0.0342298288508557</v>
      </c>
      <c r="AJ71" s="103" t="n">
        <f aca="false">(AJ21-AD21)/ABS(AD21)</f>
        <v>0.0171149144254279</v>
      </c>
      <c r="AK71" s="23" t="n">
        <f aca="false">AJ71/AI71-1</f>
        <v>-1.5</v>
      </c>
      <c r="AL71" s="103"/>
      <c r="AM71" s="103" t="n">
        <f aca="false">(AM21-AF21)/ABS(AF21)</f>
        <v>-0.00269541778975741</v>
      </c>
      <c r="AN71" s="103" t="n">
        <f aca="false">(AN21-AG21)/ABS(AG21)</f>
        <v>0.0068649885583524</v>
      </c>
      <c r="AO71" s="103" t="n">
        <f aca="false">(AO21-AH21)/ABS(AH21)</f>
        <v>0.0256410256410256</v>
      </c>
      <c r="AP71" s="103" t="n">
        <f aca="false">(AP21-AI21)/ABS(AI21)</f>
        <v>0.0126582278481013</v>
      </c>
      <c r="AQ71" s="48"/>
    </row>
    <row r="72" s="2" customFormat="true" ht="25.5" hidden="false" customHeight="false" outlineLevel="0" collapsed="false">
      <c r="A72" s="20" t="s">
        <v>42</v>
      </c>
      <c r="B72" s="102" t="s">
        <v>42</v>
      </c>
      <c r="C72" s="102" t="s">
        <v>42</v>
      </c>
      <c r="D72" s="102" t="s">
        <v>42</v>
      </c>
      <c r="E72" s="103" t="e">
        <f aca="false">(E22-D22)/ABS(D22)</f>
        <v>#DIV/0!</v>
      </c>
      <c r="F72" s="103" t="n">
        <f aca="false">(F22-E22)/ABS(E22)</f>
        <v>-0.0286885245901639</v>
      </c>
      <c r="G72" s="103" t="n">
        <f aca="false">(G22-F22)/ABS(F22)</f>
        <v>-0.0970464135021097</v>
      </c>
      <c r="H72" s="103" t="n">
        <f aca="false">(H22-G22)/ABS(G22)</f>
        <v>-0.11214953271028</v>
      </c>
      <c r="I72" s="103" t="n">
        <f aca="false">(I22-H22)/ABS(H22)</f>
        <v>0.231578947368421</v>
      </c>
      <c r="J72" s="103" t="n">
        <f aca="false">(J22-I22)/ABS(I22)</f>
        <v>-0.0427350427350427</v>
      </c>
      <c r="K72" s="103" t="n">
        <f aca="false">(K22-J22)/ABS(J22)</f>
        <v>0.102678571428571</v>
      </c>
      <c r="L72" s="103" t="n">
        <f aca="false">(L22-J22)/ABS(J22)</f>
        <v>0.116071428571429</v>
      </c>
      <c r="M72" s="23" t="n">
        <f aca="false">L72/K72-1</f>
        <v>0.130434782608696</v>
      </c>
      <c r="N72" s="103" t="n">
        <f aca="false">(N22-K22)/ABS(K22)</f>
        <v>0.117408906882591</v>
      </c>
      <c r="O72" s="103" t="n">
        <f aca="false">(O22-N22)/ABS(N22)</f>
        <v>0.0507246376811594</v>
      </c>
      <c r="P72" s="104"/>
      <c r="Q72" s="104"/>
      <c r="R72" s="104"/>
      <c r="S72" s="104"/>
      <c r="T72" s="104"/>
      <c r="U72" s="104"/>
      <c r="V72" s="103" t="n">
        <f aca="false">(V22-Q22)/ABS(Q22)</f>
        <v>0.45</v>
      </c>
      <c r="W72" s="103" t="n">
        <f aca="false">(W22-R22)/ABS(R22)</f>
        <v>0.208333333333333</v>
      </c>
      <c r="X72" s="103" t="n">
        <f aca="false">(X22-S22)/ABS(S22)</f>
        <v>0.319148936170213</v>
      </c>
      <c r="Y72" s="103" t="n">
        <f aca="false">(Y22-T22)/ABS(T22)</f>
        <v>0.0181818181818182</v>
      </c>
      <c r="Z72" s="103"/>
      <c r="AA72" s="103" t="n">
        <f aca="false">(AA22-V22)/ABS(V22)</f>
        <v>0</v>
      </c>
      <c r="AB72" s="103" t="n">
        <f aca="false">(AB22-W22)/ABS(W22)</f>
        <v>-0.0344827586206897</v>
      </c>
      <c r="AC72" s="103" t="n">
        <f aca="false">(AC22-X22)/ABS(X22)</f>
        <v>-0.145161290322581</v>
      </c>
      <c r="AD72" s="103" t="n">
        <f aca="false">(AD22-Y22)/ABS(Y22)</f>
        <v>0.0178571428571429</v>
      </c>
      <c r="AE72" s="103"/>
      <c r="AF72" s="103" t="n">
        <f aca="false">(AF22-AA22)/ABS(AA22)</f>
        <v>0.0344827586206897</v>
      </c>
      <c r="AG72" s="103" t="n">
        <f aca="false">(AG22-AB22)/ABS(AB22)</f>
        <v>0.160714285714286</v>
      </c>
      <c r="AH72" s="103" t="n">
        <f aca="false">(AH22-AC22)/ABS(AC22)</f>
        <v>0.169811320754717</v>
      </c>
      <c r="AI72" s="105" t="n">
        <f aca="false">(AI22-AD22)/ABS(AD22)</f>
        <v>0.0526315789473684</v>
      </c>
      <c r="AJ72" s="103" t="n">
        <f aca="false">(AJ22-AD22)/ABS(AD22)</f>
        <v>0.105263157894737</v>
      </c>
      <c r="AK72" s="23" t="n">
        <f aca="false">AJ72/AI72-1</f>
        <v>1</v>
      </c>
      <c r="AL72" s="103"/>
      <c r="AM72" s="103" t="n">
        <f aca="false">(AM22-AF22)/ABS(AF22)</f>
        <v>0.0333333333333333</v>
      </c>
      <c r="AN72" s="103" t="n">
        <f aca="false">(AN22-AG22)/ABS(AG22)</f>
        <v>0.184615384615385</v>
      </c>
      <c r="AO72" s="103" t="n">
        <f aca="false">(AO22-AH22)/ABS(AH22)</f>
        <v>0.17741935483871</v>
      </c>
      <c r="AP72" s="103" t="n">
        <f aca="false">(AP22-AI22)/ABS(AI22)</f>
        <v>0.0666666666666667</v>
      </c>
      <c r="AQ72" s="48"/>
    </row>
    <row r="73" s="2" customFormat="true" ht="25.5" hidden="false" customHeight="false" outlineLevel="0" collapsed="false">
      <c r="A73" s="9" t="s">
        <v>43</v>
      </c>
      <c r="B73" s="8" t="s">
        <v>43</v>
      </c>
      <c r="C73" s="8" t="s">
        <v>43</v>
      </c>
      <c r="D73" s="8" t="s">
        <v>43</v>
      </c>
      <c r="E73" s="103" t="e">
        <f aca="false">(E23-D23)/ABS(D23)</f>
        <v>#DIV/0!</v>
      </c>
      <c r="F73" s="103" t="n">
        <f aca="false">(F23-E23)/ABS(E23)</f>
        <v>0.0170344560588463</v>
      </c>
      <c r="G73" s="103" t="n">
        <f aca="false">(G23-F23)/ABS(F23)</f>
        <v>-0.0430148458317472</v>
      </c>
      <c r="H73" s="103" t="n">
        <f aca="false">(H23-G23)/ABS(G23)</f>
        <v>0.0626491646778043</v>
      </c>
      <c r="I73" s="103" t="n">
        <f aca="false">(I23-H23)/ABS(H23)</f>
        <v>0.114542391914655</v>
      </c>
      <c r="J73" s="103" t="n">
        <f aca="false">(J23-I23)/ABS(I23)</f>
        <v>0.0799328295549958</v>
      </c>
      <c r="K73" s="103" t="n">
        <f aca="false">(K23-J23)/ABS(J23)</f>
        <v>0.0541128906857409</v>
      </c>
      <c r="L73" s="103" t="n">
        <f aca="false">(L23-J23)/ABS(J23)</f>
        <v>0.0463380500699736</v>
      </c>
      <c r="M73" s="23" t="n">
        <f aca="false">L73/K73-1</f>
        <v>-0.14367816091954</v>
      </c>
      <c r="N73" s="103" t="n">
        <f aca="false">(N23-K23)/ABS(K23)</f>
        <v>0.0806903673108128</v>
      </c>
      <c r="O73" s="103" t="n">
        <f aca="false">(O23-N23)/ABS(N23)</f>
        <v>0.0810810810810811</v>
      </c>
      <c r="P73" s="104"/>
      <c r="Q73" s="104"/>
      <c r="R73" s="104"/>
      <c r="S73" s="104"/>
      <c r="T73" s="104"/>
      <c r="U73" s="104"/>
      <c r="V73" s="103" t="n">
        <f aca="false">(V23-Q23)/ABS(Q23)</f>
        <v>0.333030027297543</v>
      </c>
      <c r="W73" s="103" t="n">
        <f aca="false">(W23-R23)/ABS(R23)</f>
        <v>-0.0842963970088375</v>
      </c>
      <c r="X73" s="103" t="n">
        <f aca="false">(X23-S23)/ABS(S23)</f>
        <v>0.111026615969582</v>
      </c>
      <c r="Y73" s="103" t="n">
        <f aca="false">(Y23-T23)/ABS(T23)</f>
        <v>0.15363511659808</v>
      </c>
      <c r="Z73" s="103"/>
      <c r="AA73" s="103" t="n">
        <f aca="false">(AA23-V23)/ABS(V23)</f>
        <v>0.0477815699658703</v>
      </c>
      <c r="AB73" s="103" t="n">
        <f aca="false">(AB23-W23)/ABS(W23)</f>
        <v>0.187082405345212</v>
      </c>
      <c r="AC73" s="103" t="n">
        <f aca="false">(AC23-X23)/ABS(X23)</f>
        <v>0.0958247775496235</v>
      </c>
      <c r="AD73" s="103" t="n">
        <f aca="false">(AD23-Y23)/ABS(Y23)</f>
        <v>0.00832342449464923</v>
      </c>
      <c r="AE73" s="103"/>
      <c r="AF73" s="103" t="n">
        <f aca="false">(AF23-AA23)/ABS(AA23)</f>
        <v>0.0241042345276873</v>
      </c>
      <c r="AG73" s="103" t="n">
        <f aca="false">(AG23-AB23)/ABS(AB23)</f>
        <v>0.128830519074422</v>
      </c>
      <c r="AH73" s="103" t="n">
        <f aca="false">(AH23-AC23)/ABS(AC23)</f>
        <v>0.0287320424734541</v>
      </c>
      <c r="AI73" s="105" t="n">
        <f aca="false">(AI23-AD23)/ABS(AD23)</f>
        <v>0.0347877358490566</v>
      </c>
      <c r="AJ73" s="103" t="n">
        <f aca="false">(AJ23-AD23)/ABS(AD23)</f>
        <v>0.00530660377358491</v>
      </c>
      <c r="AK73" s="23" t="n">
        <f aca="false">AJ73/AI73-1</f>
        <v>-0.847457627118644</v>
      </c>
      <c r="AL73" s="103"/>
      <c r="AM73" s="103" t="n">
        <f aca="false">(AM23-AF23)/ABS(AF23)</f>
        <v>0.0572519083969466</v>
      </c>
      <c r="AN73" s="103" t="n">
        <f aca="false">(AN23-AG23)/ABS(AG23)</f>
        <v>0.150692520775623</v>
      </c>
      <c r="AO73" s="103" t="n">
        <f aca="false">(AO23-AH23)/ABS(AH23)</f>
        <v>0.0522161505768063</v>
      </c>
      <c r="AP73" s="103" t="n">
        <f aca="false">(AP23-AI23)/ABS(AI23)</f>
        <v>0.0564102564102564</v>
      </c>
      <c r="AQ73" s="54"/>
    </row>
    <row r="74" s="2" customFormat="true" ht="25.5" hidden="false" customHeight="false" outlineLevel="0" collapsed="false">
      <c r="A74" s="40" t="s">
        <v>47</v>
      </c>
      <c r="B74" s="107" t="s">
        <v>47</v>
      </c>
      <c r="C74" s="107" t="s">
        <v>47</v>
      </c>
      <c r="D74" s="107" t="s">
        <v>47</v>
      </c>
      <c r="E74" s="103" t="e">
        <f aca="false">(E24-D24)/ABS(D24)</f>
        <v>#DIV/0!</v>
      </c>
      <c r="F74" s="103" t="n">
        <f aca="false">(F24-E24)/ABS(E24)</f>
        <v>-0.522727272727273</v>
      </c>
      <c r="G74" s="103" t="n">
        <f aca="false">(G24-F24)/ABS(F24)</f>
        <v>-0.285714285714286</v>
      </c>
      <c r="H74" s="103" t="n">
        <f aca="false">(H24-G24)/ABS(G24)</f>
        <v>-0.166666666666667</v>
      </c>
      <c r="I74" s="103" t="n">
        <f aca="false">(I24-H24)/ABS(H24)</f>
        <v>3.08</v>
      </c>
      <c r="J74" s="103" t="n">
        <f aca="false">(J24-I24)/ABS(I24)</f>
        <v>-0.431372549019608</v>
      </c>
      <c r="K74" s="103" t="n">
        <f aca="false">(K24-J24)/ABS(J24)</f>
        <v>-0.224137931034483</v>
      </c>
      <c r="L74" s="103" t="n">
        <f aca="false">(L24-J24)/ABS(J24)</f>
        <v>-0.224137931034483</v>
      </c>
      <c r="M74" s="23" t="n">
        <f aca="false">L74/K74-1</f>
        <v>0</v>
      </c>
      <c r="N74" s="103" t="n">
        <f aca="false">(N24-K24)/ABS(K24)</f>
        <v>0.244444444444444</v>
      </c>
      <c r="O74" s="103" t="n">
        <f aca="false">(O24-N24)/ABS(N24)</f>
        <v>0.0714285714285714</v>
      </c>
      <c r="P74" s="104"/>
      <c r="Q74" s="104"/>
      <c r="R74" s="104"/>
      <c r="S74" s="104"/>
      <c r="T74" s="104"/>
      <c r="U74" s="104"/>
      <c r="V74" s="103" t="n">
        <f aca="false">(V24-Q24)/ABS(Q24)</f>
        <v>0.75</v>
      </c>
      <c r="W74" s="103" t="n">
        <f aca="false">(W24-R24)/ABS(R24)</f>
        <v>-0.25</v>
      </c>
      <c r="X74" s="103" t="n">
        <f aca="false">(X24-S24)/ABS(S24)</f>
        <v>5.83333333333333</v>
      </c>
      <c r="Y74" s="103" t="n">
        <f aca="false">(Y24-T24)/ABS(T24)</f>
        <v>5.85714285714286</v>
      </c>
      <c r="Z74" s="103"/>
      <c r="AA74" s="103" t="n">
        <f aca="false">(AA24-V24)/ABS(V24)</f>
        <v>1</v>
      </c>
      <c r="AB74" s="103" t="n">
        <f aca="false">(AB24-W24)/ABS(W24)</f>
        <v>2</v>
      </c>
      <c r="AC74" s="103" t="n">
        <f aca="false">(AC24-X24)/ABS(X24)</f>
        <v>-0.707317073170732</v>
      </c>
      <c r="AD74" s="103" t="n">
        <f aca="false">(AD24-Y24)/ABS(Y24)</f>
        <v>-0.708333333333333</v>
      </c>
      <c r="AE74" s="103"/>
      <c r="AF74" s="103" t="n">
        <f aca="false">(AF24-AA24)/ABS(AA24)</f>
        <v>-0.0714285714285714</v>
      </c>
      <c r="AG74" s="103" t="n">
        <f aca="false">(AG24-AB24)/ABS(AB24)</f>
        <v>-0.333333333333333</v>
      </c>
      <c r="AH74" s="103" t="n">
        <f aca="false">(AH24-AC24)/ABS(AC24)</f>
        <v>-0.25</v>
      </c>
      <c r="AI74" s="105" t="n">
        <f aca="false">(AI24-AD24)/ABS(AD24)</f>
        <v>-0.214285714285714</v>
      </c>
      <c r="AJ74" s="103" t="n">
        <f aca="false">(AJ24-AD24)/ABS(AD24)</f>
        <v>-0.214285714285714</v>
      </c>
      <c r="AK74" s="23" t="n">
        <f aca="false">AJ74/AI74-1</f>
        <v>0</v>
      </c>
      <c r="AL74" s="103"/>
      <c r="AM74" s="103" t="n">
        <f aca="false">(AM24-AF24)/ABS(AF24)</f>
        <v>0.0769230769230769</v>
      </c>
      <c r="AN74" s="103" t="n">
        <f aca="false">(AN24-AG24)/ABS(AG24)</f>
        <v>0.25</v>
      </c>
      <c r="AO74" s="103" t="n">
        <f aca="false">(AO24-AH24)/ABS(AH24)</f>
        <v>0.222222222222222</v>
      </c>
      <c r="AP74" s="103" t="n">
        <f aca="false">(AP24-AI24)/ABS(AI24)</f>
        <v>0.454545454545455</v>
      </c>
      <c r="AQ74" s="108"/>
    </row>
    <row r="75" s="2" customFormat="true" ht="25.5" hidden="false" customHeight="false" outlineLevel="0" collapsed="false">
      <c r="A75" s="41" t="s">
        <v>48</v>
      </c>
      <c r="B75" s="109" t="s">
        <v>48</v>
      </c>
      <c r="C75" s="109" t="s">
        <v>48</v>
      </c>
      <c r="D75" s="109" t="s">
        <v>48</v>
      </c>
      <c r="E75" s="103" t="e">
        <f aca="false">(E25-D25)/ABS(D25)</f>
        <v>#DIV/0!</v>
      </c>
      <c r="F75" s="103" t="n">
        <f aca="false">(F25-E25)/ABS(E25)</f>
        <v>0.0792518486298391</v>
      </c>
      <c r="G75" s="103" t="n">
        <f aca="false">(G25-F25)/ABS(F25)</f>
        <v>-0.0443333870707722</v>
      </c>
      <c r="H75" s="103" t="n">
        <f aca="false">(H25-G25)/ABS(G25)</f>
        <v>0.18907444894287</v>
      </c>
      <c r="I75" s="103" t="n">
        <f aca="false">(I25-H25)/ABS(H25)</f>
        <v>0.0506703236942284</v>
      </c>
      <c r="J75" s="103" t="n">
        <f aca="false">(J25-I25)/ABS(I25)</f>
        <v>0.0973760014402737</v>
      </c>
      <c r="K75" s="103" t="n">
        <f aca="false">(K25-J25)/ABS(J25)</f>
        <v>0.0203638004224515</v>
      </c>
      <c r="L75" s="103" t="n">
        <f aca="false">(L25-J25)/ABS(J25)</f>
        <v>0.0114636097040789</v>
      </c>
      <c r="M75" s="23" t="n">
        <f aca="false">L75/K75-1</f>
        <v>-0.43705941591138</v>
      </c>
      <c r="N75" s="103" t="n">
        <f aca="false">(N25-K25)/ABS(K25)</f>
        <v>0.0510491197041563</v>
      </c>
      <c r="O75" s="103" t="n">
        <f aca="false">(O25-N25)/ABS(N25)</f>
        <v>0.0603105400030595</v>
      </c>
      <c r="P75" s="104"/>
      <c r="Q75" s="104"/>
      <c r="R75" s="104"/>
      <c r="S75" s="104"/>
      <c r="T75" s="104"/>
      <c r="U75" s="104"/>
      <c r="V75" s="103" t="n">
        <f aca="false">(V25-Q25)/ABS(Q25)</f>
        <v>0.161908564583749</v>
      </c>
      <c r="W75" s="103" t="n">
        <f aca="false">(W25-R25)/ABS(R25)</f>
        <v>0.00698259007541197</v>
      </c>
      <c r="X75" s="103" t="n">
        <f aca="false">(X25-S25)/ABS(S25)</f>
        <v>0.0562774992325796</v>
      </c>
      <c r="Y75" s="103" t="n">
        <f aca="false">(Y25-T25)/ABS(T25)</f>
        <v>-0.00884278547742539</v>
      </c>
      <c r="Z75" s="103"/>
      <c r="AA75" s="103" t="n">
        <f aca="false">(AA25-V25)/ABS(V25)</f>
        <v>0.0350515463917526</v>
      </c>
      <c r="AB75" s="103" t="n">
        <f aca="false">(AB25-W25)/ABS(W25)</f>
        <v>0.176405325443787</v>
      </c>
      <c r="AC75" s="103" t="n">
        <f aca="false">(AC25-X25)/ABS(X25)</f>
        <v>0.139784946236559</v>
      </c>
      <c r="AD75" s="103" t="n">
        <f aca="false">(AD25-Y25)/ABS(Y25)</f>
        <v>0.0487260873295016</v>
      </c>
      <c r="AE75" s="103"/>
      <c r="AF75" s="103" t="n">
        <f aca="false">(AF25-AA25)/ABS(AA25)</f>
        <v>0.0253154050464807</v>
      </c>
      <c r="AG75" s="103" t="n">
        <f aca="false">(AG25-AB25)/ABS(AB25)</f>
        <v>0.0116315624017605</v>
      </c>
      <c r="AH75" s="103" t="n">
        <f aca="false">(AH25-AC25)/ABS(AC25)</f>
        <v>0.0154682984871664</v>
      </c>
      <c r="AI75" s="105" t="n">
        <f aca="false">(AI25-AD25)/ABS(AD25)</f>
        <v>0.0292842535787321</v>
      </c>
      <c r="AJ75" s="103" t="n">
        <f aca="false">(AJ25-AD25)/ABS(AD25)</f>
        <v>-0.00621676891615542</v>
      </c>
      <c r="AK75" s="23" t="n">
        <f aca="false">AJ75/AI75-1</f>
        <v>-1.2122905027933</v>
      </c>
      <c r="AL75" s="103"/>
      <c r="AM75" s="103" t="n">
        <f aca="false">(AM25-AF25)/ABS(AF25)</f>
        <v>0.0547235489354813</v>
      </c>
      <c r="AN75" s="103" t="n">
        <f aca="false">(AN25-AG25)/ABS(AG25)</f>
        <v>0.0587321317588564</v>
      </c>
      <c r="AO75" s="103" t="n">
        <f aca="false">(AO25-AH25)/ABS(AH25)</f>
        <v>0.0445262805490459</v>
      </c>
      <c r="AP75" s="103" t="n">
        <f aca="false">(AP25-AI25)/ABS(AI25)</f>
        <v>0.0457760470476039</v>
      </c>
      <c r="AQ75" s="110"/>
    </row>
    <row r="76" s="2" customFormat="true" ht="25.5" hidden="false" customHeight="false" outlineLevel="0" collapsed="false">
      <c r="A76" s="40" t="s">
        <v>49</v>
      </c>
      <c r="B76" s="107" t="s">
        <v>49</v>
      </c>
      <c r="C76" s="107" t="s">
        <v>49</v>
      </c>
      <c r="D76" s="107" t="s">
        <v>49</v>
      </c>
      <c r="E76" s="103" t="e">
        <f aca="false">(E26-D26)/ABS(D26)</f>
        <v>#DIV/0!</v>
      </c>
      <c r="F76" s="103" t="n">
        <f aca="false">(F26-E26)/ABS(E26)</f>
        <v>0.0106044538706257</v>
      </c>
      <c r="G76" s="103" t="n">
        <f aca="false">(G26-F26)/ABS(F26)</f>
        <v>-0.0314795383001049</v>
      </c>
      <c r="H76" s="103" t="n">
        <f aca="false">(H26-G26)/ABS(G26)</f>
        <v>0.194474539544962</v>
      </c>
      <c r="I76" s="103" t="n">
        <f aca="false">(I26-H26)/ABS(H26)</f>
        <v>0.0639455782312925</v>
      </c>
      <c r="J76" s="103" t="n">
        <f aca="false">(J26-I26)/ABS(I26)</f>
        <v>0.0345268542199488</v>
      </c>
      <c r="K76" s="103" t="n">
        <f aca="false">(K26-J26)/ABS(J26)</f>
        <v>-0.133910177173465</v>
      </c>
      <c r="L76" s="103" t="n">
        <f aca="false">(L26-J26)/ABS(J26)</f>
        <v>-0.142150803461063</v>
      </c>
      <c r="M76" s="23" t="n">
        <f aca="false">L76/K76-1</f>
        <v>0.0615384615384615</v>
      </c>
      <c r="N76" s="103" t="n">
        <f aca="false">(N26-K26)/ABS(K26)</f>
        <v>0.0156993339676499</v>
      </c>
      <c r="O76" s="103" t="n">
        <f aca="false">(O26-N26)/ABS(N26)</f>
        <v>0.0772833723653396</v>
      </c>
      <c r="P76" s="104"/>
      <c r="Q76" s="104"/>
      <c r="R76" s="104"/>
      <c r="S76" s="104"/>
      <c r="T76" s="104"/>
      <c r="U76" s="104"/>
      <c r="V76" s="103" t="n">
        <f aca="false">(V26-Q26)/ABS(Q26)</f>
        <v>0.117229129662522</v>
      </c>
      <c r="W76" s="103" t="n">
        <f aca="false">(W26-R26)/ABS(R26)</f>
        <v>0.170168067226891</v>
      </c>
      <c r="X76" s="103" t="n">
        <f aca="false">(X26-S26)/ABS(S26)</f>
        <v>-0.00526315789473684</v>
      </c>
      <c r="Y76" s="103" t="n">
        <f aca="false">(Y26-T26)/ABS(T26)</f>
        <v>-0.00503355704697987</v>
      </c>
      <c r="Z76" s="103"/>
      <c r="AA76" s="103" t="n">
        <f aca="false">(AA26-V26)/ABS(V26)</f>
        <v>0.0222575516693164</v>
      </c>
      <c r="AB76" s="103" t="n">
        <f aca="false">(AB26-W26)/ABS(W26)</f>
        <v>0.052064631956912</v>
      </c>
      <c r="AC76" s="103" t="n">
        <f aca="false">(AC26-X26)/ABS(X26)</f>
        <v>0.0793650793650794</v>
      </c>
      <c r="AD76" s="103" t="n">
        <f aca="false">(AD26-Y26)/ABS(Y26)</f>
        <v>-0.0118043844856661</v>
      </c>
      <c r="AE76" s="103"/>
      <c r="AF76" s="103" t="n">
        <f aca="false">(AF26-AA26)/ABS(AA26)</f>
        <v>-0.0855365474339036</v>
      </c>
      <c r="AG76" s="103" t="n">
        <f aca="false">(AG26-AB26)/ABS(AB26)</f>
        <v>-0.114334470989761</v>
      </c>
      <c r="AH76" s="103" t="n">
        <f aca="false">(AH26-AC26)/ABS(AC26)</f>
        <v>-0.191176470588235</v>
      </c>
      <c r="AI76" s="105" t="n">
        <f aca="false">(AI26-AD26)/ABS(AD26)</f>
        <v>-0.146757679180887</v>
      </c>
      <c r="AJ76" s="103" t="n">
        <f aca="false">(AJ26-AD26)/ABS(AD26)</f>
        <v>-0.180887372013652</v>
      </c>
      <c r="AK76" s="23" t="n">
        <f aca="false">AJ76/AI76-1</f>
        <v>0.232558139534884</v>
      </c>
      <c r="AL76" s="103"/>
      <c r="AM76" s="103" t="n">
        <f aca="false">(AM26-AF26)/ABS(AF26)</f>
        <v>0.00340136054421769</v>
      </c>
      <c r="AN76" s="103" t="n">
        <f aca="false">(AN26-AG26)/ABS(AG26)</f>
        <v>0.0115606936416185</v>
      </c>
      <c r="AO76" s="103" t="n">
        <f aca="false">(AO26-AH26)/ABS(AH26)</f>
        <v>0.0303030303030303</v>
      </c>
      <c r="AP76" s="103" t="n">
        <f aca="false">(AP26-AI26)/ABS(AI26)</f>
        <v>0.02</v>
      </c>
      <c r="AQ76" s="108"/>
    </row>
    <row r="77" s="2" customFormat="true" ht="25.5" hidden="false" customHeight="false" outlineLevel="0" collapsed="false">
      <c r="A77" s="40" t="s">
        <v>50</v>
      </c>
      <c r="B77" s="107" t="s">
        <v>50</v>
      </c>
      <c r="C77" s="107" t="s">
        <v>50</v>
      </c>
      <c r="D77" s="107" t="s">
        <v>50</v>
      </c>
      <c r="E77" s="103" t="e">
        <f aca="false">(E27-D27)/ABS(D27)</f>
        <v>#DIV/0!</v>
      </c>
      <c r="F77" s="103" t="n">
        <f aca="false">(F27-E27)/ABS(E27)</f>
        <v>-1.26923076923077</v>
      </c>
      <c r="G77" s="103" t="n">
        <f aca="false">(G27-F27)/ABS(F27)</f>
        <v>-0.571428571428571</v>
      </c>
      <c r="H77" s="103" t="n">
        <f aca="false">(H27-G27)/ABS(G27)</f>
        <v>4.63636363636364</v>
      </c>
      <c r="I77" s="103" t="n">
        <f aca="false">(I27-H27)/ABS(H27)</f>
        <v>-2.8</v>
      </c>
      <c r="J77" s="103" t="n">
        <f aca="false">(J27-I27)/ABS(I27)</f>
        <v>1.375</v>
      </c>
      <c r="K77" s="103" t="n">
        <f aca="false">(K27-J27)/ABS(J27)</f>
        <v>-2.07407407407407</v>
      </c>
      <c r="L77" s="103" t="n">
        <f aca="false">(L27-J27)/ABS(J27)</f>
        <v>-2.55555555555556</v>
      </c>
      <c r="M77" s="23" t="n">
        <f aca="false">L77/K77-1</f>
        <v>0.232142857142857</v>
      </c>
      <c r="N77" s="103" t="n">
        <f aca="false">(N27-K27)/ABS(K27)</f>
        <v>0.931034482758621</v>
      </c>
      <c r="O77" s="103" t="n">
        <f aca="false">(O27-N27)/ABS(N27)</f>
        <v>11</v>
      </c>
      <c r="P77" s="104"/>
      <c r="Q77" s="104"/>
      <c r="R77" s="104"/>
      <c r="S77" s="104"/>
      <c r="T77" s="104"/>
      <c r="U77" s="104"/>
      <c r="V77" s="103" t="n">
        <f aca="false">(V27-Q27)/ABS(Q27)</f>
        <v>-2.61538461538462</v>
      </c>
      <c r="W77" s="103" t="n">
        <f aca="false">(W27-R27)/ABS(R27)</f>
        <v>-1.61538461538462</v>
      </c>
      <c r="X77" s="103" t="n">
        <f aca="false">(X27-S27)/ABS(S27)</f>
        <v>-2.35714285714286</v>
      </c>
      <c r="Y77" s="103" t="n">
        <f aca="false">(Y27-T27)/ABS(T27)</f>
        <v>-0.230769230769231</v>
      </c>
      <c r="Z77" s="103"/>
      <c r="AA77" s="103" t="n">
        <f aca="false">(AA27-V27)/ABS(V27)</f>
        <v>0.80952380952381</v>
      </c>
      <c r="AB77" s="103" t="n">
        <f aca="false">(AB27-W27)/ABS(W27)</f>
        <v>1.3125</v>
      </c>
      <c r="AC77" s="103" t="n">
        <f aca="false">(AC27-X27)/ABS(X27)</f>
        <v>1.63157894736842</v>
      </c>
      <c r="AD77" s="103" t="n">
        <f aca="false">(AD27-Y27)/ABS(Y27)</f>
        <v>1.875</v>
      </c>
      <c r="AE77" s="103"/>
      <c r="AF77" s="103" t="n">
        <f aca="false">(AF27-AA27)/ABS(AA27)</f>
        <v>0.5</v>
      </c>
      <c r="AG77" s="103" t="n">
        <f aca="false">(AG27-AB27)/ABS(AB27)</f>
        <v>-1.6</v>
      </c>
      <c r="AH77" s="103" t="n">
        <f aca="false">(AH27-AC27)/ABS(AC27)</f>
        <v>-2.16666666666667</v>
      </c>
      <c r="AI77" s="105" t="n">
        <f aca="false">(AI27-AD27)/ABS(AD27)</f>
        <v>-1.71428571428571</v>
      </c>
      <c r="AJ77" s="103" t="n">
        <f aca="false">(AJ27-AD27)/ABS(AD27)</f>
        <v>-2.64285714285714</v>
      </c>
      <c r="AK77" s="23" t="n">
        <f aca="false">AJ77/AI77-1</f>
        <v>0.541666666666667</v>
      </c>
      <c r="AL77" s="103"/>
      <c r="AM77" s="103" t="n">
        <f aca="false">(AM27-AF27)/ABS(AF27)</f>
        <v>1.5</v>
      </c>
      <c r="AN77" s="103" t="n">
        <f aca="false">(AN27-AG27)/ABS(AG27)</f>
        <v>1.66666666666667</v>
      </c>
      <c r="AO77" s="103" t="n">
        <f aca="false">(AO27-AH27)/ABS(AH27)</f>
        <v>0.857142857142857</v>
      </c>
      <c r="AP77" s="103" t="n">
        <f aca="false">(AP27-AI27)/ABS(AI27)</f>
        <v>0.7</v>
      </c>
      <c r="AQ77" s="108"/>
    </row>
    <row r="78" s="2" customFormat="true" ht="25.5" hidden="false" customHeight="false" outlineLevel="0" collapsed="false">
      <c r="A78" s="41" t="s">
        <v>74</v>
      </c>
      <c r="B78" s="12"/>
      <c r="C78" s="12"/>
      <c r="D78" s="12"/>
      <c r="E78" s="14"/>
      <c r="F78" s="14"/>
      <c r="G78" s="14"/>
      <c r="H78" s="14"/>
      <c r="I78" s="14"/>
      <c r="J78" s="14"/>
      <c r="K78" s="24"/>
      <c r="L78" s="24"/>
      <c r="M78" s="2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4"/>
      <c r="Z78" s="16"/>
      <c r="AA78" s="14"/>
      <c r="AB78" s="14"/>
      <c r="AC78" s="14"/>
      <c r="AD78" s="14"/>
      <c r="AE78" s="14"/>
      <c r="AF78" s="14"/>
      <c r="AG78" s="14"/>
      <c r="AH78" s="14"/>
      <c r="AI78" s="25"/>
      <c r="AJ78" s="14"/>
      <c r="AK78" s="23"/>
      <c r="AL78" s="13"/>
      <c r="AM78" s="14"/>
      <c r="AN78" s="14"/>
      <c r="AO78" s="14"/>
      <c r="AP78" s="14"/>
    </row>
    <row r="79" s="2" customFormat="true" ht="25.5" hidden="false" customHeight="false" outlineLevel="0" collapsed="false">
      <c r="A79" s="20" t="s">
        <v>52</v>
      </c>
      <c r="B79" s="12"/>
      <c r="C79" s="12"/>
      <c r="D79" s="12"/>
      <c r="E79" s="103" t="e">
        <f aca="false">E29/D29-1</f>
        <v>#DIV/0!</v>
      </c>
      <c r="F79" s="103" t="n">
        <f aca="false">F29/E29-1</f>
        <v>0.0877492365726604</v>
      </c>
      <c r="G79" s="103" t="n">
        <f aca="false">G29/F29-1</f>
        <v>-0.0378581454875733</v>
      </c>
      <c r="H79" s="103" t="n">
        <f aca="false">H29/G29-1</f>
        <v>0.202360008581849</v>
      </c>
      <c r="I79" s="103" t="n">
        <f aca="false">I29/H29-1</f>
        <v>0.0400413975232861</v>
      </c>
      <c r="J79" s="103" t="n">
        <f aca="false">J29/I29-1</f>
        <v>0.136979720687644</v>
      </c>
      <c r="K79" s="103" t="n">
        <f aca="false">K29/J29-1</f>
        <v>0.0285196921684019</v>
      </c>
      <c r="L79" s="103" t="n">
        <f aca="false">L29/J29-1</f>
        <v>0.008812433982194</v>
      </c>
      <c r="M79" s="23" t="n">
        <f aca="false">L79/K79-1</f>
        <v>-0.691005291005292</v>
      </c>
      <c r="N79" s="103" t="n">
        <f aca="false">N29/K29-1</f>
        <v>0.0531103286384977</v>
      </c>
      <c r="O79" s="103" t="n">
        <f aca="false">O29/N29-1</f>
        <v>0.0615770409584842</v>
      </c>
      <c r="P79" s="14"/>
      <c r="Q79" s="14"/>
      <c r="R79" s="14"/>
      <c r="S79" s="14"/>
      <c r="T79" s="14"/>
      <c r="U79" s="14"/>
      <c r="V79" s="103" t="n">
        <f aca="false">V29/Q29-1</f>
        <v>0.140366430260047</v>
      </c>
      <c r="W79" s="103" t="n">
        <f aca="false">W29/R29-1</f>
        <v>-0.00308778120864583</v>
      </c>
      <c r="X79" s="103" t="n">
        <f aca="false">X29/S29-1</f>
        <v>0.0238278247501922</v>
      </c>
      <c r="Y79" s="103" t="n">
        <f aca="false">Y29/T29-1</f>
        <v>0.00478167862086321</v>
      </c>
      <c r="Z79" s="103"/>
      <c r="AA79" s="103" t="n">
        <f aca="false">AA29/V29-1</f>
        <v>0.0513086291785436</v>
      </c>
      <c r="AB79" s="103" t="n">
        <f aca="false">AB29/W29-1</f>
        <v>0.254277286135693</v>
      </c>
      <c r="AC79" s="103" t="n">
        <f aca="false">AC29/X29-1</f>
        <v>0.196696696696697</v>
      </c>
      <c r="AD79" s="103" t="n">
        <f aca="false">AD29/Y29-1</f>
        <v>0.0703819661865999</v>
      </c>
      <c r="AE79" s="103"/>
      <c r="AF79" s="103" t="n">
        <f aca="false">AF29/AA29-1</f>
        <v>0.0378358392901159</v>
      </c>
      <c r="AG79" s="103" t="n">
        <f aca="false">AG29/AB29-1</f>
        <v>0.0121119473189089</v>
      </c>
      <c r="AH79" s="103" t="n">
        <f aca="false">AH29/AC29-1</f>
        <v>0.024090338770389</v>
      </c>
      <c r="AI79" s="105" t="n">
        <f aca="false">AI29/AD29-1</f>
        <v>0.0401310401310402</v>
      </c>
      <c r="AJ79" s="103" t="n">
        <f aca="false">AJ29/AD29-1</f>
        <v>-0.0362700362700362</v>
      </c>
      <c r="AK79" s="23" t="n">
        <f aca="false">AJ79/AI79-1</f>
        <v>-1.90379008746355</v>
      </c>
      <c r="AL79" s="103"/>
      <c r="AM79" s="103" t="n">
        <f aca="false">AM29/AF29-1</f>
        <v>0.0663816648854056</v>
      </c>
      <c r="AN79" s="103" t="n">
        <f aca="false">AN29/AG29-1</f>
        <v>0.0607644940164982</v>
      </c>
      <c r="AO79" s="103" t="n">
        <f aca="false">AO29/AH29-1</f>
        <v>0.0426366086743446</v>
      </c>
      <c r="AP79" s="103" t="n">
        <f aca="false">AP29/AI29-1</f>
        <v>0.0427446569178853</v>
      </c>
    </row>
    <row r="80" s="2" customFormat="true" ht="25.5" hidden="false" customHeight="false" outlineLevel="0" collapsed="false">
      <c r="A80" s="20" t="s">
        <v>41</v>
      </c>
      <c r="B80" s="12"/>
      <c r="C80" s="12"/>
      <c r="D80" s="12"/>
      <c r="E80" s="103" t="e">
        <f aca="false">E30/D30-1</f>
        <v>#DIV/0!</v>
      </c>
      <c r="F80" s="103" t="n">
        <f aca="false">F30/E30-1</f>
        <v>0.0761203764092053</v>
      </c>
      <c r="G80" s="103" t="n">
        <f aca="false">G30/F30-1</f>
        <v>-0.0516883116883117</v>
      </c>
      <c r="H80" s="103" t="n">
        <f aca="false">H30/G30-1</f>
        <v>0.174564046379987</v>
      </c>
      <c r="I80" s="103" t="n">
        <f aca="false">I30/H30-1</f>
        <v>0.0545666537116207</v>
      </c>
      <c r="J80" s="103" t="n">
        <f aca="false">J30/I30-1</f>
        <v>0.0203434805041645</v>
      </c>
      <c r="K80" s="103" t="n">
        <f aca="false">K30/J30-1</f>
        <v>-0.0152423607599509</v>
      </c>
      <c r="L80" s="103" t="n">
        <f aca="false">L30/J30-1</f>
        <v>-0.00491223000794627</v>
      </c>
      <c r="M80" s="23" t="n">
        <f aca="false">L80/K80-1</f>
        <v>-0.677725118483411</v>
      </c>
      <c r="N80" s="103" t="n">
        <f aca="false">N30/K30-1</f>
        <v>0.028462441314554</v>
      </c>
      <c r="O80" s="103" t="n">
        <f aca="false">O30/N30-1</f>
        <v>0.050641940085592</v>
      </c>
      <c r="P80" s="14"/>
      <c r="Q80" s="14"/>
      <c r="R80" s="14"/>
      <c r="S80" s="14"/>
      <c r="T80" s="14"/>
      <c r="U80" s="14"/>
      <c r="V80" s="103" t="n">
        <f aca="false">V30/Q30-1</f>
        <v>0.2</v>
      </c>
      <c r="W80" s="103" t="n">
        <f aca="false">W30/R30-1</f>
        <v>0.0175732217573221</v>
      </c>
      <c r="X80" s="103" t="n">
        <f aca="false">X30/S30-1</f>
        <v>0.0896830748482804</v>
      </c>
      <c r="Y80" s="103" t="n">
        <f aca="false">Y30/T30-1</f>
        <v>-0.0587380052340797</v>
      </c>
      <c r="Z80" s="103"/>
      <c r="AA80" s="103" t="n">
        <f aca="false">AA30/V30-1</f>
        <v>-0.00463768115942032</v>
      </c>
      <c r="AB80" s="103" t="n">
        <f aca="false">AB30/W30-1</f>
        <v>0.0400219298245614</v>
      </c>
      <c r="AC80" s="103" t="n">
        <f aca="false">AC30/X30-1</f>
        <v>0.0461014851485149</v>
      </c>
      <c r="AD80" s="103" t="n">
        <f aca="false">AD30/Y30-1</f>
        <v>-0.000926784059314234</v>
      </c>
      <c r="AE80" s="103"/>
      <c r="AF80" s="103" t="n">
        <f aca="false">AF30/AA30-1</f>
        <v>-0.0133954571927781</v>
      </c>
      <c r="AG80" s="103" t="n">
        <f aca="false">AG30/AB30-1</f>
        <v>-0.00527148128624144</v>
      </c>
      <c r="AH80" s="103" t="n">
        <f aca="false">AH30/AC30-1</f>
        <v>-0.0269151138716356</v>
      </c>
      <c r="AI80" s="105" t="n">
        <f aca="false">AI30/AD30-1</f>
        <v>-0.0166975881261595</v>
      </c>
      <c r="AJ80" s="103" t="n">
        <f aca="false">AJ30/AD30-1</f>
        <v>0.0275200989486704</v>
      </c>
      <c r="AK80" s="23" t="n">
        <f aca="false">AJ80/AI80-1</f>
        <v>-2.64814814814815</v>
      </c>
      <c r="AL80" s="103"/>
      <c r="AM80" s="103" t="n">
        <f aca="false">AM30/AF30-1</f>
        <v>0.0153482880755609</v>
      </c>
      <c r="AN80" s="103" t="n">
        <f aca="false">AN30/AG30-1</f>
        <v>0.0386857445680975</v>
      </c>
      <c r="AO80" s="103" t="n">
        <f aca="false">AO30/AH30-1</f>
        <v>0.0243161094224924</v>
      </c>
      <c r="AP80" s="103" t="n">
        <f aca="false">AP30/AI30-1</f>
        <v>0.0345911949685536</v>
      </c>
    </row>
    <row r="81" s="2" customFormat="true" ht="25.5" hidden="false" customHeight="false" outlineLevel="0" collapsed="false">
      <c r="A81" s="20" t="s">
        <v>42</v>
      </c>
      <c r="B81" s="12"/>
      <c r="C81" s="12"/>
      <c r="D81" s="12"/>
      <c r="E81" s="103" t="e">
        <f aca="false">E31/D31-1</f>
        <v>#DIV/0!</v>
      </c>
      <c r="F81" s="103" t="n">
        <f aca="false">F31/E31-1</f>
        <v>0.00573065902578795</v>
      </c>
      <c r="G81" s="103" t="n">
        <f aca="false">G31/F31-1</f>
        <v>-0.0883190883190883</v>
      </c>
      <c r="H81" s="103" t="n">
        <f aca="false">H31/G31-1</f>
        <v>0.0796874999999999</v>
      </c>
      <c r="I81" s="103" t="n">
        <f aca="false">I31/H31-1</f>
        <v>0.175108538350217</v>
      </c>
      <c r="J81" s="103" t="n">
        <f aca="false">J31/I31-1</f>
        <v>0.0634236453201971</v>
      </c>
      <c r="K81" s="103" t="n">
        <f aca="false">K31/J31-1</f>
        <v>0.157498552403011</v>
      </c>
      <c r="L81" s="103" t="n">
        <f aca="false">L31/J31-1</f>
        <v>0.201505500868558</v>
      </c>
      <c r="M81" s="23" t="n">
        <f aca="false">L81/K81-1</f>
        <v>0.279411764705882</v>
      </c>
      <c r="N81" s="103" t="n">
        <f aca="false">N31/K31-1</f>
        <v>0.165582791395698</v>
      </c>
      <c r="O81" s="103" t="n">
        <f aca="false">O31/N31-1</f>
        <v>0.0987124463519313</v>
      </c>
      <c r="P81" s="14"/>
      <c r="Q81" s="14"/>
      <c r="R81" s="14"/>
      <c r="S81" s="14"/>
      <c r="T81" s="14"/>
      <c r="U81" s="14"/>
      <c r="V81" s="103" t="n">
        <f aca="false">V31/Q31-1</f>
        <v>0.253369272237197</v>
      </c>
      <c r="W81" s="103" t="n">
        <f aca="false">W31/R31-1</f>
        <v>0.100864553314121</v>
      </c>
      <c r="X81" s="103" t="n">
        <f aca="false">X31/S31-1</f>
        <v>0.317567567567568</v>
      </c>
      <c r="Y81" s="103" t="n">
        <f aca="false">Y31/T31-1</f>
        <v>0.0516304347826087</v>
      </c>
      <c r="Z81" s="103"/>
      <c r="AA81" s="103" t="n">
        <f aca="false">AA31/V31-1</f>
        <v>0.0451612903225807</v>
      </c>
      <c r="AB81" s="103" t="n">
        <f aca="false">AB31/W31-1</f>
        <v>0.0680628272251309</v>
      </c>
      <c r="AC81" s="103" t="n">
        <f aca="false">AC31/X31-1</f>
        <v>0.0333333333333334</v>
      </c>
      <c r="AD81" s="103" t="n">
        <f aca="false">AD31/Y31-1</f>
        <v>0.111111111111111</v>
      </c>
      <c r="AE81" s="103"/>
      <c r="AF81" s="103" t="n">
        <f aca="false">AF31/AA31-1</f>
        <v>0.0925925925925926</v>
      </c>
      <c r="AG81" s="103" t="n">
        <f aca="false">AG31/AB31-1</f>
        <v>0.174019607843137</v>
      </c>
      <c r="AH81" s="103" t="n">
        <f aca="false">AH31/AC31-1</f>
        <v>0.208436724565757</v>
      </c>
      <c r="AI81" s="105" t="n">
        <f aca="false">AI31/AD31-1</f>
        <v>0.167441860465116</v>
      </c>
      <c r="AJ81" s="103" t="n">
        <f aca="false">AJ31/AD31-1</f>
        <v>0.344186046511628</v>
      </c>
      <c r="AK81" s="23" t="n">
        <f aca="false">AJ81/AI81-1</f>
        <v>1.05555555555556</v>
      </c>
      <c r="AL81" s="103"/>
      <c r="AM81" s="103" t="n">
        <f aca="false">AM31/AF31-1</f>
        <v>0.120527306967985</v>
      </c>
      <c r="AN81" s="103" t="n">
        <f aca="false">AN31/AG31-1</f>
        <v>0.175365344467641</v>
      </c>
      <c r="AO81" s="103" t="n">
        <f aca="false">AO31/AH31-1</f>
        <v>0.209445585215606</v>
      </c>
      <c r="AP81" s="103" t="n">
        <f aca="false">AP31/AI31-1</f>
        <v>0.161354581673307</v>
      </c>
    </row>
    <row r="82" s="2" customFormat="true" ht="25.5" hidden="false" customHeight="false" outlineLevel="0" collapsed="false">
      <c r="A82" s="111" t="s">
        <v>53</v>
      </c>
      <c r="B82" s="55"/>
      <c r="C82" s="112" t="n">
        <f aca="false">(C32-B32)/ABS(B32)</f>
        <v>0.0580046403712297</v>
      </c>
      <c r="D82" s="112" t="n">
        <f aca="false">(D32-C32)/ABS(C32)</f>
        <v>0.0609710896960712</v>
      </c>
      <c r="E82" s="103" t="n">
        <f aca="false">(E32-D32)/ABS(D32)</f>
        <v>0.0595924308588064</v>
      </c>
      <c r="F82" s="103" t="n">
        <f aca="false">(F32-E32)/ABS(E32)</f>
        <v>0.0747314339093881</v>
      </c>
      <c r="G82" s="103" t="n">
        <f aca="false">(G32-F32)/ABS(F32)</f>
        <v>-0.0438172661502671</v>
      </c>
      <c r="H82" s="103" t="n">
        <f aca="false">(H32-G32)/ABS(G32)</f>
        <v>0.190760099457263</v>
      </c>
      <c r="I82" s="103" t="n">
        <f aca="false">(I32-H32)/ABS(H32)</f>
        <v>0.0487673447393237</v>
      </c>
      <c r="J82" s="103" t="n">
        <f aca="false">(J32-I32)/ABS(I32)</f>
        <v>0.0964889745236566</v>
      </c>
      <c r="K82" s="103" t="n">
        <f aca="false">(K32-J32)/ABS(J32)</f>
        <v>0.0119491575062967</v>
      </c>
      <c r="L82" s="103" t="n">
        <f aca="false">L32/J32-1</f>
        <v>0.00283109123923708</v>
      </c>
      <c r="M82" s="23" t="n">
        <f aca="false">L82/K82-1</f>
        <v>-0.763071895424827</v>
      </c>
      <c r="N82" s="103" t="n">
        <f aca="false">(N32-K32)/ABS(K32)</f>
        <v>0.0501649655598217</v>
      </c>
      <c r="O82" s="103" t="n">
        <f aca="false">(O32-N32)/ABS(N32)</f>
        <v>0.0613827187712433</v>
      </c>
      <c r="P82" s="104"/>
      <c r="Q82" s="104"/>
      <c r="R82" s="104"/>
      <c r="S82" s="104"/>
      <c r="T82" s="104"/>
      <c r="U82" s="104"/>
      <c r="V82" s="103" t="n">
        <f aca="false">(V32-Q32)/ABS(Q32)</f>
        <v>0.156126109118369</v>
      </c>
      <c r="W82" s="103" t="n">
        <f aca="false">(W32-R32)/ABS(R32)</f>
        <v>0.0101396424441875</v>
      </c>
      <c r="X82" s="103" t="n">
        <f aca="false">(X32-S32)/ABS(S32)</f>
        <v>0.0496282707347688</v>
      </c>
      <c r="Y82" s="103" t="n">
        <f aca="false">(Y32-T32)/ABS(T32)</f>
        <v>-0.00891121192482178</v>
      </c>
      <c r="Z82" s="103"/>
      <c r="AA82" s="103" t="n">
        <f aca="false">(AA32-V32)/ABS(V32)</f>
        <v>0.035842586544742</v>
      </c>
      <c r="AB82" s="103" t="n">
        <f aca="false">(AB32-W32)/ABS(W32)</f>
        <v>0.172404684335652</v>
      </c>
      <c r="AC82" s="103" t="n">
        <f aca="false">(AC32-X32)/ABS(X32)</f>
        <v>0.139729555698648</v>
      </c>
      <c r="AD82" s="103" t="n">
        <f aca="false">(AD32-Y32)/ABS(Y32)</f>
        <v>0.0483079941147621</v>
      </c>
      <c r="AE82" s="103"/>
      <c r="AF82" s="103" t="n">
        <f aca="false">(AF32-AA32)/ABS(AA32)</f>
        <v>0.0198628517379995</v>
      </c>
      <c r="AG82" s="103" t="n">
        <f aca="false">(AG32-AB32)/ABS(AB32)</f>
        <v>0.00548253849042433</v>
      </c>
      <c r="AH82" s="103" t="n">
        <f aca="false">(AH32-AC32)/ABS(AC32)</f>
        <v>0.00314769975786925</v>
      </c>
      <c r="AI82" s="105" t="n">
        <f aca="false">(AI32-AD32)/ABS(AD32)</f>
        <v>0.0193372319688109</v>
      </c>
      <c r="AJ82" s="103" t="n">
        <f aca="false">AJ32/AD32-1</f>
        <v>-0.0170760233918129</v>
      </c>
      <c r="AK82" s="23" t="n">
        <f aca="false">AJ82/AI82-1</f>
        <v>-1.88306451612903</v>
      </c>
      <c r="AL82" s="103"/>
      <c r="AM82" s="103" t="n">
        <f aca="false">(AM32-AF32)/ABS(AF32)</f>
        <v>0.0526315789473684</v>
      </c>
      <c r="AN82" s="103" t="n">
        <f aca="false">(AN32-AG32)/ABS(AG32)</f>
        <v>0.0572901105467583</v>
      </c>
      <c r="AO82" s="103" t="n">
        <f aca="false">(AO32-AH32)/ABS(AH32)</f>
        <v>0.0449754606163006</v>
      </c>
      <c r="AP82" s="103" t="n">
        <f aca="false">(AP32-AI32)/ABS(AI32)</f>
        <v>0.0453606670236365</v>
      </c>
    </row>
    <row r="83" s="2" customFormat="true" ht="25.5" hidden="false" customHeight="false" outlineLevel="0" collapsed="false">
      <c r="A83" s="111" t="s">
        <v>54</v>
      </c>
      <c r="B83" s="99"/>
      <c r="C83" s="112" t="n">
        <f aca="false">(C33-B33)/ABS(B33)</f>
        <v>0.0526793274464739</v>
      </c>
      <c r="D83" s="112" t="n">
        <f aca="false">(D33-C33)/ABS(C33)</f>
        <v>0.0938236139040506</v>
      </c>
      <c r="E83" s="103" t="n">
        <f aca="false">(E33-D33)/ABS(D33)</f>
        <v>0.0736947158314949</v>
      </c>
      <c r="F83" s="103" t="n">
        <f aca="false">(F33-E33)/ABS(E33)</f>
        <v>0.0588033853529671</v>
      </c>
      <c r="G83" s="103" t="n">
        <f aca="false">(G33-F33)/ABS(F33)</f>
        <v>-0.0222242757473548</v>
      </c>
      <c r="H83" s="103" t="n">
        <f aca="false">(H33-G33)/ABS(G33)</f>
        <v>0.161326906719592</v>
      </c>
      <c r="I83" s="103" t="n">
        <f aca="false">(I33-H33)/ABS(H33)</f>
        <v>0.0266520182291667</v>
      </c>
      <c r="J83" s="103" t="n">
        <f aca="false">(J33-I33)/ABS(I33)</f>
        <v>0.146407197495145</v>
      </c>
      <c r="K83" s="103" t="n">
        <f aca="false">(K33-J33)/ABS(J33)</f>
        <v>-0.00421780466724287</v>
      </c>
      <c r="L83" s="103" t="n">
        <f aca="false">L33/J33-1</f>
        <v>-0.0155574762316335</v>
      </c>
      <c r="M83" s="23" t="n">
        <f aca="false">L83/K83-1</f>
        <v>2.68852459016393</v>
      </c>
      <c r="N83" s="103" t="n">
        <f aca="false">(N33-K33)/ABS(K33)</f>
        <v>0.0224629378884144</v>
      </c>
      <c r="O83" s="103" t="n">
        <f aca="false">(O33-N33)/ABS(N33)</f>
        <v>0.0696095076400679</v>
      </c>
      <c r="P83" s="104"/>
      <c r="Q83" s="104"/>
      <c r="R83" s="104"/>
      <c r="S83" s="104"/>
      <c r="T83" s="104"/>
      <c r="U83" s="104"/>
      <c r="V83" s="103" t="n">
        <f aca="false">(V33-Q33)/ABS(Q33)</f>
        <v>0.119425935417735</v>
      </c>
      <c r="W83" s="103" t="n">
        <f aca="false">(W33-R33)/ABS(R33)</f>
        <v>-0.0393996247654784</v>
      </c>
      <c r="X83" s="103" t="n">
        <f aca="false">(X33-S33)/ABS(S33)</f>
        <v>0.0294430649166371</v>
      </c>
      <c r="Y83" s="103" t="n">
        <f aca="false">(Y33-T33)/ABS(T33)</f>
        <v>0.00627896546568994</v>
      </c>
      <c r="Z83" s="103"/>
      <c r="AA83" s="103" t="n">
        <f aca="false">(AA33-V33)/ABS(V33)</f>
        <v>0.0793650793650794</v>
      </c>
      <c r="AB83" s="103" t="n">
        <f aca="false">(AB33-W33)/ABS(W33)</f>
        <v>0.237630208333333</v>
      </c>
      <c r="AC83" s="103" t="n">
        <f aca="false">(AC33-X33)/ABS(X33)</f>
        <v>0.20933838731909</v>
      </c>
      <c r="AD83" s="103" t="n">
        <f aca="false">(AD33-Y33)/ABS(Y33)</f>
        <v>0.0741346010993909</v>
      </c>
      <c r="AE83" s="103"/>
      <c r="AF83" s="103" t="n">
        <f aca="false">(AF33-AA33)/ABS(AA33)</f>
        <v>0.0207861990950226</v>
      </c>
      <c r="AG83" s="103" t="n">
        <f aca="false">(AG33-AB33)/ABS(AB33)</f>
        <v>-0.0245923198316675</v>
      </c>
      <c r="AH83" s="103" t="n">
        <f aca="false">(AH33-AC33)/ABS(AC33)</f>
        <v>-0.0216555064824049</v>
      </c>
      <c r="AI83" s="105" t="n">
        <f aca="false">(AI33-AD33)/ABS(AD33)</f>
        <v>0.00968188105117566</v>
      </c>
      <c r="AJ83" s="103" t="n">
        <f aca="false">AJ33/AD33-1</f>
        <v>-0.0356846473029046</v>
      </c>
      <c r="AK83" s="23" t="n">
        <f aca="false">AJ83/AI83-1</f>
        <v>-4.68571428571428</v>
      </c>
      <c r="AL83" s="103"/>
      <c r="AM83" s="103" t="n">
        <f aca="false">(AM33-AF33)/ABS(AF33)</f>
        <v>0.0181465576949716</v>
      </c>
      <c r="AN83" s="103" t="n">
        <f aca="false">(AN33-AG33)/ABS(AG33)</f>
        <v>0.0111905082917622</v>
      </c>
      <c r="AO83" s="103" t="n">
        <f aca="false">(AO33-AH33)/ABS(AH33)</f>
        <v>0.0339303917285569</v>
      </c>
      <c r="AP83" s="103" t="n">
        <f aca="false">(AP33-AI33)/ABS(AI33)</f>
        <v>0.0273972602739726</v>
      </c>
    </row>
    <row r="84" s="2" customFormat="true" ht="25.5" hidden="false" customHeight="false" outlineLevel="0" collapsed="false">
      <c r="A84" s="111" t="s">
        <v>55</v>
      </c>
      <c r="B84" s="55"/>
      <c r="C84" s="112" t="n">
        <f aca="false">(C34-B34)/ABS(B34)</f>
        <v>0.0642638800028435</v>
      </c>
      <c r="D84" s="112" t="n">
        <f aca="false">(D34-C34)/ABS(C34)</f>
        <v>0.0227773695811903</v>
      </c>
      <c r="E84" s="103" t="n">
        <f aca="false">(E34-D34)/ABS(D34)</f>
        <v>0.0420585161964472</v>
      </c>
      <c r="F84" s="103" t="n">
        <f aca="false">(F34-E34)/ABS(E34)</f>
        <v>0.095136625720732</v>
      </c>
      <c r="G84" s="103" t="n">
        <f aca="false">(G34-F34)/ABS(F34)</f>
        <v>-0.070561977795582</v>
      </c>
      <c r="H84" s="103" t="n">
        <f aca="false">(H34-G34)/ABS(G34)</f>
        <v>0.229111507912074</v>
      </c>
      <c r="I84" s="103" t="n">
        <f aca="false">(I34-H34)/ABS(H34)</f>
        <v>0.0759943893397455</v>
      </c>
      <c r="J84" s="103" t="n">
        <f aca="false">(J34-I34)/ABS(I34)</f>
        <v>0.0378509241584804</v>
      </c>
      <c r="K84" s="103" t="n">
        <f aca="false">(K34-J34)/ABS(J34)</f>
        <v>0.0329266104432083</v>
      </c>
      <c r="L84" s="103" t="n">
        <f aca="false">L34/J34-1</f>
        <v>0.0266911896644537</v>
      </c>
      <c r="M84" s="23" t="n">
        <f aca="false">L84/K84-1</f>
        <v>-0.189373297002722</v>
      </c>
      <c r="N84" s="103" t="n">
        <f aca="false">(N34-K34)/ABS(K34)</f>
        <v>0.0848171632068097</v>
      </c>
      <c r="O84" s="103" t="n">
        <f aca="false">(O34-N34)/ABS(N34)</f>
        <v>0.051683414067817</v>
      </c>
      <c r="P84" s="104"/>
      <c r="Q84" s="104"/>
      <c r="R84" s="104"/>
      <c r="S84" s="104"/>
      <c r="T84" s="104"/>
      <c r="U84" s="104"/>
      <c r="V84" s="103" t="n">
        <f aca="false">(V34-Q34)/ABS(Q34)</f>
        <v>0.201434296561907</v>
      </c>
      <c r="W84" s="103" t="n">
        <f aca="false">(W34-R34)/ABS(R34)</f>
        <v>0.0755106251289457</v>
      </c>
      <c r="X84" s="103" t="n">
        <f aca="false">(X34-S34)/ABS(S34)</f>
        <v>0.073744437380801</v>
      </c>
      <c r="Y84" s="103" t="n">
        <f aca="false">(Y34-T34)/ABS(T34)</f>
        <v>-0.0268788682581786</v>
      </c>
      <c r="Z84" s="103"/>
      <c r="AA84" s="103" t="n">
        <f aca="false">(AA34-V34)/ABS(V34)</f>
        <v>-0.0142205056179775</v>
      </c>
      <c r="AB84" s="103" t="n">
        <f aca="false">(AB34-W34)/ABS(W34)</f>
        <v>0.0955304047573374</v>
      </c>
      <c r="AC84" s="103" t="n">
        <f aca="false">(AC34-X34)/ABS(X34)</f>
        <v>0.0599960528912572</v>
      </c>
      <c r="AD84" s="103" t="n">
        <f aca="false">(AD34-Y34)/ABS(Y34)</f>
        <v>0.0167181537343267</v>
      </c>
      <c r="AE84" s="103"/>
      <c r="AF84" s="103" t="n">
        <f aca="false">(AF34-AA34)/ABS(AA34)</f>
        <v>0.018699910952805</v>
      </c>
      <c r="AG84" s="103" t="n">
        <f aca="false">(AG34-AB34)/ABS(AB34)</f>
        <v>0.0455261775520925</v>
      </c>
      <c r="AH84" s="103" t="n">
        <f aca="false">(AH34-AC34)/ABS(AC34)</f>
        <v>0.035561347979892</v>
      </c>
      <c r="AI84" s="105" t="n">
        <f aca="false">(AI34-AD34)/ABS(AD34)</f>
        <v>0.0318141197497766</v>
      </c>
      <c r="AJ84" s="103" t="n">
        <f aca="false">AJ34/AD34-1</f>
        <v>0.00697050938337807</v>
      </c>
      <c r="AK84" s="23" t="n">
        <f aca="false">AJ84/AI84-1</f>
        <v>-0.780898876404493</v>
      </c>
      <c r="AL84" s="103"/>
      <c r="AM84" s="103" t="n">
        <f aca="false">(AM34-AF34)/ABS(AF34)</f>
        <v>0.0961538461538462</v>
      </c>
      <c r="AN84" s="103" t="n">
        <f aca="false">(AN34-AG34)/ABS(AG34)</f>
        <v>0.114553676101156</v>
      </c>
      <c r="AO84" s="103" t="n">
        <f aca="false">(AO34-AH34)/ABS(AH34)</f>
        <v>0.0586120100683208</v>
      </c>
      <c r="AP84" s="103" t="n">
        <f aca="false">(AP34-AI34)/ABS(AI34)</f>
        <v>0.0680755239909926</v>
      </c>
    </row>
    <row r="85" s="2" customFormat="true" ht="25.5" hidden="false" customHeight="false" outlineLevel="0" collapsed="false">
      <c r="A85" s="111" t="s">
        <v>56</v>
      </c>
      <c r="B85" s="55"/>
      <c r="C85" s="112" t="n">
        <f aca="false">(C35-B35)/ABS(B35)</f>
        <v>0.0202303143479614</v>
      </c>
      <c r="D85" s="112" t="n">
        <f aca="false">(D35-C35)/ABS(C35)</f>
        <v>0.0192190359975595</v>
      </c>
      <c r="E85" s="103" t="n">
        <f aca="false">(E35-D35)/ABS(D35)</f>
        <v>0.0706375336725531</v>
      </c>
      <c r="F85" s="103" t="n">
        <f aca="false">(F35-E35)/ABS(E35)</f>
        <v>0.049203242941012</v>
      </c>
      <c r="G85" s="103" t="n">
        <f aca="false">(G35-F35)/ABS(F35)</f>
        <v>-0.0428990141220357</v>
      </c>
      <c r="H85" s="103" t="n">
        <f aca="false">(H35-G35)/ABS(G35)</f>
        <v>-0.133073496659243</v>
      </c>
      <c r="I85" s="103" t="n">
        <f aca="false">(I35-H35)/ABS(H35)</f>
        <v>0.236351958895312</v>
      </c>
      <c r="J85" s="103" t="n">
        <f aca="false">(J35-I35)/ABS(I35)</f>
        <v>0.0545454545454545</v>
      </c>
      <c r="K85" s="103" t="n">
        <f aca="false">(K35-J35)/ABS(J35)</f>
        <v>0.0699507389162562</v>
      </c>
      <c r="L85" s="103" t="n">
        <f aca="false">L35/J35-1</f>
        <v>0.0554187192118227</v>
      </c>
      <c r="M85" s="23" t="n">
        <f aca="false">L85/K85-1</f>
        <v>-0.207746478873238</v>
      </c>
      <c r="N85" s="103" t="n">
        <f aca="false">(N35-K35)/ABS(K35)</f>
        <v>0.0865561694290976</v>
      </c>
      <c r="O85" s="103" t="n">
        <f aca="false">(O35-N35)/ABS(N35)</f>
        <v>0.0805084745762712</v>
      </c>
      <c r="P85" s="104"/>
      <c r="Q85" s="104"/>
      <c r="R85" s="104"/>
      <c r="S85" s="104"/>
      <c r="T85" s="104"/>
      <c r="U85" s="104"/>
      <c r="V85" s="103" t="n">
        <f aca="false">(V35-Q35)/ABS(Q35)</f>
        <v>0.355982274741507</v>
      </c>
      <c r="W85" s="103" t="n">
        <f aca="false">(W35-R35)/ABS(R35)</f>
        <v>0.395061728395062</v>
      </c>
      <c r="X85" s="103" t="n">
        <f aca="false">(X35-S35)/ABS(S35)</f>
        <v>0.20112517580872</v>
      </c>
      <c r="Y85" s="103" t="n">
        <f aca="false">(Y35-T35)/ABS(T35)</f>
        <v>0.0641925777331996</v>
      </c>
      <c r="Z85" s="103"/>
      <c r="AA85" s="103" t="n">
        <f aca="false">(AA35-V35)/ABS(V35)</f>
        <v>0.0272331154684096</v>
      </c>
      <c r="AB85" s="103" t="n">
        <f aca="false">(AB35-W35)/ABS(W35)</f>
        <v>0.0835791543756146</v>
      </c>
      <c r="AC85" s="103" t="n">
        <f aca="false">(AC35-X35)/ABS(X35)</f>
        <v>0.0807962529274005</v>
      </c>
      <c r="AD85" s="103" t="n">
        <f aca="false">(AD35-Y35)/ABS(Y35)</f>
        <v>0.0292177191328935</v>
      </c>
      <c r="AE85" s="103"/>
      <c r="AF85" s="103" t="n">
        <f aca="false">(AF35-AA35)/ABS(AA35)</f>
        <v>0.133616118769883</v>
      </c>
      <c r="AG85" s="103" t="n">
        <f aca="false">(AG35-AB35)/ABS(AB35)</f>
        <v>0.0108892921960073</v>
      </c>
      <c r="AH85" s="103" t="n">
        <f aca="false">(AH35-AC35)/ABS(AC35)</f>
        <v>0.09534127843987</v>
      </c>
      <c r="AI85" s="105" t="n">
        <f aca="false">(AI35-AD35)/ABS(AD35)</f>
        <v>0.0531135531135531</v>
      </c>
      <c r="AJ85" s="103" t="n">
        <f aca="false">AJ35/AD35-1</f>
        <v>-0.000915750915750913</v>
      </c>
      <c r="AK85" s="23" t="n">
        <f aca="false">AJ85/AI85-1</f>
        <v>-1.01724137931034</v>
      </c>
      <c r="AL85" s="103"/>
      <c r="AM85" s="103" t="n">
        <f aca="false">(AM35-AF35)/ABS(AF35)</f>
        <v>0.122544434050515</v>
      </c>
      <c r="AN85" s="103" t="n">
        <f aca="false">(AN35-AG35)/ABS(AG35)</f>
        <v>0.0771992818671454</v>
      </c>
      <c r="AO85" s="103" t="n">
        <f aca="false">(AO35-AH35)/ABS(AH35)</f>
        <v>0.0880316518298714</v>
      </c>
      <c r="AP85" s="103" t="n">
        <f aca="false">(AP35-AI35)/ABS(AI35)</f>
        <v>0.0608695652173913</v>
      </c>
    </row>
    <row r="86" s="2" customFormat="true" ht="25.5" hidden="false" customHeight="false" outlineLevel="0" collapsed="false">
      <c r="A86" s="111" t="s">
        <v>57</v>
      </c>
      <c r="B86" s="55"/>
      <c r="C86" s="112" t="n">
        <f aca="false">(C36-B36)/ABS(B36)</f>
        <v>0.0766581823626291</v>
      </c>
      <c r="D86" s="112" t="n">
        <f aca="false">(D36-C36)/ABS(C36)</f>
        <v>0.00431094423585037</v>
      </c>
      <c r="E86" s="103" t="n">
        <f aca="false">(E36-D36)/ABS(D36)</f>
        <v>0.0985876488507339</v>
      </c>
      <c r="F86" s="103" t="n">
        <f aca="false">(F36-E36)/ABS(E36)</f>
        <v>0.127930426014621</v>
      </c>
      <c r="G86" s="103" t="n">
        <f aca="false">(G36-F36)/ABS(F36)</f>
        <v>0.0653704324505531</v>
      </c>
      <c r="H86" s="103" t="n">
        <f aca="false">(H36-G36)/ABS(G36)</f>
        <v>0.039542689322425</v>
      </c>
      <c r="I86" s="103" t="n">
        <f aca="false">(I36-H36)/ABS(H36)</f>
        <v>0.105236605791545</v>
      </c>
      <c r="J86" s="103" t="n">
        <f aca="false">(J36-I36)/ABS(I36)</f>
        <v>0.124429432170896</v>
      </c>
      <c r="K86" s="103" t="n">
        <f aca="false">(K36-J36)/ABS(J36)</f>
        <v>0.0330437606560039</v>
      </c>
      <c r="L86" s="103" t="n">
        <f aca="false">L36/J36-1</f>
        <v>-0.00211090362913047</v>
      </c>
      <c r="M86" s="23" t="n">
        <f aca="false">L86/K86-1</f>
        <v>-1.06388206388206</v>
      </c>
      <c r="N86" s="103" t="n">
        <f aca="false">(N36-K36)/ABS(K36)</f>
        <v>0.0374096196164728</v>
      </c>
      <c r="O86" s="103" t="n">
        <f aca="false">(O36-N36)/ABS(N36)</f>
        <v>0.0378787878787879</v>
      </c>
      <c r="P86" s="104"/>
      <c r="Q86" s="104"/>
      <c r="R86" s="104"/>
      <c r="S86" s="104"/>
      <c r="T86" s="104"/>
      <c r="U86" s="104"/>
      <c r="V86" s="103" t="n">
        <f aca="false">(V36-Q36)/ABS(Q36)</f>
        <v>0.154917319408181</v>
      </c>
      <c r="W86" s="103" t="n">
        <f aca="false">(W36-R36)/ABS(R36)</f>
        <v>0.0803782505910166</v>
      </c>
      <c r="X86" s="103" t="n">
        <f aca="false">(X36-S36)/ABS(S36)</f>
        <v>0.109012875536481</v>
      </c>
      <c r="Y86" s="103" t="n">
        <f aca="false">(Y36-T36)/ABS(T36)</f>
        <v>0.083424408014572</v>
      </c>
      <c r="Z86" s="103"/>
      <c r="AA86" s="103" t="n">
        <f aca="false">(AA36-V36)/ABS(V36)</f>
        <v>0.121703089675961</v>
      </c>
      <c r="AB86" s="103" t="n">
        <f aca="false">(AB36-W36)/ABS(W36)</f>
        <v>0.102115244347192</v>
      </c>
      <c r="AC86" s="103" t="n">
        <f aca="false">(AC36-X36)/ABS(X36)</f>
        <v>0.174922600619195</v>
      </c>
      <c r="AD86" s="103" t="n">
        <f aca="false">(AD36-Y36)/ABS(Y36)</f>
        <v>0.103564223268325</v>
      </c>
      <c r="AE86" s="103"/>
      <c r="AF86" s="103" t="n">
        <f aca="false">(AF36-AA36)/ABS(AA36)</f>
        <v>0.0235136042996305</v>
      </c>
      <c r="AG86" s="103" t="n">
        <f aca="false">(AG36-AB36)/ABS(AB36)</f>
        <v>0.00330906684315023</v>
      </c>
      <c r="AH86" s="103" t="n">
        <f aca="false">(AH36-AC36)/ABS(AC36)</f>
        <v>0.0589591567852437</v>
      </c>
      <c r="AI86" s="105" t="n">
        <f aca="false">(AI36-AD36)/ABS(AD36)</f>
        <v>0.0450944546008531</v>
      </c>
      <c r="AJ86" s="103" t="n">
        <f aca="false">AJ36/AD36-1</f>
        <v>-0.0868372943327239</v>
      </c>
      <c r="AK86" s="23" t="n">
        <f aca="false">AJ86/AI86-1</f>
        <v>-2.92567567567568</v>
      </c>
      <c r="AL86" s="103"/>
      <c r="AM86" s="103" t="n">
        <f aca="false">(AM36-AF36)/ABS(AF36)</f>
        <v>0.017394158188382</v>
      </c>
      <c r="AN86" s="103" t="n">
        <f aca="false">(AN36-AG36)/ABS(AG36)</f>
        <v>0.0224274406332454</v>
      </c>
      <c r="AO86" s="103" t="n">
        <f aca="false">(AO36-AH36)/ABS(AH36)</f>
        <v>0.057542768273717</v>
      </c>
      <c r="AP86" s="103" t="n">
        <f aca="false">(AP36-AI36)/ABS(AI36)</f>
        <v>0.0495626822157434</v>
      </c>
    </row>
    <row r="87" s="2" customFormat="true" ht="25.5" hidden="false" customHeight="false" outlineLevel="0" collapsed="false">
      <c r="A87" s="111" t="s">
        <v>58</v>
      </c>
      <c r="B87" s="55"/>
      <c r="C87" s="112" t="n">
        <f aca="false">(C37-B37)/ABS(B37)</f>
        <v>0.0583299636069551</v>
      </c>
      <c r="D87" s="112" t="n">
        <f aca="false">(D37-C37)/ABS(C37)</f>
        <v>0.00897889005635686</v>
      </c>
      <c r="E87" s="103" t="n">
        <f aca="false">(E37-D37)/ABS(D37)</f>
        <v>0.0897472309003124</v>
      </c>
      <c r="F87" s="103" t="n">
        <f aca="false">(F37-E37)/ABS(E37)</f>
        <v>0.103466249674225</v>
      </c>
      <c r="G87" s="103" t="n">
        <f aca="false">(G37-F37)/ABS(F37)</f>
        <v>0.0333805699889781</v>
      </c>
      <c r="H87" s="103" t="n">
        <f aca="false">(H37-G37)/ABS(G37)</f>
        <v>-0.00769465183605059</v>
      </c>
      <c r="I87" s="103" t="n">
        <f aca="false">(I37-H37)/ABS(H37)</f>
        <v>0.13658349328215</v>
      </c>
      <c r="J87" s="103" t="n">
        <f aca="false">(J37-I37)/ABS(I37)</f>
        <v>0.106255066198325</v>
      </c>
      <c r="K87" s="103" t="n">
        <f aca="false">(K37-J37)/ABS(J37)</f>
        <v>0.0250961714599744</v>
      </c>
      <c r="L87" s="103" t="n">
        <f aca="false">L37/J37-1</f>
        <v>0.0121511876412042</v>
      </c>
      <c r="M87" s="23" t="n">
        <f aca="false">L87/K87-1</f>
        <v>-0.51581508515815</v>
      </c>
      <c r="N87" s="103" t="n">
        <f aca="false">(N37-K37)/ABS(K37)</f>
        <v>0.0275196568977841</v>
      </c>
      <c r="O87" s="103" t="n">
        <f aca="false">(O37-N37)/ABS(N37)</f>
        <v>0.0260869565217391</v>
      </c>
      <c r="P87" s="104"/>
      <c r="Q87" s="104"/>
      <c r="R87" s="104"/>
      <c r="S87" s="104"/>
      <c r="T87" s="104"/>
      <c r="U87" s="104"/>
      <c r="V87" s="103" t="n">
        <f aca="false">(V37-Q37)/ABS(Q37)</f>
        <v>0.200672268907563</v>
      </c>
      <c r="W87" s="103" t="n">
        <f aca="false">(W37-R37)/ABS(R37)</f>
        <v>0.150596877869605</v>
      </c>
      <c r="X87" s="103" t="n">
        <f aca="false">(X37-S37)/ABS(S37)</f>
        <v>0.130549161460046</v>
      </c>
      <c r="Y87" s="103" t="n">
        <f aca="false">(Y37-T37)/ABS(T37)</f>
        <v>0.0783003741314805</v>
      </c>
      <c r="Z87" s="103"/>
      <c r="AA87" s="103" t="n">
        <f aca="false">(AA37-V37)/ABS(V37)</f>
        <v>0.097424412094065</v>
      </c>
      <c r="AB87" s="103" t="n">
        <f aca="false">(AB37-W37)/ABS(W37)</f>
        <v>0.0971002926310189</v>
      </c>
      <c r="AC87" s="103" t="n">
        <f aca="false">(AC37-X37)/ABS(X37)</f>
        <v>0.151541593949971</v>
      </c>
      <c r="AD87" s="103" t="n">
        <f aca="false">(AD37-Y37)/ABS(Y37)</f>
        <v>0.0840148698884758</v>
      </c>
      <c r="AE87" s="103"/>
      <c r="AF87" s="103" t="n">
        <f aca="false">(AF37-AA37)/ABS(AA37)</f>
        <v>0.05</v>
      </c>
      <c r="AG87" s="103" t="n">
        <f aca="false">(AG37-AB37)/ABS(AB37)</f>
        <v>0.00533462657613967</v>
      </c>
      <c r="AH87" s="103" t="n">
        <f aca="false">(AH37-AC37)/ABS(AC37)</f>
        <v>0.0674412730487497</v>
      </c>
      <c r="AI87" s="105" t="n">
        <f aca="false">(AI37-AD37)/ABS(AD37)</f>
        <v>-0.0169181527206219</v>
      </c>
      <c r="AJ87" s="103" t="n">
        <f aca="false">(AJ37-AD37)/ABS(AD37)</f>
        <v>-0.0653863740283493</v>
      </c>
      <c r="AK87" s="23" t="n">
        <f aca="false">AJ87/AI87-1</f>
        <v>2.86486486486487</v>
      </c>
      <c r="AL87" s="103"/>
      <c r="AM87" s="103" t="n">
        <f aca="false">(AM37-AF37)/ABS(AF37)</f>
        <v>0.0447035957240039</v>
      </c>
      <c r="AN87" s="103" t="n">
        <f aca="false">(AN37-AG37)/ABS(AG37)</f>
        <v>0.0130246020260492</v>
      </c>
      <c r="AO87" s="103" t="n">
        <f aca="false">(AO37-AH37)/ABS(AH37)</f>
        <v>0.0293421675343114</v>
      </c>
      <c r="AP87" s="103" t="n">
        <f aca="false">(AP37-AI37)/ABS(AI37)</f>
        <v>0.0232558139534884</v>
      </c>
    </row>
    <row r="88" s="2" customFormat="true" ht="25.5" hidden="false" customHeight="false" outlineLevel="0" collapsed="false">
      <c r="A88" s="3" t="s">
        <v>59</v>
      </c>
      <c r="B88" s="113"/>
      <c r="C88" s="113"/>
      <c r="D88" s="113"/>
      <c r="E88" s="103" t="n">
        <f aca="false">(E38-D38)/ABS(D38)</f>
        <v>0.0897472309003124</v>
      </c>
      <c r="F88" s="103" t="n">
        <f aca="false">(F38-E38)/ABS(E38)</f>
        <v>0.103466249674225</v>
      </c>
      <c r="G88" s="103" t="n">
        <f aca="false">(G38-F38)/ABS(F38)</f>
        <v>0.0333805699889781</v>
      </c>
      <c r="H88" s="103" t="n">
        <f aca="false">(H38-G38)/ABS(G38)</f>
        <v>-0.00769465183605059</v>
      </c>
      <c r="I88" s="103" t="n">
        <f aca="false">(I38-H38)/ABS(H38)</f>
        <v>0.13658349328215</v>
      </c>
      <c r="J88" s="103" t="n">
        <f aca="false">(J38-I38)/ABS(I38)</f>
        <v>0.106255066198325</v>
      </c>
      <c r="K88" s="103" t="n">
        <f aca="false">(K38-J38)/ABS(J38)</f>
        <v>0.033644745679917</v>
      </c>
      <c r="L88" s="103" t="n">
        <f aca="false">L38/J38-1</f>
        <v>0.0121511876412042</v>
      </c>
      <c r="M88" s="23" t="n">
        <f aca="false">L88/K88-1</f>
        <v>-0.638838475499092</v>
      </c>
      <c r="N88" s="103" t="n">
        <f aca="false">(N38-K38)/ABS(K38)</f>
        <v>0.0388114366729679</v>
      </c>
      <c r="O88" s="103" t="n">
        <f aca="false">(O38-N38)/ABS(N38)</f>
        <v>0.0378163207278931</v>
      </c>
      <c r="P88" s="104"/>
      <c r="Q88" s="104"/>
      <c r="R88" s="104"/>
      <c r="S88" s="104"/>
      <c r="T88" s="104"/>
      <c r="U88" s="104"/>
      <c r="V88" s="103" t="n">
        <f aca="false">(V38-Q38)/ABS(Q38)</f>
        <v>0.200672268907563</v>
      </c>
      <c r="W88" s="103" t="n">
        <f aca="false">(W38-R38)/ABS(R38)</f>
        <v>0.150596877869605</v>
      </c>
      <c r="X88" s="103" t="n">
        <f aca="false">(X38-S38)/ABS(S38)</f>
        <v>0.130549161460046</v>
      </c>
      <c r="Y88" s="103" t="n">
        <f aca="false">(Y38-T38)/ABS(T38)</f>
        <v>0.0783003741314805</v>
      </c>
      <c r="Z88" s="103"/>
      <c r="AA88" s="103" t="n">
        <f aca="false">(AA38-V38)/ABS(V38)</f>
        <v>0.097424412094065</v>
      </c>
      <c r="AB88" s="103" t="n">
        <f aca="false">(AB38-W38)/ABS(W38)</f>
        <v>0.0971002926310189</v>
      </c>
      <c r="AC88" s="103" t="n">
        <f aca="false">(AC38-X38)/ABS(X38)</f>
        <v>0.151541593949971</v>
      </c>
      <c r="AD88" s="103" t="n">
        <f aca="false">(AD38-Y38)/ABS(Y38)</f>
        <v>0.0840148698884758</v>
      </c>
      <c r="AE88" s="103"/>
      <c r="AF88" s="103" t="n">
        <f aca="false">(AF38-AA38)/ABS(AA38)</f>
        <v>0.05</v>
      </c>
      <c r="AG88" s="103" t="n">
        <f aca="false">(AG38-AB38)/ABS(AB38)</f>
        <v>0.00533462657613967</v>
      </c>
      <c r="AH88" s="103" t="n">
        <f aca="false">(AH38-AC38)/ABS(AC38)</f>
        <v>0.0674412730487497</v>
      </c>
      <c r="AI88" s="105" t="n">
        <f aca="false">(AI38-AD38)/ABS(AD38)</f>
        <v>0.0150891632373114</v>
      </c>
      <c r="AJ88" s="103" t="n">
        <f aca="false">(AJ38-AD38)/ABS(AD38)</f>
        <v>-0.0653863740283493</v>
      </c>
      <c r="AK88" s="23" t="n">
        <f aca="false">AJ88/AI88-1</f>
        <v>-5.33333333333333</v>
      </c>
      <c r="AL88" s="103"/>
      <c r="AM88" s="103" t="n">
        <f aca="false">(AM38-AF38)/ABS(AF38)</f>
        <v>0.0447035957240039</v>
      </c>
      <c r="AN88" s="103" t="n">
        <f aca="false">(AN38-AG38)/ABS(AG38)</f>
        <v>0.0250844187168355</v>
      </c>
      <c r="AO88" s="103" t="n">
        <f aca="false">(AO38-AH38)/ABS(AH38)</f>
        <v>0.047089446284903</v>
      </c>
      <c r="AP88" s="103" t="n">
        <f aca="false">(AP38-AI38)/ABS(AI38)</f>
        <v>0.0382882882882883</v>
      </c>
      <c r="AQ88" s="106"/>
    </row>
    <row r="89" s="2" customFormat="true" ht="25.5" hidden="false" customHeight="false" outlineLevel="0" collapsed="false">
      <c r="A89" s="3" t="s">
        <v>60</v>
      </c>
      <c r="B89" s="113"/>
      <c r="C89" s="113"/>
      <c r="D89" s="113"/>
      <c r="E89" s="103" t="n">
        <f aca="false">(E39-D39)/ABS(D39)</f>
        <v>-0.0640134765213729</v>
      </c>
      <c r="F89" s="103" t="n">
        <f aca="false">(F39-E39)/ABS(E39)</f>
        <v>0.0735658042744657</v>
      </c>
      <c r="G89" s="103" t="n">
        <f aca="false">(G39-F39)/ABS(F39)</f>
        <v>-0.347233864207879</v>
      </c>
      <c r="H89" s="103" t="n">
        <f aca="false">(H39-G39)/ABS(G39)</f>
        <v>1.22696629213483</v>
      </c>
      <c r="I89" s="103" t="n">
        <f aca="false">(I39-H39)/ABS(H39)</f>
        <v>-0.0377684878189419</v>
      </c>
      <c r="J89" s="103" t="n">
        <f aca="false">(J39-I39)/ABS(I39)</f>
        <v>-0.113857677902622</v>
      </c>
      <c r="K89" s="103" t="n">
        <f aca="false">(K39-J39)/ABS(J39)</f>
        <v>0.0546069315300085</v>
      </c>
      <c r="L89" s="103" t="n">
        <f aca="false">L39/J39-1</f>
        <v>0.0669484361792054</v>
      </c>
      <c r="M89" s="23" t="n">
        <f aca="false">L89/K89-1</f>
        <v>0.226006191950465</v>
      </c>
      <c r="N89" s="103" t="n">
        <f aca="false">(N39-K39)/ABS(K39)</f>
        <v>0.239018916319333</v>
      </c>
      <c r="O89" s="103" t="n">
        <f aca="false">(O39-N39)/ABS(N39)</f>
        <v>0.108810971665157</v>
      </c>
      <c r="P89" s="104"/>
      <c r="Q89" s="104"/>
      <c r="R89" s="104"/>
      <c r="S89" s="104"/>
      <c r="T89" s="104"/>
      <c r="U89" s="104"/>
      <c r="V89" s="103" t="n">
        <f aca="false">(V39-Q39)/ABS(Q39)</f>
        <v>0.202718006795017</v>
      </c>
      <c r="W89" s="103" t="n">
        <f aca="false">(W39-R39)/ABS(R39)</f>
        <v>-0.079746835443038</v>
      </c>
      <c r="X89" s="103" t="n">
        <f aca="false">(X39-S39)/ABS(S39)</f>
        <v>-0.0292014302741359</v>
      </c>
      <c r="Y89" s="103" t="n">
        <f aca="false">(Y39-T39)/ABS(T39)</f>
        <v>-0.232618923157344</v>
      </c>
      <c r="Z89" s="103"/>
      <c r="AA89" s="103" t="n">
        <f aca="false">(AA39-V39)/ABS(V39)</f>
        <v>-0.201977401129944</v>
      </c>
      <c r="AB89" s="103" t="n">
        <f aca="false">(AB39-W39)/ABS(W39)</f>
        <v>0.0914718019257221</v>
      </c>
      <c r="AC89" s="103" t="n">
        <f aca="false">(AC39-X39)/ABS(X39)</f>
        <v>-0.133210558624923</v>
      </c>
      <c r="AD89" s="103" t="n">
        <f aca="false">(AD39-Y39)/ABS(Y39)</f>
        <v>-0.168256130790191</v>
      </c>
      <c r="AE89" s="103"/>
      <c r="AF89" s="103" t="n">
        <f aca="false">(AF39-AA39)/ABS(AA39)</f>
        <v>-0.0536873156342183</v>
      </c>
      <c r="AG89" s="103" t="n">
        <f aca="false">(AG39-AB39)/ABS(AB39)</f>
        <v>0.149968494013863</v>
      </c>
      <c r="AH89" s="103" t="n">
        <f aca="false">(AH39-AC39)/ABS(AC39)</f>
        <v>-0.0538243626062323</v>
      </c>
      <c r="AI89" s="105" t="n">
        <f aca="false">(AI39-AD39)/ABS(AD39)</f>
        <v>0.206388206388206</v>
      </c>
      <c r="AJ89" s="103" t="n">
        <f aca="false">(AJ39-AD39)/ABS(AD39)</f>
        <v>0.266175266175266</v>
      </c>
      <c r="AK89" s="23" t="n">
        <f aca="false">AJ89/AI89-1</f>
        <v>0.28968253968254</v>
      </c>
      <c r="AL89" s="103"/>
      <c r="AM89" s="103" t="n">
        <f aca="false">(AM39-AF39)/ABS(AF39)</f>
        <v>0.228179551122195</v>
      </c>
      <c r="AN89" s="103" t="n">
        <f aca="false">(AN39-AG39)/ABS(AG39)</f>
        <v>0.345205479452055</v>
      </c>
      <c r="AO89" s="103" t="n">
        <f aca="false">(AO39-AH39)/ABS(AH39)</f>
        <v>0.151197604790419</v>
      </c>
      <c r="AP89" s="103" t="n">
        <f aca="false">(AP39-AI39)/ABS(AI39)</f>
        <v>0.198913781398506</v>
      </c>
      <c r="AQ89" s="106"/>
    </row>
    <row r="90" s="2" customFormat="true" ht="25.5" hidden="false" customHeight="false" outlineLevel="0" collapsed="false">
      <c r="A90" s="111" t="s">
        <v>61</v>
      </c>
      <c r="B90" s="55"/>
      <c r="C90" s="112" t="n">
        <f aca="false">(C40-B40)/ABS(B40)</f>
        <v>-0.321428571428571</v>
      </c>
      <c r="D90" s="112" t="n">
        <f aca="false">(D40-C40)/ABS(C40)</f>
        <v>2.10526315789474</v>
      </c>
      <c r="E90" s="103" t="n">
        <f aca="false">(E40-D40)/ABS(D40)</f>
        <v>-0.0847457627118644</v>
      </c>
      <c r="F90" s="103" t="n">
        <f aca="false">(F40-E40)/ABS(E40)</f>
        <v>-0.0925925925925926</v>
      </c>
      <c r="G90" s="103" t="n">
        <f aca="false">(G40-F40)/ABS(F40)</f>
        <v>0.816326530612245</v>
      </c>
      <c r="H90" s="103" t="n">
        <f aca="false">(H40-G40)/ABS(G40)</f>
        <v>1.9438202247191</v>
      </c>
      <c r="I90" s="103" t="n">
        <f aca="false">(I40-H40)/ABS(H40)</f>
        <v>-0.217557251908397</v>
      </c>
      <c r="J90" s="103" t="n">
        <f aca="false">(J40-I40)/ABS(I40)</f>
        <v>-1.02926829268293</v>
      </c>
      <c r="K90" s="103" t="n">
        <f aca="false">(K40-J40)/ABS(J40)</f>
        <v>-25.3333333333333</v>
      </c>
      <c r="L90" s="103" t="n">
        <f aca="false">L40/J40-1</f>
        <v>25.8333333333333</v>
      </c>
      <c r="M90" s="23" t="n">
        <f aca="false">L90/K90-1</f>
        <v>-2.01973684210526</v>
      </c>
      <c r="N90" s="103" t="n">
        <f aca="false">(N40-K40)/ABS(K40)</f>
        <v>0.0949367088607595</v>
      </c>
      <c r="O90" s="103" t="n">
        <f aca="false">(O40-N40)/ABS(N40)</f>
        <v>0.160839160839161</v>
      </c>
      <c r="P90" s="104"/>
      <c r="Q90" s="104"/>
      <c r="R90" s="104"/>
      <c r="S90" s="104"/>
      <c r="T90" s="104"/>
      <c r="U90" s="104"/>
      <c r="V90" s="103" t="n">
        <f aca="false">(V40-Q40)/ABS(Q40)</f>
        <v>-0.123076923076923</v>
      </c>
      <c r="W90" s="103" t="n">
        <f aca="false">(W40-R40)/ABS(R40)</f>
        <v>-0.214285714285714</v>
      </c>
      <c r="X90" s="103" t="n">
        <f aca="false">(X40-S40)/ABS(S40)</f>
        <v>-0.171875</v>
      </c>
      <c r="Y90" s="103" t="n">
        <f aca="false">(Y40-T40)/ABS(T40)</f>
        <v>-0.365079365079365</v>
      </c>
      <c r="Z90" s="103"/>
      <c r="AA90" s="103" t="n">
        <f aca="false">(AA40-V40)/ABS(V40)</f>
        <v>-0.771929824561404</v>
      </c>
      <c r="AB90" s="103" t="n">
        <f aca="false">(AB40-W40)/ABS(W40)</f>
        <v>-0.709090909090909</v>
      </c>
      <c r="AC90" s="103" t="n">
        <f aca="false">(AC40-X40)/ABS(X40)</f>
        <v>-1.13207547169811</v>
      </c>
      <c r="AD90" s="103" t="n">
        <f aca="false">(AD40-Y40)/ABS(Y40)</f>
        <v>-1.7</v>
      </c>
      <c r="AE90" s="103"/>
      <c r="AF90" s="103" t="n">
        <f aca="false">(AF40-AA40)/ABS(AA40)</f>
        <v>-3.61538461538462</v>
      </c>
      <c r="AG90" s="103" t="n">
        <f aca="false">(AG40-AB40)/ABS(AB40)</f>
        <v>-2.375</v>
      </c>
      <c r="AH90" s="103" t="n">
        <f aca="false">(AH40-AC40)/ABS(AC40)</f>
        <v>-6.42857142857143</v>
      </c>
      <c r="AI90" s="105" t="n">
        <f aca="false">(AI40-AD40)/ABS(AD40)</f>
        <v>-0.785714285714286</v>
      </c>
      <c r="AJ90" s="103" t="n">
        <f aca="false">(AJ40-AD40)/ABS(AD40)</f>
        <v>-0.892857142857143</v>
      </c>
      <c r="AK90" s="23" t="n">
        <f aca="false">AJ90/AI90-1</f>
        <v>0.136363636363636</v>
      </c>
      <c r="AL90" s="103"/>
      <c r="AM90" s="103" t="n">
        <f aca="false">(AM40-AF40)/ABS(AF40)</f>
        <v>0.117647058823529</v>
      </c>
      <c r="AN90" s="103" t="n">
        <f aca="false">(AN40-AG40)/ABS(AG40)</f>
        <v>0.0909090909090909</v>
      </c>
      <c r="AO90" s="103" t="n">
        <f aca="false">(AO40-AH40)/ABS(AH40)</f>
        <v>0.0769230769230769</v>
      </c>
      <c r="AP90" s="103" t="n">
        <f aca="false">(AP40-AI40)/ABS(AI40)</f>
        <v>0.1</v>
      </c>
    </row>
    <row r="91" s="2" customFormat="true" ht="25.5" hidden="false" customHeight="false" outlineLevel="0" collapsed="false">
      <c r="A91" s="111" t="s">
        <v>62</v>
      </c>
      <c r="B91" s="55"/>
      <c r="C91" s="112" t="n">
        <f aca="false">(C41-B41)/ABS(B41)</f>
        <v>-1.41379310344828</v>
      </c>
      <c r="D91" s="112" t="n">
        <f aca="false">(D41-C41)/ABS(C41)</f>
        <v>-0.4</v>
      </c>
      <c r="E91" s="103" t="n">
        <f aca="false">(E41-D41)/ABS(D41)</f>
        <v>1.33673469387755</v>
      </c>
      <c r="F91" s="103" t="n">
        <f aca="false">(F41-E41)/ABS(E41)</f>
        <v>-2.18181818181818</v>
      </c>
      <c r="G91" s="103" t="n">
        <f aca="false">(G41-F41)/ABS(F41)</f>
        <v>2.78205128205128</v>
      </c>
      <c r="H91" s="103" t="n">
        <f aca="false">(H41-G41)/ABS(G41)</f>
        <v>-0.899280575539568</v>
      </c>
      <c r="I91" s="103" t="n">
        <f aca="false">(I41-H41)/ABS(H41)</f>
        <v>-13.9285714285714</v>
      </c>
      <c r="J91" s="103" t="n">
        <f aca="false">(J41-I41)/ABS(I41)</f>
        <v>-0.546961325966851</v>
      </c>
      <c r="K91" s="103" t="n">
        <f aca="false">(K41-J41)/ABS(J41)</f>
        <v>0.639642857142857</v>
      </c>
      <c r="L91" s="103" t="n">
        <f aca="false">L41/J41-1</f>
        <v>-0.185714285714286</v>
      </c>
      <c r="M91" s="23" t="n">
        <f aca="false">L91/K91-1</f>
        <v>-1.29034059184813</v>
      </c>
      <c r="N91" s="103" t="n">
        <f aca="false">(N41-K41)/ABS(K41)</f>
        <v>-0.734390485629336</v>
      </c>
      <c r="O91" s="103" t="n">
        <f aca="false">(O41-N41)/ABS(N41)</f>
        <v>-0.142857142857143</v>
      </c>
      <c r="P91" s="104"/>
      <c r="Q91" s="104"/>
      <c r="R91" s="104"/>
      <c r="S91" s="104"/>
      <c r="T91" s="104"/>
      <c r="U91" s="104"/>
      <c r="V91" s="103" t="n">
        <f aca="false">(V41-Q41)/ABS(Q41)</f>
        <v>-1.78571428571429</v>
      </c>
      <c r="W91" s="103" t="n">
        <f aca="false">(W41-R41)/ABS(R41)</f>
        <v>-2.88888888888889</v>
      </c>
      <c r="X91" s="103" t="n">
        <f aca="false">(X41-S41)/ABS(S41)</f>
        <v>-3.27272727272727</v>
      </c>
      <c r="Y91" s="103" t="n">
        <f aca="false">(Y41-T41)/ABS(T41)</f>
        <v>14.5</v>
      </c>
      <c r="Z91" s="103"/>
      <c r="AA91" s="103" t="n">
        <f aca="false">(AA41-V41)/ABS(V41)</f>
        <v>-2.74358974358974</v>
      </c>
      <c r="AB91" s="103" t="n">
        <f aca="false">(AB41-W41)/ABS(W41)</f>
        <v>0.225490196078431</v>
      </c>
      <c r="AC91" s="103" t="n">
        <f aca="false">(AC41-X41)/ABS(X41)</f>
        <v>0.382978723404255</v>
      </c>
      <c r="AD91" s="103" t="n">
        <f aca="false">(AD41-Y41)/ABS(Y41)</f>
        <v>-0.944444444444444</v>
      </c>
      <c r="AE91" s="103"/>
      <c r="AF91" s="103" t="n">
        <f aca="false">(AF41-AA41)/ABS(AA41)</f>
        <v>0.931506849315068</v>
      </c>
      <c r="AG91" s="103" t="n">
        <f aca="false">(AG41-AB41)/ABS(AB41)</f>
        <v>0.0506329113924051</v>
      </c>
      <c r="AH91" s="103" t="n">
        <f aca="false">(AH41-AC41)/ABS(AC41)</f>
        <v>0.724137931034483</v>
      </c>
      <c r="AI91" s="105" t="n">
        <f aca="false">(AI41-AD41)/ABS(AD41)</f>
        <v>-0.966666666666667</v>
      </c>
      <c r="AJ91" s="103" t="n">
        <f aca="false">(AJ41-AD41)/ABS(AD41)</f>
        <v>-43.3333333333333</v>
      </c>
      <c r="AK91" s="23" t="n">
        <f aca="false">AJ91/AI91-1</f>
        <v>43.8275862068966</v>
      </c>
      <c r="AL91" s="103"/>
      <c r="AM91" s="103" t="n">
        <f aca="false">(AM41-AF41)/ABS(AF41)</f>
        <v>-1</v>
      </c>
      <c r="AN91" s="103" t="n">
        <f aca="false">(AN41-AG41)/ABS(AG41)</f>
        <v>-0.2</v>
      </c>
      <c r="AO91" s="103" t="n">
        <f aca="false">(AO41-AH41)/ABS(AH41)</f>
        <v>-4</v>
      </c>
      <c r="AP91" s="103" t="n">
        <f aca="false">(AP41-AI41)/ABS(AI41)</f>
        <v>149</v>
      </c>
    </row>
    <row r="92" s="2" customFormat="true" ht="25.5" hidden="false" customHeight="false" outlineLevel="0" collapsed="false">
      <c r="A92" s="111" t="s">
        <v>75</v>
      </c>
      <c r="B92" s="55"/>
      <c r="C92" s="112" t="n">
        <f aca="false">(C42-B42)/ABS(B42)</f>
        <v>0.0994054696789536</v>
      </c>
      <c r="D92" s="112" t="n">
        <f aca="false">(D42-C42)/ABS(C42)</f>
        <v>0.0568894657149037</v>
      </c>
      <c r="E92" s="103" t="n">
        <f aca="false">(E42-D42)/ABS(D42)</f>
        <v>-0.114817846909537</v>
      </c>
      <c r="F92" s="103" t="n">
        <f aca="false">(F42-E42)/ABS(E42)</f>
        <v>0.110057803468208</v>
      </c>
      <c r="G92" s="103" t="n">
        <f aca="false">(G42-F42)/ABS(F42)</f>
        <v>-0.398666944386586</v>
      </c>
      <c r="H92" s="103" t="n">
        <f aca="false">(H42-G42)/ABS(G42)</f>
        <v>1.30723934880499</v>
      </c>
      <c r="I92" s="103" t="n">
        <f aca="false">(I42-H42)/ABS(H42)</f>
        <v>-0.00150127608467197</v>
      </c>
      <c r="J92" s="103" t="n">
        <f aca="false">(J42-I42)/ABS(I42)</f>
        <v>-0.06765899864682</v>
      </c>
      <c r="K92" s="103" t="n">
        <f aca="false">(K42-J42)/ABS(J42)</f>
        <v>0.0477181099822609</v>
      </c>
      <c r="L92" s="103" t="n">
        <f aca="false">L42/J42-1</f>
        <v>0.0804708917916466</v>
      </c>
      <c r="M92" s="23" t="n">
        <f aca="false">L92/K92-1</f>
        <v>0.686380533964181</v>
      </c>
      <c r="N92" s="103" t="n">
        <f aca="false">(N42-K42)/ABS(K42)</f>
        <v>0.238590712493651</v>
      </c>
      <c r="O92" s="103" t="n">
        <f aca="false">(O42-N42)/ABS(N42)</f>
        <v>0.104759537715919</v>
      </c>
      <c r="P92" s="104"/>
      <c r="Q92" s="104"/>
      <c r="R92" s="104"/>
      <c r="S92" s="104"/>
      <c r="T92" s="104"/>
      <c r="U92" s="104"/>
      <c r="V92" s="103" t="n">
        <f aca="false">(V42-Q42)/ABS(Q42)</f>
        <v>0.22798833819242</v>
      </c>
      <c r="W92" s="103" t="n">
        <f aca="false">(W42-R42)/ABS(R42)</f>
        <v>0.0309065934065934</v>
      </c>
      <c r="X92" s="103" t="n">
        <f aca="false">(X42-S42)/ABS(S42)</f>
        <v>0.0207823960880196</v>
      </c>
      <c r="Y92" s="103" t="n">
        <f aca="false">(Y42-T42)/ABS(T42)</f>
        <v>-0.258899676375405</v>
      </c>
      <c r="Z92" s="103"/>
      <c r="AA92" s="103" t="n">
        <f aca="false">(AA42-V42)/ABS(V42)</f>
        <v>-0.132003798670465</v>
      </c>
      <c r="AB92" s="103" t="n">
        <f aca="false">(AB42-W42)/ABS(W42)</f>
        <v>0.0992671552298468</v>
      </c>
      <c r="AC92" s="103" t="n">
        <f aca="false">(AC42-X42)/ABS(X42)</f>
        <v>-0.115568862275449</v>
      </c>
      <c r="AD92" s="103" t="n">
        <f aca="false">(AD42-Y42)/ABS(Y42)</f>
        <v>-0.0931586608442504</v>
      </c>
      <c r="AE92" s="103"/>
      <c r="AF92" s="103" t="n">
        <f aca="false">(AF42-AA42)/ABS(AA42)</f>
        <v>-0.0984682713347921</v>
      </c>
      <c r="AG92" s="103" t="n">
        <f aca="false">(AG42-AB42)/ABS(AB42)</f>
        <v>0.164848484848485</v>
      </c>
      <c r="AH92" s="103" t="n">
        <f aca="false">(AH42-AC42)/ABS(AC42)</f>
        <v>-0.049424509140149</v>
      </c>
      <c r="AI92" s="105" t="n">
        <f aca="false">(AI42-AD42)/ABS(AD42)</f>
        <v>0.22223113964687</v>
      </c>
      <c r="AJ92" s="103" t="n">
        <f aca="false">(AJ42-AD42)/ABS(AD42)</f>
        <v>0.385232744783307</v>
      </c>
      <c r="AK92" s="23" t="n">
        <f aca="false">AJ92/AI92-1</f>
        <v>0.733477789815818</v>
      </c>
      <c r="AL92" s="103"/>
      <c r="AM92" s="103" t="n">
        <f aca="false">(AM42-AF42)/ABS(AF42)</f>
        <v>0.225728155339806</v>
      </c>
      <c r="AN92" s="103" t="n">
        <f aca="false">(AN42-AG42)/ABS(AG42)</f>
        <v>0.334547346514048</v>
      </c>
      <c r="AO92" s="103" t="n">
        <f aca="false">(AO42-AH42)/ABS(AH42)</f>
        <v>0.186609686609687</v>
      </c>
      <c r="AP92" s="103" t="n">
        <f aca="false">(AP42-AI42)/ABS(AI42)</f>
        <v>0.179328911944317</v>
      </c>
    </row>
    <row r="93" s="2" customFormat="true" ht="25.5" hidden="false" customHeight="false" outlineLevel="0" collapsed="false">
      <c r="A93" s="111" t="s">
        <v>64</v>
      </c>
      <c r="B93" s="55"/>
      <c r="C93" s="112" t="n">
        <f aca="false">(C43-B43)/ABS(B43)</f>
        <v>-0.0740343347639485</v>
      </c>
      <c r="D93" s="112" t="n">
        <f aca="false">(D43-C43)/ABS(C43)</f>
        <v>-0.251448435689455</v>
      </c>
      <c r="E93" s="103" t="n">
        <f aca="false">(E43-D43)/ABS(D43)</f>
        <v>2.70278637770898</v>
      </c>
      <c r="F93" s="103" t="n">
        <f aca="false">(F43-E43)/ABS(E43)</f>
        <v>-0.677257525083612</v>
      </c>
      <c r="G93" s="103" t="n">
        <f aca="false">(G43-F43)/ABS(F43)</f>
        <v>-0.549222797927461</v>
      </c>
      <c r="H93" s="103" t="n">
        <f aca="false">(H43-G43)/ABS(G43)</f>
        <v>1.68390804597701</v>
      </c>
      <c r="I93" s="103" t="n">
        <f aca="false">(I43-H43)/ABS(H43)</f>
        <v>-0.352248394004283</v>
      </c>
      <c r="J93" s="103" t="n">
        <f aca="false">(J43-I43)/ABS(I43)</f>
        <v>0.869421487603306</v>
      </c>
      <c r="K93" s="103" t="n">
        <f aca="false">(K43-J43)/ABS(J43)</f>
        <v>-0.0972590627763042</v>
      </c>
      <c r="L93" s="103" t="n">
        <f aca="false">L43/J43-1</f>
        <v>-0.115826702033599</v>
      </c>
      <c r="M93" s="23" t="n">
        <f aca="false">L93/K93-1</f>
        <v>0.190909090909091</v>
      </c>
      <c r="N93" s="103" t="n">
        <f aca="false">(N43-K43)/ABS(K43)</f>
        <v>0.132006183724786</v>
      </c>
      <c r="O93" s="103" t="n">
        <f aca="false">(O43-N43)/ABS(N43)</f>
        <v>0.307603700674092</v>
      </c>
      <c r="P93" s="104"/>
      <c r="Q93" s="104"/>
      <c r="R93" s="104"/>
      <c r="S93" s="104"/>
      <c r="T93" s="104"/>
      <c r="U93" s="104"/>
      <c r="V93" s="103" t="n">
        <f aca="false">(V43-Q43)/ABS(Q43)</f>
        <v>0.177664974619289</v>
      </c>
      <c r="W93" s="103" t="n">
        <f aca="false">(W43-R43)/ABS(R43)</f>
        <v>-0.2</v>
      </c>
      <c r="X93" s="103" t="n">
        <f aca="false">(X43-S43)/ABS(S43)</f>
        <v>0.46524064171123</v>
      </c>
      <c r="Y93" s="103" t="n">
        <f aca="false">(Y43-T43)/ABS(T43)</f>
        <v>-1.18840579710145</v>
      </c>
      <c r="Z93" s="103"/>
      <c r="AA93" s="103" t="n">
        <f aca="false">(AA43-V43)/ABS(V43)</f>
        <v>0.551724137931035</v>
      </c>
      <c r="AB93" s="103" t="n">
        <f aca="false">(AB43-W43)/ABS(W43)</f>
        <v>0.945121951219512</v>
      </c>
      <c r="AC93" s="103" t="n">
        <f aca="false">(AC43-X43)/ABS(X43)</f>
        <v>-0.135036496350365</v>
      </c>
      <c r="AD93" s="103" t="n">
        <f aca="false">(AD43-Y43)/ABS(Y43)</f>
        <v>4.30769230769231</v>
      </c>
      <c r="AE93" s="103"/>
      <c r="AF93" s="103" t="n">
        <f aca="false">(AF43-AA43)/ABS(AA43)</f>
        <v>-0.45</v>
      </c>
      <c r="AG93" s="103" t="n">
        <f aca="false">(AG43-AB43)/ABS(AB43)</f>
        <v>0.0783699059561129</v>
      </c>
      <c r="AH93" s="103" t="n">
        <f aca="false">(AH43-AC43)/ABS(AC43)</f>
        <v>-0.0210970464135021</v>
      </c>
      <c r="AI93" s="105" t="n">
        <f aca="false">(AI43-AD43)/ABS(AD43)</f>
        <v>0.148837209302326</v>
      </c>
      <c r="AJ93" s="103" t="n">
        <f aca="false">(AJ43-AD43)/ABS(AD43)</f>
        <v>0.0511627906976744</v>
      </c>
      <c r="AK93" s="23" t="n">
        <f aca="false">AJ93/AI93-1</f>
        <v>-0.65625</v>
      </c>
      <c r="AL93" s="103"/>
      <c r="AM93" s="103" t="n">
        <f aca="false">(AM43-AF43)/ABS(AF43)</f>
        <v>0.730919142095162</v>
      </c>
      <c r="AN93" s="103" t="n">
        <f aca="false">(AN43-AG43)/ABS(AG43)</f>
        <v>0.22807308144776</v>
      </c>
      <c r="AO93" s="103" t="n">
        <f aca="false">(AO43-AH43)/ABS(AH43)</f>
        <v>-0.194087777505329</v>
      </c>
      <c r="AP93" s="103" t="n">
        <f aca="false">(AP43-AI43)/ABS(AI43)</f>
        <v>-0.175596972423599</v>
      </c>
    </row>
    <row r="94" s="2" customFormat="true" ht="25.5" hidden="false" customHeight="false" outlineLevel="0" collapsed="false">
      <c r="A94" s="111" t="s">
        <v>66</v>
      </c>
      <c r="B94" s="55"/>
      <c r="C94" s="112" t="n">
        <f aca="false">(C45-B45)/ABS(B45)</f>
        <v>0.148793156125878</v>
      </c>
      <c r="D94" s="112" t="n">
        <f aca="false">(D45-C45)/ABS(C45)</f>
        <v>0.127659574468085</v>
      </c>
      <c r="E94" s="103" t="n">
        <f aca="false">(E45-D45)/ABS(D45)</f>
        <v>-0.544103773584906</v>
      </c>
      <c r="F94" s="103" t="n">
        <f aca="false">(F45-E45)/ABS(E45)</f>
        <v>1.08432488360062</v>
      </c>
      <c r="G94" s="103" t="n">
        <f aca="false">(G45-F45)/ABS(F45)</f>
        <v>-0.36981881360139</v>
      </c>
      <c r="H94" s="103" t="n">
        <f aca="false">(H45-G45)/ABS(G45)</f>
        <v>1.25561244584482</v>
      </c>
      <c r="I94" s="103" t="n">
        <f aca="false">(I45-H45)/ABS(H45)</f>
        <v>0.0557010651300856</v>
      </c>
      <c r="J94" s="103" t="n">
        <f aca="false">(J45-I45)/ABS(I45)</f>
        <v>-0.16142904399603</v>
      </c>
      <c r="K94" s="103" t="n">
        <f aca="false">(K45-J45)/ABS(J45)</f>
        <v>0.0800591715976331</v>
      </c>
      <c r="L94" s="103" t="n">
        <f aca="false">(L45-J45)/ABS(J45)</f>
        <v>0.124260355029586</v>
      </c>
      <c r="M94" s="23" t="n">
        <f aca="false">L94/K94-1</f>
        <v>0.552106430155212</v>
      </c>
      <c r="N94" s="103" t="n">
        <f aca="false">(N45-K45)/ABS(K45)</f>
        <v>0.258463756901513</v>
      </c>
      <c r="O94" s="103" t="n">
        <f aca="false">(O45-N45)/ABS(N45)</f>
        <v>0.0707390265130861</v>
      </c>
      <c r="P94" s="104"/>
      <c r="Q94" s="104"/>
      <c r="R94" s="104"/>
      <c r="S94" s="104"/>
      <c r="T94" s="104"/>
      <c r="U94" s="104"/>
      <c r="V94" s="103" t="n">
        <f aca="false">(V45-Q45)/ABS(Q45)</f>
        <v>0.234519104084321</v>
      </c>
      <c r="W94" s="103" t="n">
        <f aca="false">(W45-R45)/ABS(R45)</f>
        <v>0.0687450039968026</v>
      </c>
      <c r="X94" s="103" t="n">
        <f aca="false">(X45-S45)/ABS(S45)</f>
        <v>-0.0365769496204279</v>
      </c>
      <c r="Y94" s="103" t="n">
        <f aca="false">(Y45-T45)/ABS(T45)</f>
        <v>-0.046388336646786</v>
      </c>
      <c r="Z94" s="103"/>
      <c r="AA94" s="103" t="n">
        <f aca="false">(AA45-V45)/ABS(V45)</f>
        <v>-0.216648879402348</v>
      </c>
      <c r="AB94" s="103" t="n">
        <f aca="false">(AB45-W45)/ABS(W45)</f>
        <v>-0.00448765893792072</v>
      </c>
      <c r="AC94" s="103" t="n">
        <f aca="false">(AC45-X45)/ABS(X45)</f>
        <v>-0.111747851002865</v>
      </c>
      <c r="AD94" s="103" t="n">
        <f aca="false">(AD45-Y45)/ABS(Y45)</f>
        <v>-0.283530229325921</v>
      </c>
      <c r="AE94" s="103"/>
      <c r="AF94" s="103" t="n">
        <f aca="false">(AF45-AA45)/ABS(AA45)</f>
        <v>-0.0122615803814714</v>
      </c>
      <c r="AG94" s="103" t="n">
        <f aca="false">(AG45-AB45)/ABS(AB45)</f>
        <v>0.18557475582269</v>
      </c>
      <c r="AH94" s="103" t="n">
        <f aca="false">(AH45-AC45)/ABS(AC45)</f>
        <v>-0.0548387096774194</v>
      </c>
      <c r="AI94" s="105" t="n">
        <f aca="false">(AI45-AD45)/ABS(AD45)</f>
        <v>0.237536372453928</v>
      </c>
      <c r="AJ94" s="103" t="n">
        <f aca="false">(AJ44-AD44)/ABS(AD44)</f>
        <v>-0.241165215985341</v>
      </c>
      <c r="AK94" s="23" t="n">
        <f aca="false">AJ94/AI94-1</f>
        <v>-2.01527700155527</v>
      </c>
      <c r="AL94" s="103"/>
      <c r="AM94" s="103" t="n">
        <f aca="false">(AM45-AF45)/ABS(AF45)</f>
        <v>0.156743455079419</v>
      </c>
      <c r="AN94" s="103" t="n">
        <f aca="false">(AN45-AG45)/ABS(AG45)</f>
        <v>0.357758466401756</v>
      </c>
      <c r="AO94" s="103" t="n">
        <f aca="false">(AO45-AH45)/ABS(AH45)</f>
        <v>0.261969594181942</v>
      </c>
      <c r="AP94" s="103" t="n">
        <f aca="false">(AP45-AI45)/ABS(AI45)</f>
        <v>0.248038601919138</v>
      </c>
    </row>
    <row r="95" s="2" customFormat="true" ht="25.5" hidden="false" customHeight="false" outlineLevel="0" collapsed="false">
      <c r="A95" s="114" t="s">
        <v>67</v>
      </c>
      <c r="B95" s="55"/>
      <c r="C95" s="112"/>
      <c r="D95" s="112"/>
      <c r="E95" s="103"/>
      <c r="F95" s="103"/>
      <c r="G95" s="103"/>
      <c r="H95" s="103"/>
      <c r="I95" s="103"/>
      <c r="J95" s="103"/>
      <c r="K95" s="103"/>
      <c r="L95" s="103"/>
      <c r="M95" s="23"/>
      <c r="N95" s="103"/>
      <c r="O95" s="103"/>
      <c r="P95" s="104"/>
      <c r="Q95" s="104"/>
      <c r="R95" s="104"/>
      <c r="S95" s="104"/>
      <c r="T95" s="104"/>
      <c r="U95" s="104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5"/>
      <c r="AJ95" s="103"/>
      <c r="AK95" s="23"/>
      <c r="AL95" s="103"/>
      <c r="AM95" s="103"/>
      <c r="AN95" s="103"/>
      <c r="AO95" s="103"/>
      <c r="AP95" s="103"/>
    </row>
    <row r="96" s="2" customFormat="true" ht="25.5" hidden="false" customHeight="false" outlineLevel="0" collapsed="false">
      <c r="A96" s="111" t="s">
        <v>68</v>
      </c>
      <c r="B96" s="55"/>
      <c r="C96" s="112" t="n">
        <f aca="false">(C47-B47)/ABS(B47)</f>
        <v>0.163157894736842</v>
      </c>
      <c r="D96" s="112" t="n">
        <f aca="false">(D47-C47)/ABS(C47)</f>
        <v>0.158371040723982</v>
      </c>
      <c r="E96" s="103" t="n">
        <f aca="false">(E47-D47)/ABS(D47)</f>
        <v>-0.53515625</v>
      </c>
      <c r="F96" s="103" t="n">
        <f aca="false">(F47-E47)/ABS(E47)</f>
        <v>1.14285714285714</v>
      </c>
      <c r="G96" s="103" t="n">
        <f aca="false">(G47-F47)/ABS(F47)</f>
        <v>-0.36078431372549</v>
      </c>
      <c r="H96" s="103" t="n">
        <f aca="false">(H47-G47)/ABS(G47)</f>
        <v>1.23362805627167</v>
      </c>
      <c r="I96" s="103" t="n">
        <f aca="false">(I47-H47)/ABS(H47)</f>
        <v>0.0518227612424783</v>
      </c>
      <c r="J96" s="103" t="n">
        <f aca="false">(J47-I47)/ABS(I47)</f>
        <v>-0.146728650851336</v>
      </c>
      <c r="K96" s="103" t="n">
        <f aca="false">(K47-J47)/ABS(J47)</f>
        <v>0.102078002532479</v>
      </c>
      <c r="L96" s="103" t="n">
        <f aca="false">(L47-J47)/ABS(J47)</f>
        <v>0.149448054074793</v>
      </c>
      <c r="M96" s="23" t="n">
        <f aca="false">L96/K96-1</f>
        <v>0.464057391084252</v>
      </c>
      <c r="N96" s="103" t="n">
        <f aca="false">(N47-K47)/ABS(K47)</f>
        <v>0.246657973123414</v>
      </c>
      <c r="O96" s="103" t="n">
        <f aca="false">(O47-N47)/ABS(N47)</f>
        <v>0.0672626011023292</v>
      </c>
      <c r="P96" s="104"/>
      <c r="Q96" s="104"/>
      <c r="R96" s="104"/>
      <c r="S96" s="104"/>
      <c r="T96" s="104"/>
      <c r="U96" s="104"/>
      <c r="V96" s="103" t="n">
        <f aca="false">(V47-Q47)/ABS(Q47)</f>
        <v>0.216494845360825</v>
      </c>
      <c r="W96" s="103" t="n">
        <f aca="false">(W47-R47)/ABS(R47)</f>
        <v>0.0499999999999999</v>
      </c>
      <c r="X96" s="103" t="n">
        <f aca="false">(X47-S47)/ABS(S47)</f>
        <v>-0.0434782608695653</v>
      </c>
      <c r="Y96" s="103" t="n">
        <f aca="false">(Y47-T47)/ABS(T47)</f>
        <v>-0.0464641645462256</v>
      </c>
      <c r="Z96" s="103"/>
      <c r="AA96" s="103" t="n">
        <f aca="false">(AA47-V47)/ABS(V47)</f>
        <v>-0.203389830508475</v>
      </c>
      <c r="AB96" s="103" t="n">
        <f aca="false">(AB47-W47)/ABS(W47)</f>
        <v>0.0119047619047619</v>
      </c>
      <c r="AC96" s="103" t="n">
        <f aca="false">(AC47-X47)/ABS(X47)</f>
        <v>-0.0909090909090909</v>
      </c>
      <c r="AD96" s="103" t="n">
        <f aca="false">(AD47-Y47)/ABS(Y47)</f>
        <v>-0.266976583469149</v>
      </c>
      <c r="AE96" s="103"/>
      <c r="AF96" s="103" t="n">
        <f aca="false">(AF47-AA47)/ABS(AA47)</f>
        <v>0.0106382978723404</v>
      </c>
      <c r="AG96" s="103" t="n">
        <f aca="false">(AG47-AB47)/ABS(AB47)</f>
        <v>0.223529411764706</v>
      </c>
      <c r="AH96" s="103" t="n">
        <f aca="false">(AH47-AC47)/ABS(AC47)</f>
        <v>-0.0318530266983876</v>
      </c>
      <c r="AI96" s="105" t="n">
        <f aca="false">(AI47-AD47)/ABS(AD47)</f>
        <v>0.250970155444382</v>
      </c>
      <c r="AJ96" s="103" t="n">
        <f aca="false">(AJ47-AD47)/ABS(AD47)</f>
        <v>0.482394574554848</v>
      </c>
      <c r="AK96" s="23" t="n">
        <f aca="false">AJ96/AI96-1</f>
        <v>0.922119280281322</v>
      </c>
      <c r="AL96" s="103"/>
      <c r="AM96" s="103" t="n">
        <f aca="false">(AM47-AF47)/ABS(AF47)</f>
        <v>0.146464805102637</v>
      </c>
      <c r="AN96" s="103" t="n">
        <f aca="false">(AN47-AG47)/ABS(AG47)</f>
        <v>0.346495010043973</v>
      </c>
      <c r="AO96" s="103" t="n">
        <f aca="false">(AO47-AH47)/ABS(AH47)</f>
        <v>0.256323940734286</v>
      </c>
      <c r="AP96" s="103" t="n">
        <f aca="false">(AP47-AI47)/ABS(AI47)</f>
        <v>0.223883016075542</v>
      </c>
    </row>
    <row r="97" s="2" customFormat="true" ht="25.5" hidden="false" customHeight="false" outlineLevel="0" collapsed="false">
      <c r="A97" s="111" t="s">
        <v>69</v>
      </c>
      <c r="B97" s="99"/>
      <c r="C97" s="112" t="n">
        <f aca="false">(C48-B48)/ABS(B48)</f>
        <v>0.167567567567568</v>
      </c>
      <c r="D97" s="112" t="n">
        <f aca="false">(D48-C48)/ABS(C48)</f>
        <v>0.162037037037037</v>
      </c>
      <c r="E97" s="103" t="n">
        <f aca="false">(E48-D48)/ABS(D48)</f>
        <v>-0.533864541832669</v>
      </c>
      <c r="F97" s="103" t="n">
        <f aca="false">(F48-E48)/ABS(E48)</f>
        <v>1.12820512820513</v>
      </c>
      <c r="G97" s="103" t="n">
        <f aca="false">(G48-F48)/ABS(F48)</f>
        <v>-0.357429718875502</v>
      </c>
      <c r="H97" s="103" t="n">
        <f aca="false">(H48-G48)/ABS(G48)</f>
        <v>1.22404312166025</v>
      </c>
      <c r="I97" s="103" t="n">
        <f aca="false">(I48-H48)/ABS(H48)</f>
        <v>0.0547835201268685</v>
      </c>
      <c r="J97" s="103" t="n">
        <f aca="false">(J48-I48)/ABS(I48)</f>
        <v>-0.139540970534172</v>
      </c>
      <c r="K97" s="103" t="n">
        <f aca="false">(K48-J48)/ABS(J48)</f>
        <v>0.10422109708934</v>
      </c>
      <c r="L97" s="103" t="n">
        <f aca="false">(L48-J48)/ABS(J48)</f>
        <v>0.153750416313211</v>
      </c>
      <c r="M97" s="23" t="n">
        <f aca="false">L97/K97-1</f>
        <v>0.475233139998652</v>
      </c>
      <c r="N97" s="103" t="n">
        <f aca="false">(N48-K48)/ABS(K48)</f>
        <v>0.248684741278417</v>
      </c>
      <c r="O97" s="103" t="n">
        <f aca="false">(O48-N48)/ABS(N48)</f>
        <v>0.0690120280832262</v>
      </c>
      <c r="P97" s="104"/>
      <c r="Q97" s="104"/>
      <c r="R97" s="104"/>
      <c r="S97" s="104"/>
      <c r="T97" s="104"/>
      <c r="U97" s="104"/>
      <c r="V97" s="103" t="n">
        <f aca="false">(V48-Q48)/ABS(Q48)</f>
        <v>0.221052631578947</v>
      </c>
      <c r="W97" s="103" t="n">
        <f aca="false">(W48-R48)/ABS(R48)</f>
        <v>0.064102564102564</v>
      </c>
      <c r="X97" s="103" t="n">
        <f aca="false">(X48-S48)/ABS(S48)</f>
        <v>-0.0333333333333334</v>
      </c>
      <c r="Y97" s="103" t="n">
        <f aca="false">(Y48-T48)/ABS(T48)</f>
        <v>-0.0298985404658376</v>
      </c>
      <c r="Z97" s="103"/>
      <c r="AA97" s="103" t="n">
        <f aca="false">(AA48-V48)/ABS(V48)</f>
        <v>-0.198275862068965</v>
      </c>
      <c r="AB97" s="103" t="n">
        <f aca="false">(AB48-W48)/ABS(W48)</f>
        <v>0.0240963855421687</v>
      </c>
      <c r="AC97" s="103" t="n">
        <f aca="false">(AC48-X48)/ABS(X48)</f>
        <v>-0.0919540229885057</v>
      </c>
      <c r="AD97" s="103" t="n">
        <f aca="false">(AD48-Y48)/ABS(Y48)</f>
        <v>-0.265714011292709</v>
      </c>
      <c r="AE97" s="103"/>
      <c r="AF97" s="103" t="n">
        <f aca="false">(AF48-AA48)/ABS(AA48)</f>
        <v>0.0107526881720429</v>
      </c>
      <c r="AG97" s="103" t="n">
        <f aca="false">(AG48-AB48)/ABS(AB48)</f>
        <v>0.211764705882353</v>
      </c>
      <c r="AH97" s="103" t="n">
        <f aca="false">(AH48-AC48)/ABS(AC48)</f>
        <v>-0.0281399909613702</v>
      </c>
      <c r="AI97" s="105" t="n">
        <f aca="false">(AI48-AD48)/ABS(AD48)</f>
        <v>0.250634971720811</v>
      </c>
      <c r="AJ97" s="103" t="n">
        <f aca="false">(AJ48-AD48)/ABS(AD48)</f>
        <v>0.492884553266871</v>
      </c>
      <c r="AK97" s="23" t="n">
        <f aca="false">AJ97/AI97-1</f>
        <v>0.966543415241786</v>
      </c>
      <c r="AL97" s="103"/>
      <c r="AM97" s="103" t="n">
        <f aca="false">(AM48-AF48)/ABS(AF48)</f>
        <v>0.151186005398187</v>
      </c>
      <c r="AN97" s="103" t="n">
        <f aca="false">(AN48-AG48)/ABS(AG48)</f>
        <v>0.342024967104272</v>
      </c>
      <c r="AO97" s="103" t="n">
        <f aca="false">(AO48-AH48)/ABS(AH48)</f>
        <v>0.250906873713464</v>
      </c>
      <c r="AP97" s="103" t="n">
        <f aca="false">(AP48-AI48)/ABS(AI48)</f>
        <v>0.239986739971273</v>
      </c>
    </row>
    <row r="98" s="2" customFormat="true" ht="41.75" hidden="false" customHeight="false" outlineLevel="0" collapsed="false">
      <c r="A98" s="114" t="s">
        <v>70</v>
      </c>
      <c r="B98" s="55"/>
      <c r="C98" s="112"/>
      <c r="D98" s="112"/>
      <c r="E98" s="103"/>
      <c r="F98" s="103"/>
      <c r="G98" s="103"/>
      <c r="H98" s="103"/>
      <c r="I98" s="103"/>
      <c r="J98" s="103"/>
      <c r="K98" s="103"/>
      <c r="L98" s="103"/>
      <c r="M98" s="23"/>
      <c r="N98" s="103"/>
      <c r="O98" s="103"/>
      <c r="P98" s="104"/>
      <c r="Q98" s="104"/>
      <c r="R98" s="104"/>
      <c r="S98" s="104"/>
      <c r="T98" s="104"/>
      <c r="U98" s="104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5"/>
      <c r="AJ98" s="103"/>
      <c r="AK98" s="23"/>
      <c r="AL98" s="103"/>
      <c r="AM98" s="103"/>
      <c r="AN98" s="103"/>
      <c r="AO98" s="103"/>
      <c r="AP98" s="103"/>
    </row>
    <row r="99" s="2" customFormat="true" ht="25.5" hidden="false" customHeight="false" outlineLevel="0" collapsed="false">
      <c r="A99" s="111" t="s">
        <v>71</v>
      </c>
      <c r="B99" s="55"/>
      <c r="C99" s="112" t="n">
        <f aca="false">(C50-B50)/ABS(B50)</f>
        <v>-0.0123497752763942</v>
      </c>
      <c r="D99" s="112" t="n">
        <f aca="false">(D50-C50)/ABS(C50)</f>
        <v>-0.0265126329787235</v>
      </c>
      <c r="E99" s="103" t="n">
        <f aca="false">(E50-D50)/ABS(D50)</f>
        <v>-0.0195924528301887</v>
      </c>
      <c r="F99" s="103" t="n">
        <f aca="false">(F50-E50)/ABS(E50)</f>
        <v>-0.027158517058751</v>
      </c>
      <c r="G99" s="103" t="n">
        <f aca="false">(G50-F50)/ABS(F50)</f>
        <v>-0.0132303601949738</v>
      </c>
      <c r="H99" s="103" t="n">
        <f aca="false">(H50-G50)/ABS(G50)</f>
        <v>0.00910957146522969</v>
      </c>
      <c r="I99" s="103" t="n">
        <f aca="false">(I50-H50)/ABS(H50)</f>
        <v>0.00368722186904002</v>
      </c>
      <c r="J99" s="103" t="n">
        <f aca="false">(J50-I50)/ABS(I50)</f>
        <v>-0.0172282746389663</v>
      </c>
      <c r="K99" s="103" t="n">
        <f aca="false">(K50-J50)/ABS(J50)</f>
        <v>-0.019979376127868</v>
      </c>
      <c r="L99" s="103" t="n">
        <f aca="false">(L50-J50)/ABS(J50)</f>
        <v>-0.0219128641402423</v>
      </c>
      <c r="M99" s="23" t="n">
        <f aca="false">L99/K99-1</f>
        <v>0.0967741935483872</v>
      </c>
      <c r="N99" s="103" t="n">
        <f aca="false">(N50-K50)/ABS(K50)</f>
        <v>0.00946994607391825</v>
      </c>
      <c r="O99" s="103" t="n">
        <f aca="false">(O50-N50)/ABS(N50)</f>
        <v>0.00325732899022801</v>
      </c>
      <c r="P99" s="104"/>
      <c r="Q99" s="104"/>
      <c r="R99" s="104"/>
      <c r="S99" s="104"/>
      <c r="T99" s="104"/>
      <c r="U99" s="104"/>
      <c r="V99" s="103" t="n">
        <f aca="false">(V50-Q50)/ABS(Q50)</f>
        <v>0.0128697656550135</v>
      </c>
      <c r="W99" s="103" t="n">
        <f aca="false">(W50-R50)/ABS(R50)</f>
        <v>0.00597584233947876</v>
      </c>
      <c r="X99" s="103" t="n">
        <f aca="false">(X50-S50)/ABS(S50)</f>
        <v>0.000633713561470215</v>
      </c>
      <c r="Y99" s="103" t="n">
        <f aca="false">(Y50-T50)/ABS(T50)</f>
        <v>-0.00443318556048132</v>
      </c>
      <c r="Z99" s="103"/>
      <c r="AA99" s="103" t="n">
        <f aca="false">(AA50-V50)/ABS(V50)</f>
        <v>-0.00935583791642972</v>
      </c>
      <c r="AB99" s="103" t="n">
        <f aca="false">(AB50-W50)/ABS(W50)</f>
        <v>-0.0147876643073813</v>
      </c>
      <c r="AC99" s="103" t="n">
        <f aca="false">(AC50-X50)/ABS(X50)</f>
        <v>-0.0222925902469918</v>
      </c>
      <c r="AD99" s="103" t="n">
        <f aca="false">(AD50-Y50)/ABS(Y50)</f>
        <v>-0.0225826972010178</v>
      </c>
      <c r="AE99" s="103"/>
      <c r="AF99" s="103" t="n">
        <f aca="false">(AF50-AA50)/ABS(AA50)</f>
        <v>-0.0246952970454979</v>
      </c>
      <c r="AG99" s="103" t="n">
        <f aca="false">(AG50-AB50)/ABS(AB50)</f>
        <v>-0.0245028864656832</v>
      </c>
      <c r="AH99" s="103" t="n">
        <f aca="false">(AH50-AC50)/ABS(AC50)</f>
        <v>-0.0198212203653322</v>
      </c>
      <c r="AI99" s="105" t="n">
        <f aca="false">(AI50-AD50)/ABS(AD50)</f>
        <v>-0.0107386918320859</v>
      </c>
      <c r="AJ99" s="103" t="n">
        <f aca="false">(AJ50-AD50)/ABS(AD50)</f>
        <v>-0.0185486495281484</v>
      </c>
      <c r="AK99" s="23" t="n">
        <f aca="false">AJ99/AI99-1</f>
        <v>0.727272727272728</v>
      </c>
      <c r="AL99" s="103"/>
      <c r="AM99" s="103" t="n">
        <f aca="false">(AM50-AF50)/ABS(AF50)</f>
        <v>0.00758963622088453</v>
      </c>
      <c r="AN99" s="103" t="n">
        <f aca="false">(AN50-AG50)/ABS(AG50)</f>
        <v>0.00604944765912681</v>
      </c>
      <c r="AO99" s="103" t="n">
        <f aca="false">(AO50-AH50)/ABS(AH50)</f>
        <v>0.00449378799894261</v>
      </c>
      <c r="AP99" s="103" t="n">
        <f aca="false">(AP50-AI50)/ABS(AI50)</f>
        <v>0.0197368421052632</v>
      </c>
    </row>
    <row r="100" s="2" customFormat="true" ht="25.5" hidden="false" customHeight="false" outlineLevel="0" collapsed="false">
      <c r="A100" s="111" t="s">
        <v>72</v>
      </c>
      <c r="B100" s="55"/>
      <c r="C100" s="112" t="n">
        <f aca="false">(C51-B51)/ABS(B51)</f>
        <v>-0.0160799357255209</v>
      </c>
      <c r="D100" s="112" t="n">
        <f aca="false">(D51-C51)/ABS(C51)</f>
        <v>-0.0295837924896159</v>
      </c>
      <c r="E100" s="103" t="n">
        <f aca="false">(E51-D51)/ABS(D51)</f>
        <v>-0.017844103773585</v>
      </c>
      <c r="F100" s="103" t="n">
        <f aca="false">(F51-E51)/ABS(E51)</f>
        <v>-0.0245313724308359</v>
      </c>
      <c r="G100" s="103" t="n">
        <f aca="false">(G51-F51)/ABS(F51)</f>
        <v>-0.0165595650024717</v>
      </c>
      <c r="H100" s="103" t="n">
        <f aca="false">(H51-G51)/ABS(G51)</f>
        <v>0.0111837145011311</v>
      </c>
      <c r="I100" s="103" t="n">
        <f aca="false">(I51-H51)/ABS(H51)</f>
        <v>0.000869889399776229</v>
      </c>
      <c r="J100" s="103" t="n">
        <f aca="false">(J51-I51)/ABS(I51)</f>
        <v>-0.0254376707226222</v>
      </c>
      <c r="K100" s="103" t="n">
        <f aca="false">(K51-J51)/ABS(J51)</f>
        <v>-0.0218814199034925</v>
      </c>
      <c r="L100" s="103" t="n">
        <f aca="false">(L51-J51)/ABS(J51)</f>
        <v>-0.0255601739047346</v>
      </c>
      <c r="M100" s="23" t="n">
        <f aca="false">L100/K100-1</f>
        <v>0.168122270742354</v>
      </c>
      <c r="N100" s="103" t="n">
        <f aca="false">(N51-K51)/ABS(K51)</f>
        <v>0.00783145280776313</v>
      </c>
      <c r="O100" s="103" t="n">
        <f aca="false">(O51-N51)/ABS(N51)</f>
        <v>0.00161550888529887</v>
      </c>
      <c r="P100" s="104"/>
      <c r="Q100" s="104"/>
      <c r="R100" s="104"/>
      <c r="S100" s="104"/>
      <c r="T100" s="104"/>
      <c r="U100" s="104"/>
      <c r="V100" s="103" t="n">
        <f aca="false">(V51-Q51)/ABS(Q51)</f>
        <v>0.0165066214774367</v>
      </c>
      <c r="W100" s="103" t="n">
        <f aca="false">(W51-R51)/ABS(R51)</f>
        <v>0.00490835663249462</v>
      </c>
      <c r="X100" s="103" t="n">
        <f aca="false">(X51-S51)/ABS(S51)</f>
        <v>-0.00383449811367434</v>
      </c>
      <c r="Y100" s="103" t="n">
        <f aca="false">(Y51-T51)/ABS(T51)</f>
        <v>-0.0123227444423804</v>
      </c>
      <c r="Z100" s="103"/>
      <c r="AA100" s="103" t="n">
        <f aca="false">(AA51-V51)/ABS(V51)</f>
        <v>-0.0208693504569029</v>
      </c>
      <c r="AB100" s="103" t="n">
        <f aca="false">(AB51-W51)/ABS(W51)</f>
        <v>-0.0278224310621986</v>
      </c>
      <c r="AC100" s="103" t="n">
        <f aca="false">(AC51-X51)/ABS(X51)</f>
        <v>-0.0284969268020116</v>
      </c>
      <c r="AD100" s="103" t="n">
        <f aca="false">(AD51-Y51)/ABS(Y51)</f>
        <v>-0.0242633228840126</v>
      </c>
      <c r="AE100" s="103"/>
      <c r="AF100" s="103" t="n">
        <f aca="false">(AF51-AA51)/ABS(AA51)</f>
        <v>-0.0268003531340648</v>
      </c>
      <c r="AG100" s="103" t="n">
        <f aca="false">(AG51-AB51)/ABS(AB51)</f>
        <v>-0.0256296107860596</v>
      </c>
      <c r="AH100" s="103" t="n">
        <f aca="false">(AH51-AC51)/ABS(AC51)</f>
        <v>-0.0244759713701431</v>
      </c>
      <c r="AI100" s="105" t="n">
        <f aca="false">(AI51-AD51)/ABS(AD51)</f>
        <v>-0.0104735590824391</v>
      </c>
      <c r="AJ100" s="103" t="n">
        <f aca="false">(AJ51-AD51)/ABS(AD51)</f>
        <v>-0.0254449656235944</v>
      </c>
      <c r="AK100" s="23" t="n">
        <f aca="false">AJ100/AI100-1</f>
        <v>1.42944785276074</v>
      </c>
      <c r="AL100" s="103"/>
      <c r="AM100" s="103" t="n">
        <f aca="false">(AM51-AF51)/ABS(AF51)</f>
        <v>0.00434134646536645</v>
      </c>
      <c r="AN100" s="103" t="n">
        <f aca="false">(AN51-AG51)/ABS(AG51)</f>
        <v>0.0116833104888715</v>
      </c>
      <c r="AO100" s="103" t="n">
        <f aca="false">(AO51-AH51)/ABS(AH51)</f>
        <v>0.00884376023583361</v>
      </c>
      <c r="AP100" s="103" t="n">
        <f aca="false">(AP51-AI51)/ABS(AI51)</f>
        <v>0.00649350649350649</v>
      </c>
    </row>
    <row r="101" s="2" customFormat="true" ht="25.5" hidden="false" customHeight="false" outlineLevel="0" collapsed="false">
      <c r="A101" s="18"/>
      <c r="B101" s="115"/>
      <c r="C101" s="115"/>
      <c r="D101" s="115"/>
      <c r="E101" s="13"/>
      <c r="F101" s="13"/>
      <c r="G101" s="13"/>
      <c r="H101" s="13"/>
      <c r="I101" s="13"/>
      <c r="J101" s="13"/>
      <c r="K101" s="13"/>
      <c r="L101" s="103"/>
      <c r="M101" s="2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7"/>
      <c r="AJ101" s="13"/>
      <c r="AK101" s="23"/>
      <c r="AL101" s="13"/>
      <c r="AM101" s="13"/>
      <c r="AN101" s="13"/>
      <c r="AO101" s="13"/>
      <c r="AP101" s="13"/>
    </row>
    <row r="102" s="2" customFormat="true" ht="25.5" hidden="false" customHeight="false" outlineLevel="0" collapsed="false">
      <c r="A102" s="116" t="s">
        <v>76</v>
      </c>
      <c r="B102" s="12"/>
      <c r="C102" s="12"/>
      <c r="D102" s="12"/>
      <c r="E102" s="13"/>
      <c r="F102" s="13"/>
      <c r="G102" s="13"/>
      <c r="H102" s="13"/>
      <c r="I102" s="13"/>
      <c r="J102" s="13"/>
      <c r="K102" s="13"/>
      <c r="L102" s="13"/>
      <c r="M102" s="2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7"/>
      <c r="AJ102" s="13"/>
      <c r="AK102" s="23"/>
      <c r="AL102" s="13"/>
      <c r="AM102" s="13"/>
      <c r="AN102" s="13"/>
      <c r="AO102" s="13"/>
      <c r="AP102" s="13"/>
    </row>
    <row r="103" s="2" customFormat="true" ht="25.5" hidden="false" customHeight="false" outlineLevel="0" collapsed="false">
      <c r="A103" s="41" t="s">
        <v>74</v>
      </c>
      <c r="B103" s="12"/>
      <c r="C103" s="12"/>
      <c r="D103" s="12"/>
      <c r="E103" s="14"/>
      <c r="F103" s="14"/>
      <c r="G103" s="14"/>
      <c r="H103" s="14"/>
      <c r="I103" s="14"/>
      <c r="J103" s="14"/>
      <c r="K103" s="24"/>
      <c r="L103" s="24"/>
      <c r="M103" s="2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4"/>
      <c r="Z103" s="16"/>
      <c r="AA103" s="14"/>
      <c r="AB103" s="14"/>
      <c r="AC103" s="14"/>
      <c r="AD103" s="14"/>
      <c r="AE103" s="14"/>
      <c r="AF103" s="14"/>
      <c r="AG103" s="14"/>
      <c r="AH103" s="14"/>
      <c r="AI103" s="25"/>
      <c r="AJ103" s="14"/>
      <c r="AK103" s="23"/>
      <c r="AL103" s="13"/>
      <c r="AM103" s="14"/>
      <c r="AN103" s="14"/>
      <c r="AO103" s="14"/>
      <c r="AP103" s="14"/>
    </row>
    <row r="104" s="2" customFormat="true" ht="41.75" hidden="false" customHeight="false" outlineLevel="0" collapsed="false">
      <c r="A104" s="20" t="s">
        <v>52</v>
      </c>
      <c r="B104" s="12"/>
      <c r="C104" s="12"/>
      <c r="D104" s="12"/>
      <c r="E104" s="117" t="n">
        <f aca="false">E29/SUM(E$29:E$31)</f>
        <v>0.64738203913132</v>
      </c>
      <c r="F104" s="117" t="n">
        <f aca="false">F29/SUM(F$29:F$31)</f>
        <v>0.651549386701098</v>
      </c>
      <c r="G104" s="117" t="n">
        <f aca="false">G29/SUM(G$29:G$31)</f>
        <v>0.655776914851708</v>
      </c>
      <c r="H104" s="117" t="n">
        <f aca="false">H29/SUM(H$29:H$31)</f>
        <v>0.662936500425854</v>
      </c>
      <c r="I104" s="117" t="n">
        <f aca="false">I29/SUM(I$29:I$31)</f>
        <v>0.657351017277936</v>
      </c>
      <c r="J104" s="117" t="n">
        <f aca="false">J29/SUM(J$29:J$31)</f>
        <v>0.68032029565753</v>
      </c>
      <c r="K104" s="117" t="n">
        <f aca="false">K29/SUM(K$29:K$31)</f>
        <v>0.685562551547947</v>
      </c>
      <c r="L104" s="117" t="n">
        <f aca="false">L29/SUM(L$29:L$31)</f>
        <v>0.678348925462183</v>
      </c>
      <c r="M104" s="23" t="n">
        <f aca="false">L104/K104-1</f>
        <v>-0.0105221997168254</v>
      </c>
      <c r="N104" s="118" t="n">
        <f aca="false">N29/SUM(N$29:N$31)</f>
        <v>0.687021439509954</v>
      </c>
      <c r="O104" s="118" t="n">
        <f aca="false">O29/SUM(O$29:O$31)</f>
        <v>0.687849792381296</v>
      </c>
      <c r="P104" s="14"/>
      <c r="Q104" s="14"/>
      <c r="R104" s="14"/>
      <c r="S104" s="14"/>
      <c r="T104" s="14"/>
      <c r="U104" s="14"/>
      <c r="V104" s="103" t="e">
        <f aca="false">V54/Q54-1</f>
        <v>#DIV/0!</v>
      </c>
      <c r="W104" s="103" t="e">
        <f aca="false">W54/R54-1</f>
        <v>#DIV/0!</v>
      </c>
      <c r="X104" s="103" t="e">
        <f aca="false">X54/S54-1</f>
        <v>#DIV/0!</v>
      </c>
      <c r="Y104" s="103" t="e">
        <f aca="false">Y54/T54-1</f>
        <v>#DIV/0!</v>
      </c>
      <c r="Z104" s="103"/>
      <c r="AA104" s="118" t="n">
        <f aca="false">AA29/SUM(AA$29:AA$31)</f>
        <v>0.674256273890643</v>
      </c>
      <c r="AB104" s="118" t="n">
        <f aca="false">AB29/SUM(AB$29:AB$31)</f>
        <v>0.669290099165748</v>
      </c>
      <c r="AC104" s="118" t="n">
        <f aca="false">AC29/SUM(AC$29:AC$31)</f>
        <v>0.678067041007317</v>
      </c>
      <c r="AD104" s="118" t="n">
        <f aca="false">AD29/SUM(AD$29:AD$31)</f>
        <v>0.699942674637622</v>
      </c>
      <c r="AE104" s="103"/>
      <c r="AF104" s="118" t="n">
        <f aca="false">AF29/SUM(AF$29:AF$31)</f>
        <v>0.682414910858995</v>
      </c>
      <c r="AG104" s="118" t="n">
        <f aca="false">AG29/SUM(AG$29:AG$31)</f>
        <v>0.669284603421462</v>
      </c>
      <c r="AH104" s="118" t="n">
        <f aca="false">AH29/SUM(AH$29:AH$31)</f>
        <v>0.683641846050758</v>
      </c>
      <c r="AI104" s="119" t="n">
        <f aca="false">AI29/SUM(AI$29:AI$31)</f>
        <v>0.707126948775056</v>
      </c>
      <c r="AJ104" s="118" t="n">
        <f aca="false">AJ29/SUM(AJ$29:AJ$31)</f>
        <v>0.678612621519196</v>
      </c>
      <c r="AK104" s="23" t="n">
        <f aca="false">AJ104/AI104-1</f>
        <v>-0.0403241982295466</v>
      </c>
      <c r="AL104" s="103"/>
      <c r="AM104" s="103" t="e">
        <f aca="false">AM54/AF54-1</f>
        <v>#DIV/0!</v>
      </c>
      <c r="AN104" s="103" t="e">
        <f aca="false">AN54/AG54-1</f>
        <v>#DIV/0!</v>
      </c>
      <c r="AO104" s="103" t="e">
        <f aca="false">AO54/AH54-1</f>
        <v>#DIV/0!</v>
      </c>
      <c r="AP104" s="103" t="e">
        <f aca="false">AP54/AI54-1</f>
        <v>#DIV/0!</v>
      </c>
    </row>
    <row r="105" s="2" customFormat="true" ht="41.75" hidden="false" customHeight="false" outlineLevel="0" collapsed="false">
      <c r="A105" s="20" t="s">
        <v>41</v>
      </c>
      <c r="B105" s="12"/>
      <c r="C105" s="12"/>
      <c r="D105" s="12"/>
      <c r="E105" s="118" t="n">
        <f aca="false">E30/SUM(E$29:E$31)</f>
        <v>0.312033026136</v>
      </c>
      <c r="F105" s="118" t="n">
        <f aca="false">F30/SUM(F$29:F$31)</f>
        <v>0.310684312459651</v>
      </c>
      <c r="G105" s="118" t="n">
        <f aca="false">G30/SUM(G$29:G$31)</f>
        <v>0.30820530136755</v>
      </c>
      <c r="H105" s="118" t="n">
        <f aca="false">H30/SUM(H$29:H$31)</f>
        <v>0.304367370114507</v>
      </c>
      <c r="I105" s="117" t="n">
        <f aca="false">I30/SUM(I$29:I$31)</f>
        <v>0.306017954617224</v>
      </c>
      <c r="J105" s="117" t="n">
        <f aca="false">J30/SUM(J$29:J$31)</f>
        <v>0.284221332512062</v>
      </c>
      <c r="K105" s="117" t="n">
        <f aca="false">K30/SUM(K$29:K$31)</f>
        <v>0.274225020619179</v>
      </c>
      <c r="L105" s="117" t="n">
        <f aca="false">L30/SUM(L$29:L$31)</f>
        <v>0.279542179921667</v>
      </c>
      <c r="M105" s="23" t="n">
        <f aca="false">L105/K105-1</f>
        <v>0.0193897671718017</v>
      </c>
      <c r="N105" s="118" t="n">
        <f aca="false">N30/SUM(N$29:N$31)</f>
        <v>0.268376722817764</v>
      </c>
      <c r="O105" s="118" t="n">
        <f aca="false">O30/SUM(O$29:O$31)</f>
        <v>0.265932478786785</v>
      </c>
      <c r="P105" s="14"/>
      <c r="Q105" s="14"/>
      <c r="R105" s="14"/>
      <c r="S105" s="14"/>
      <c r="T105" s="14"/>
      <c r="U105" s="14"/>
      <c r="V105" s="103" t="e">
        <f aca="false">V55/Q55-1</f>
        <v>#DIV/0!</v>
      </c>
      <c r="W105" s="103" t="e">
        <f aca="false">W55/R55-1</f>
        <v>#DIV/0!</v>
      </c>
      <c r="X105" s="103" t="e">
        <f aca="false">X55/S55-1</f>
        <v>#DIV/0!</v>
      </c>
      <c r="Y105" s="103" t="e">
        <f aca="false">Y55/T55-1</f>
        <v>#DIV/0!</v>
      </c>
      <c r="Z105" s="103"/>
      <c r="AA105" s="118" t="n">
        <f aca="false">AA30/SUM(AA$29:AA$31)</f>
        <v>0.285358151902942</v>
      </c>
      <c r="AB105" s="118" t="n">
        <f aca="false">AB30/SUM(AB$29:AB$31)</f>
        <v>0.29859908704549</v>
      </c>
      <c r="AC105" s="118" t="n">
        <f aca="false">AC30/SUM(AC$29:AC$31)</f>
        <v>0.287646758550281</v>
      </c>
      <c r="AD105" s="118" t="n">
        <f aca="false">AD30/SUM(AD$29:AD$31)</f>
        <v>0.264843174187208</v>
      </c>
      <c r="AE105" s="103"/>
      <c r="AF105" s="118" t="n">
        <f aca="false">AF30/SUM(AF$29:AF$31)</f>
        <v>0.274554294975689</v>
      </c>
      <c r="AG105" s="118" t="n">
        <f aca="false">AG30/SUM(AG$29:AG$31)</f>
        <v>0.293468118195957</v>
      </c>
      <c r="AH105" s="118" t="n">
        <f aca="false">AH30/SUM(AH$29:AH$31)</f>
        <v>0.275567467962141</v>
      </c>
      <c r="AI105" s="119" t="n">
        <f aca="false">AI30/SUM(AI$29:AI$31)</f>
        <v>0.252943048043271</v>
      </c>
      <c r="AJ105" s="118" t="n">
        <f aca="false">AJ30/SUM(AJ$29:AJ$31)</f>
        <v>0.273768330861756</v>
      </c>
      <c r="AK105" s="23" t="n">
        <f aca="false">AJ105/AI105-1</f>
        <v>0.0823319042748434</v>
      </c>
      <c r="AL105" s="103"/>
      <c r="AM105" s="103" t="n">
        <f aca="false">AM55/AF55-1</f>
        <v>-3.36418058159955</v>
      </c>
      <c r="AN105" s="103" t="n">
        <f aca="false">AN55/AG55-1</f>
        <v>-1.73223704101858</v>
      </c>
      <c r="AO105" s="103" t="n">
        <f aca="false">AO55/AH55-1</f>
        <v>-0.0259696741224763</v>
      </c>
      <c r="AP105" s="103" t="n">
        <f aca="false">AP55/AI55-1</f>
        <v>-0.165783310735856</v>
      </c>
    </row>
    <row r="106" s="2" customFormat="true" ht="41.75" hidden="false" customHeight="false" outlineLevel="0" collapsed="false">
      <c r="A106" s="20" t="s">
        <v>42</v>
      </c>
      <c r="B106" s="12"/>
      <c r="C106" s="12"/>
      <c r="D106" s="12"/>
      <c r="E106" s="118" t="n">
        <f aca="false">E31/SUM(E$29:E$31)</f>
        <v>0.0405849347326802</v>
      </c>
      <c r="F106" s="118" t="n">
        <f aca="false">F31/SUM(F$29:F$31)</f>
        <v>0.0377663008392511</v>
      </c>
      <c r="G106" s="118" t="n">
        <f aca="false">G31/SUM(G$29:G$31)</f>
        <v>0.0360177837807417</v>
      </c>
      <c r="H106" s="118" t="n">
        <f aca="false">H31/SUM(H$29:H$31)</f>
        <v>0.0326961294596385</v>
      </c>
      <c r="I106" s="117" t="n">
        <f aca="false">I31/SUM(I$29:I$31)</f>
        <v>0.0366310281048405</v>
      </c>
      <c r="J106" s="117" t="n">
        <f aca="false">J31/SUM(J$29:J$31)</f>
        <v>0.0354583718304076</v>
      </c>
      <c r="K106" s="117" t="n">
        <f aca="false">K31/SUM(K$29:K$31)</f>
        <v>0.040212427832874</v>
      </c>
      <c r="L106" s="117" t="n">
        <f aca="false">L31/SUM(L$29:L$31)</f>
        <v>0.0421088946161495</v>
      </c>
      <c r="M106" s="23" t="n">
        <f aca="false">L106/K106-1</f>
        <v>0.0471612107370729</v>
      </c>
      <c r="N106" s="118" t="n">
        <f aca="false">N31/SUM(N$29:N$31)</f>
        <v>0.0446018376722818</v>
      </c>
      <c r="O106" s="118" t="n">
        <f aca="false">O31/SUM(O$29:O$31)</f>
        <v>0.0462177288319191</v>
      </c>
      <c r="P106" s="14"/>
      <c r="Q106" s="14"/>
      <c r="R106" s="14"/>
      <c r="S106" s="14"/>
      <c r="T106" s="14"/>
      <c r="U106" s="14"/>
      <c r="V106" s="103" t="e">
        <f aca="false">V56/Q56-1</f>
        <v>#DIV/0!</v>
      </c>
      <c r="W106" s="103" t="e">
        <f aca="false">W56/R56-1</f>
        <v>#DIV/0!</v>
      </c>
      <c r="X106" s="103" t="e">
        <f aca="false">X56/S56-1</f>
        <v>#DIV/0!</v>
      </c>
      <c r="Y106" s="103" t="e">
        <f aca="false">Y56/T56-1</f>
        <v>#DIV/0!</v>
      </c>
      <c r="Z106" s="103"/>
      <c r="AA106" s="118" t="n">
        <f aca="false">AA31/SUM(AA$29:AA$31)</f>
        <v>0.0403855742064152</v>
      </c>
      <c r="AB106" s="118" t="n">
        <f aca="false">AB31/SUM(AB$29:AB$31)</f>
        <v>0.0321108137887612</v>
      </c>
      <c r="AC106" s="118" t="n">
        <f aca="false">AC31/SUM(AC$29:AC$31)</f>
        <v>0.0342862004424026</v>
      </c>
      <c r="AD106" s="118" t="n">
        <f aca="false">AD31/SUM(AD$29:AD$31)</f>
        <v>0.0352141511751699</v>
      </c>
      <c r="AE106" s="103"/>
      <c r="AF106" s="118" t="n">
        <f aca="false">AF31/SUM(AF$29:AF$31)</f>
        <v>0.043030794165316</v>
      </c>
      <c r="AG106" s="118" t="n">
        <f aca="false">AG31/SUM(AG$29:AG$31)</f>
        <v>0.0372472783825817</v>
      </c>
      <c r="AH106" s="118" t="n">
        <f aca="false">AH31/SUM(AH$29:AH$31)</f>
        <v>0.0407906859871011</v>
      </c>
      <c r="AI106" s="119" t="n">
        <f aca="false">AI31/SUM(AI$29:AI$31)</f>
        <v>0.0399300031816736</v>
      </c>
      <c r="AJ106" s="118" t="n">
        <f aca="false">AJ31/SUM(AJ$29:AJ$31)</f>
        <v>0.0476190476190476</v>
      </c>
      <c r="AK106" s="23" t="n">
        <f aca="false">AJ106/AI106-1</f>
        <v>0.192563081009296</v>
      </c>
      <c r="AL106" s="103"/>
      <c r="AM106" s="103" t="n">
        <f aca="false">AM56/AF56-1</f>
        <v>-2.41419878296146</v>
      </c>
      <c r="AN106" s="103" t="n">
        <f aca="false">AN56/AG56-1</f>
        <v>-2.90153759345465</v>
      </c>
      <c r="AO106" s="103" t="n">
        <f aca="false">AO56/AH56-1</f>
        <v>-2.09943181818182</v>
      </c>
      <c r="AP106" s="103" t="n">
        <f aca="false">AP56/AI56-1</f>
        <v>0.172228015293709</v>
      </c>
    </row>
    <row r="107" s="2" customFormat="true" ht="25.5" hidden="false" customHeight="false" outlineLevel="0" collapsed="false">
      <c r="A107" s="1" t="s">
        <v>77</v>
      </c>
      <c r="B107" s="120" t="n">
        <f aca="false">B34/B32</f>
        <v>0.459690859775824</v>
      </c>
      <c r="C107" s="120" t="n">
        <f aca="false">C34/C32</f>
        <v>0.462410427477144</v>
      </c>
      <c r="D107" s="120" t="n">
        <f aca="false">D34/D32</f>
        <v>0.445764192139738</v>
      </c>
      <c r="E107" s="118" t="n">
        <f aca="false">E34/E32</f>
        <v>0.438387779212572</v>
      </c>
      <c r="F107" s="118" t="n">
        <f aca="false">F34/F32</f>
        <v>0.446711148605466</v>
      </c>
      <c r="G107" s="118" t="n">
        <f aca="false">G34/G32</f>
        <v>0.434216506697324</v>
      </c>
      <c r="H107" s="118" t="n">
        <f aca="false">H34/H32</f>
        <v>0.44820153576721</v>
      </c>
      <c r="I107" s="118" t="n">
        <f aca="false">I34/I32</f>
        <v>0.45983729394134</v>
      </c>
      <c r="J107" s="121" t="n">
        <f aca="false">J34/J32</f>
        <v>0.435246109690142</v>
      </c>
      <c r="K107" s="121" t="n">
        <f aca="false">K34/K32</f>
        <v>0.44426865268479</v>
      </c>
      <c r="L107" s="121" t="n">
        <f aca="false">L34/L32</f>
        <v>0.445601806783225</v>
      </c>
      <c r="M107" s="23" t="n">
        <f aca="false">L107/K107-1</f>
        <v>0.00300078362580414</v>
      </c>
      <c r="N107" s="121" t="n">
        <f aca="false">N34/N32</f>
        <v>0.458928144922743</v>
      </c>
      <c r="O107" s="121" t="n">
        <f aca="false">O34/O32</f>
        <v>0.454734291154579</v>
      </c>
      <c r="P107" s="118"/>
      <c r="Q107" s="118"/>
      <c r="R107" s="118"/>
      <c r="S107" s="118"/>
      <c r="T107" s="118"/>
      <c r="U107" s="118"/>
      <c r="V107" s="118" t="n">
        <f aca="false">V34/V32</f>
        <v>0.465055519268452</v>
      </c>
      <c r="W107" s="118" t="n">
        <f aca="false">W34/W32</f>
        <v>0.459012063044818</v>
      </c>
      <c r="X107" s="118" t="n">
        <f aca="false">X34/X32</f>
        <v>0.46610247447337</v>
      </c>
      <c r="Y107" s="118" t="n">
        <f aca="false">Y34/Y32</f>
        <v>0.449811999346085</v>
      </c>
      <c r="Z107" s="118"/>
      <c r="AA107" s="118" t="n">
        <f aca="false">AA34/AA32</f>
        <v>0.442579017892331</v>
      </c>
      <c r="AB107" s="118" t="n">
        <f aca="false">AB34/AB32</f>
        <v>0.428914757791964</v>
      </c>
      <c r="AC107" s="118" t="n">
        <f aca="false">AC34/AC32</f>
        <v>0.433494753833737</v>
      </c>
      <c r="AD107" s="121" t="n">
        <f aca="false">AD34/AD32</f>
        <v>0.43625730994152</v>
      </c>
      <c r="AE107" s="118"/>
      <c r="AF107" s="118" t="n">
        <f aca="false">AF34/AF32</f>
        <v>0.442074348867764</v>
      </c>
      <c r="AG107" s="118" t="n">
        <f aca="false">AG34/AG32</f>
        <v>0.445996414699731</v>
      </c>
      <c r="AH107" s="118" t="n">
        <f aca="false">AH34/AH32</f>
        <v>0.447501810282404</v>
      </c>
      <c r="AI107" s="122" t="n">
        <f aca="false">AI34/AI32</f>
        <v>0.441597185037864</v>
      </c>
      <c r="AJ107" s="121" t="n">
        <f aca="false">AJ34/AJ32</f>
        <v>0.446930033317468</v>
      </c>
      <c r="AK107" s="23" t="n">
        <f aca="false">AJ107/AI107-1</f>
        <v>0.0120762732650714</v>
      </c>
      <c r="AL107" s="121"/>
      <c r="AM107" s="121" t="n">
        <f aca="false">AM34/AM32</f>
        <v>0.460352422907489</v>
      </c>
      <c r="AN107" s="121" t="n">
        <f aca="false">AN34/AN32</f>
        <v>0.470151889791593</v>
      </c>
      <c r="AO107" s="121" t="n">
        <f aca="false">AO34/AO32</f>
        <v>0.453341546042501</v>
      </c>
      <c r="AP107" s="121" t="n">
        <f aca="false">AP34/AP32</f>
        <v>0.451192741109322</v>
      </c>
    </row>
    <row r="108" s="2" customFormat="true" ht="25.5" hidden="false" customHeight="false" outlineLevel="0" collapsed="false">
      <c r="A108" s="1" t="s">
        <v>78</v>
      </c>
      <c r="B108" s="120"/>
      <c r="C108" s="120"/>
      <c r="D108" s="120"/>
      <c r="E108" s="118" t="n">
        <f aca="false">1-E107</f>
        <v>0.561612220787428</v>
      </c>
      <c r="F108" s="118" t="n">
        <f aca="false">1-F107</f>
        <v>0.553288851394534</v>
      </c>
      <c r="G108" s="118" t="n">
        <f aca="false">1-G107</f>
        <v>0.565783493302676</v>
      </c>
      <c r="H108" s="118" t="n">
        <f aca="false">1-H107</f>
        <v>0.55179846423279</v>
      </c>
      <c r="I108" s="118" t="n">
        <f aca="false">1-I107</f>
        <v>0.54016270605866</v>
      </c>
      <c r="J108" s="118" t="n">
        <f aca="false">1-J107</f>
        <v>0.564753890309858</v>
      </c>
      <c r="K108" s="118" t="n">
        <f aca="false">1-K107</f>
        <v>0.55573134731521</v>
      </c>
      <c r="L108" s="118" t="n">
        <f aca="false">1-L107</f>
        <v>0.554398193216775</v>
      </c>
      <c r="M108" s="23" t="n">
        <f aca="false">L108/K108-1</f>
        <v>-0.00239891829905814</v>
      </c>
      <c r="N108" s="118" t="n">
        <f aca="false">1-N107</f>
        <v>0.541071855077257</v>
      </c>
      <c r="O108" s="118" t="n">
        <f aca="false">1-O107</f>
        <v>0.545265708845422</v>
      </c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21"/>
      <c r="AE108" s="118"/>
      <c r="AF108" s="118"/>
      <c r="AG108" s="118"/>
      <c r="AH108" s="118"/>
      <c r="AI108" s="122"/>
      <c r="AJ108" s="121"/>
      <c r="AK108" s="23"/>
      <c r="AL108" s="121"/>
      <c r="AM108" s="121"/>
      <c r="AN108" s="121"/>
      <c r="AO108" s="121"/>
      <c r="AP108" s="121"/>
    </row>
    <row r="109" s="2" customFormat="true" ht="25.5" hidden="false" customHeight="false" outlineLevel="0" collapsed="false">
      <c r="A109" s="1" t="s">
        <v>79</v>
      </c>
      <c r="B109" s="120" t="n">
        <f aca="false">B37/B32</f>
        <v>0.323257409888566</v>
      </c>
      <c r="C109" s="120" t="n">
        <f aca="false">C37/C32</f>
        <v>0.323356807511737</v>
      </c>
      <c r="D109" s="120" t="n">
        <f aca="false">D37/D32</f>
        <v>0.307510917030568</v>
      </c>
      <c r="E109" s="118" t="n">
        <f aca="false">E37/E32</f>
        <v>0.316262329312856</v>
      </c>
      <c r="F109" s="118" t="n">
        <f aca="false">F37/F32</f>
        <v>0.32471815323261</v>
      </c>
      <c r="G109" s="118" t="n">
        <f aca="false">G37/G32</f>
        <v>0.350934417025372</v>
      </c>
      <c r="H109" s="118" t="n">
        <f aca="false">H37/H32</f>
        <v>0.292446899277022</v>
      </c>
      <c r="I109" s="118" t="n">
        <f aca="false">I37/I32</f>
        <v>0.316934275315778</v>
      </c>
      <c r="J109" s="121" t="n">
        <f aca="false">J37/J32</f>
        <v>0.319757111896441</v>
      </c>
      <c r="K109" s="121" t="n">
        <f aca="false">K37/K32</f>
        <v>0.323911323776264</v>
      </c>
      <c r="L109" s="121" t="n">
        <f aca="false">L37/L32</f>
        <v>0.322728865698376</v>
      </c>
      <c r="M109" s="23" t="n">
        <f aca="false">L109/K109-1</f>
        <v>-0.00365056109833561</v>
      </c>
      <c r="N109" s="121" t="n">
        <f aca="false">N37/N32</f>
        <v>0.316926638372926</v>
      </c>
      <c r="O109" s="121" t="n">
        <f aca="false">O37/O32</f>
        <v>0.306387398303618</v>
      </c>
      <c r="P109" s="118"/>
      <c r="Q109" s="118"/>
      <c r="R109" s="118"/>
      <c r="S109" s="118"/>
      <c r="T109" s="118"/>
      <c r="U109" s="118"/>
      <c r="V109" s="118" t="n">
        <f aca="false">V37/V32</f>
        <v>0.291639451338994</v>
      </c>
      <c r="W109" s="118" t="n">
        <f aca="false">W37/W32</f>
        <v>0.330985295412521</v>
      </c>
      <c r="X109" s="118" t="n">
        <f aca="false">X37/X32</f>
        <v>0.316254254438414</v>
      </c>
      <c r="Y109" s="118" t="n">
        <f aca="false">Y37/Y32</f>
        <v>0.329818538499264</v>
      </c>
      <c r="Z109" s="118"/>
      <c r="AA109" s="118" t="n">
        <f aca="false">AA37/AA32</f>
        <v>0.308977693702215</v>
      </c>
      <c r="AB109" s="118" t="n">
        <f aca="false">AB37/AB32</f>
        <v>0.309725873075479</v>
      </c>
      <c r="AC109" s="118" t="n">
        <f aca="false">AC37/AC32</f>
        <v>0.31953188054883</v>
      </c>
      <c r="AD109" s="121" t="n">
        <f aca="false">AD37/AD32</f>
        <v>0.341052631578947</v>
      </c>
      <c r="AE109" s="118"/>
      <c r="AF109" s="118" t="n">
        <f aca="false">AF37/AF32</f>
        <v>0.318108045444007</v>
      </c>
      <c r="AG109" s="118" t="n">
        <f aca="false">AG37/AG32</f>
        <v>0.309680310726023</v>
      </c>
      <c r="AH109" s="118" t="n">
        <f aca="false">AH37/AH32</f>
        <v>0.340011263979403</v>
      </c>
      <c r="AI109" s="122" t="n">
        <f aca="false">AI37/AI32</f>
        <v>0.328922206073587</v>
      </c>
      <c r="AJ109" s="121" t="n">
        <f aca="false">AJ37/AJ32</f>
        <v>0.324290020625099</v>
      </c>
      <c r="AK109" s="23" t="n">
        <f aca="false">AJ109/AI109-1</f>
        <v>-0.0140829210158323</v>
      </c>
      <c r="AL109" s="121"/>
      <c r="AM109" s="121" t="n">
        <f aca="false">AM37/AM32</f>
        <v>0.315712187958884</v>
      </c>
      <c r="AN109" s="121" t="n">
        <f aca="false">AN37/AN32</f>
        <v>0.296714941716708</v>
      </c>
      <c r="AO109" s="121" t="n">
        <f aca="false">AO37/AO32</f>
        <v>0.334924545734524</v>
      </c>
      <c r="AP109" s="121" t="n">
        <f aca="false">AP37/AP32</f>
        <v>0.321966925215864</v>
      </c>
    </row>
    <row r="110" s="2" customFormat="true" ht="25.5" hidden="false" customHeight="false" outlineLevel="0" collapsed="false">
      <c r="A110" s="1" t="s">
        <v>80</v>
      </c>
      <c r="B110" s="120" t="n">
        <f aca="false">B39/B32</f>
        <v>0.136433449887259</v>
      </c>
      <c r="C110" s="120" t="n">
        <f aca="false">C39/C32</f>
        <v>0.139053619965406</v>
      </c>
      <c r="D110" s="120" t="n">
        <f aca="false">D39/D32</f>
        <v>0.13825327510917</v>
      </c>
      <c r="E110" s="118" t="n">
        <f aca="false">E39/E32</f>
        <v>0.122125449899717</v>
      </c>
      <c r="F110" s="118" t="n">
        <f aca="false">F39/F32</f>
        <v>0.121992995372856</v>
      </c>
      <c r="G110" s="118" t="n">
        <f aca="false">G39/G32</f>
        <v>0.0832820896719514</v>
      </c>
      <c r="H110" s="118" t="n">
        <f aca="false">H39/H32</f>
        <v>0.155754636490188</v>
      </c>
      <c r="I110" s="118" t="n">
        <f aca="false">I39/I32</f>
        <v>0.142903018625562</v>
      </c>
      <c r="J110" s="121" t="n">
        <f aca="false">J39/J32</f>
        <v>0.115488997793701</v>
      </c>
      <c r="K110" s="121" t="n">
        <f aca="false">K39/K32</f>
        <v>0.120357328908526</v>
      </c>
      <c r="L110" s="121" t="n">
        <f aca="false">L39/L32</f>
        <v>0.122872941084849</v>
      </c>
      <c r="M110" s="23" t="n">
        <f aca="false">L110/K110-1</f>
        <v>0.0209011964550536</v>
      </c>
      <c r="N110" s="121" t="n">
        <f aca="false">N39/N32</f>
        <v>0.142001506549817</v>
      </c>
      <c r="O110" s="121" t="n">
        <f aca="false">O39/O32</f>
        <v>0.148346892850961</v>
      </c>
      <c r="P110" s="118"/>
      <c r="Q110" s="118"/>
      <c r="R110" s="118"/>
      <c r="S110" s="118"/>
      <c r="T110" s="118"/>
      <c r="U110" s="118"/>
      <c r="V110" s="118" t="n">
        <f aca="false">V39/V32</f>
        <v>0.173416067929458</v>
      </c>
      <c r="W110" s="118" t="n">
        <f aca="false">W39/W32</f>
        <v>0.128026767632297</v>
      </c>
      <c r="X110" s="118" t="n">
        <f aca="false">X39/X32</f>
        <v>0.149848220034955</v>
      </c>
      <c r="Y110" s="118" t="n">
        <f aca="false">Y39/Y32</f>
        <v>0.11999346084682</v>
      </c>
      <c r="Z110" s="118"/>
      <c r="AA110" s="118" t="n">
        <f aca="false">AA39/AA32</f>
        <v>0.133601324190116</v>
      </c>
      <c r="AB110" s="118" t="n">
        <f aca="false">AB39/AB32</f>
        <v>0.119188884716485</v>
      </c>
      <c r="AC110" s="118" t="n">
        <f aca="false">AC39/AC32</f>
        <v>0.113962873284907</v>
      </c>
      <c r="AD110" s="121" t="n">
        <f aca="false">AD39/AD32</f>
        <v>0.0952046783625731</v>
      </c>
      <c r="AE110" s="118"/>
      <c r="AF110" s="118" t="n">
        <f aca="false">AF39/AF32</f>
        <v>0.123966303423758</v>
      </c>
      <c r="AG110" s="118" t="n">
        <f aca="false">AG39/AG32</f>
        <v>0.136316103973708</v>
      </c>
      <c r="AH110" s="118" t="n">
        <f aca="false">AH39/AH32</f>
        <v>0.107490546303001</v>
      </c>
      <c r="AI110" s="122" t="n">
        <f aca="false">AI39/AI32</f>
        <v>0.112674978964278</v>
      </c>
      <c r="AJ110" s="121" t="n">
        <f aca="false">AJ39/AJ32</f>
        <v>0.122640012692369</v>
      </c>
      <c r="AK110" s="23" t="n">
        <f aca="false">AJ110/AI110-1</f>
        <v>0.0884405199778251</v>
      </c>
      <c r="AL110" s="121"/>
      <c r="AM110" s="121" t="n">
        <f aca="false">AM39/AM32</f>
        <v>0.144640234948605</v>
      </c>
      <c r="AN110" s="121" t="n">
        <f aca="false">AN39/AN32</f>
        <v>0.173436948074885</v>
      </c>
      <c r="AO110" s="121" t="n">
        <f aca="false">AO39/AO32</f>
        <v>0.118417000307977</v>
      </c>
      <c r="AP110" s="121" t="n">
        <f aca="false">AP39/AP32</f>
        <v>0.129225815893458</v>
      </c>
    </row>
    <row r="111" s="2" customFormat="true" ht="25.5" hidden="false" customHeight="false" outlineLevel="0" collapsed="false">
      <c r="A111" s="1" t="s">
        <v>81</v>
      </c>
      <c r="B111" s="120" t="n">
        <f aca="false">B45/B32</f>
        <v>0.106957288977484</v>
      </c>
      <c r="C111" s="120" t="n">
        <f aca="false">C45/C32</f>
        <v>0.116135408944897</v>
      </c>
      <c r="D111" s="120" t="n">
        <f aca="false">D45/D32</f>
        <v>0.123435225618632</v>
      </c>
      <c r="E111" s="118" t="n">
        <f aca="false">E45/E32</f>
        <v>0.0531087727010468</v>
      </c>
      <c r="F111" s="118" t="n">
        <f aca="false">F45/F32</f>
        <v>0.102998696219035</v>
      </c>
      <c r="G111" s="118" t="n">
        <f aca="false">G45/G32</f>
        <v>0.0678822554340561</v>
      </c>
      <c r="H111" s="118" t="n">
        <f aca="false">H45/H32</f>
        <v>0.128586824733935</v>
      </c>
      <c r="I111" s="118" t="n">
        <f aca="false">I45/I32</f>
        <v>0.129436951402269</v>
      </c>
      <c r="J111" s="121" t="n">
        <f aca="false">J45/J32</f>
        <v>0.0989905695374583</v>
      </c>
      <c r="K111" s="121" t="n">
        <f aca="false">K45/K32</f>
        <v>0.105653205734241</v>
      </c>
      <c r="L111" s="121" t="n">
        <f aca="false">L45/L32</f>
        <v>0.110976986877458</v>
      </c>
      <c r="M111" s="23" t="n">
        <f aca="false">L111/K111-1</f>
        <v>0.0503892059518569</v>
      </c>
      <c r="N111" s="121" t="n">
        <f aca="false">N45/N32</f>
        <v>0.126609375267174</v>
      </c>
      <c r="O111" s="121" t="n">
        <f aca="false">O45/O32</f>
        <v>0.127725463043102</v>
      </c>
      <c r="P111" s="118"/>
      <c r="Q111" s="118"/>
      <c r="R111" s="118"/>
      <c r="S111" s="118"/>
      <c r="T111" s="118"/>
      <c r="U111" s="118"/>
      <c r="V111" s="118" t="n">
        <f aca="false">V45/V32</f>
        <v>0.153004572175049</v>
      </c>
      <c r="W111" s="118" t="n">
        <f aca="false">W45/W32</f>
        <v>0.117724751254733</v>
      </c>
      <c r="X111" s="118" t="n">
        <f aca="false">X45/X32</f>
        <v>0.128415049213504</v>
      </c>
      <c r="Y111" s="118" t="n">
        <f aca="false">Y45/Y32</f>
        <v>0.117623017819192</v>
      </c>
      <c r="Z111" s="118"/>
      <c r="AA111" s="118" t="n">
        <f aca="false">AA45/AA32</f>
        <v>0.11570899345787</v>
      </c>
      <c r="AB111" s="118" t="n">
        <f aca="false">AB45/AB32</f>
        <v>0.099962448366504</v>
      </c>
      <c r="AC111" s="118" t="n">
        <f aca="false">AC45/AC32</f>
        <v>0.100080710250202</v>
      </c>
      <c r="AD111" s="121" t="n">
        <f aca="false">AD45/AD32</f>
        <v>0.0803898635477583</v>
      </c>
      <c r="AE111" s="118"/>
      <c r="AF111" s="118" t="n">
        <f aca="false">AF45/AF32</f>
        <v>0.112064301723472</v>
      </c>
      <c r="AG111" s="118" t="n">
        <f aca="false">AG45/AG32</f>
        <v>0.117866746340006</v>
      </c>
      <c r="AH111" s="118" t="n">
        <f aca="false">AH45/AH32</f>
        <v>0.0942955990023333</v>
      </c>
      <c r="AI111" s="123" t="n">
        <f aca="false">AI45/AI32</f>
        <v>0.0975981029602999</v>
      </c>
      <c r="AJ111" s="121" t="n">
        <f aca="false">AJ45/AJ32</f>
        <v>0.118990956687292</v>
      </c>
      <c r="AK111" s="23" t="n">
        <f aca="false">AJ111/AI111-1</f>
        <v>0.219193335506674</v>
      </c>
      <c r="AL111" s="121"/>
      <c r="AM111" s="121" t="n">
        <f aca="false">AM45/AM32</f>
        <v>0.123148165188338</v>
      </c>
      <c r="AN111" s="121" t="n">
        <f aca="false">AN45/AN32</f>
        <v>0.151362971386928</v>
      </c>
      <c r="AO111" s="121" t="n">
        <f aca="false">AO45/AO32</f>
        <v>0.113876529441118</v>
      </c>
      <c r="AP111" s="121" t="n">
        <f aca="false">AP45/AP32</f>
        <v>0.116520741415822</v>
      </c>
    </row>
    <row r="112" s="2" customFormat="true" ht="25.5" hidden="false" customHeight="false" outlineLevel="0" collapsed="false">
      <c r="A112" s="1"/>
      <c r="B112" s="12"/>
      <c r="C112" s="12"/>
      <c r="D112" s="12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</row>
    <row r="113" s="2" customFormat="true" ht="25.5" hidden="false" customHeight="false" outlineLevel="0" collapsed="false">
      <c r="A113" s="124" t="s">
        <v>82</v>
      </c>
      <c r="B113" s="12"/>
      <c r="C113" s="12"/>
      <c r="D113" s="12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</row>
    <row r="114" s="2" customFormat="true" ht="25.5" hidden="false" customHeight="false" outlineLevel="0" collapsed="false">
      <c r="A114" s="125" t="s">
        <v>83</v>
      </c>
      <c r="B114" s="115" t="n">
        <v>3273</v>
      </c>
      <c r="C114" s="115" t="n">
        <v>3760</v>
      </c>
      <c r="D114" s="115" t="n">
        <v>4240</v>
      </c>
      <c r="E114" s="19" t="n">
        <f aca="false">E45</f>
        <v>1933</v>
      </c>
      <c r="F114" s="19" t="n">
        <f aca="false">F45</f>
        <v>4029</v>
      </c>
      <c r="G114" s="19" t="n">
        <f aca="false">G45</f>
        <v>2539</v>
      </c>
      <c r="H114" s="19" t="n">
        <f aca="false">H45</f>
        <v>5727</v>
      </c>
      <c r="I114" s="19" t="n">
        <f aca="false">I45</f>
        <v>6046</v>
      </c>
      <c r="J114" s="19" t="n">
        <f aca="false">J45</f>
        <v>5070</v>
      </c>
      <c r="K114" s="19" t="n">
        <f aca="false">K45</f>
        <v>5475.9</v>
      </c>
      <c r="L114" s="19" t="n">
        <f aca="false">L45</f>
        <v>5700</v>
      </c>
      <c r="M114" s="19"/>
      <c r="N114" s="19" t="n">
        <f aca="false">N45</f>
        <v>6891.22168641699</v>
      </c>
      <c r="O114" s="19" t="n">
        <f aca="false">O45</f>
        <v>7378.7</v>
      </c>
      <c r="P114" s="19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</row>
    <row r="115" s="2" customFormat="true" ht="25.5" hidden="false" customHeight="false" outlineLevel="0" collapsed="false">
      <c r="A115" s="126" t="s">
        <v>84</v>
      </c>
      <c r="B115" s="115" t="n">
        <v>649</v>
      </c>
      <c r="C115" s="115" t="n">
        <v>662</v>
      </c>
      <c r="D115" s="115" t="n">
        <v>716</v>
      </c>
      <c r="E115" s="19" t="n">
        <v>774</v>
      </c>
      <c r="F115" s="19" t="n">
        <v>720</v>
      </c>
      <c r="G115" s="19" t="n">
        <v>1119</v>
      </c>
      <c r="H115" s="19" t="n">
        <v>797</v>
      </c>
      <c r="I115" s="19" t="n">
        <v>840</v>
      </c>
      <c r="J115" s="19" t="n">
        <v>859</v>
      </c>
      <c r="K115" s="19" t="n">
        <v>880</v>
      </c>
      <c r="L115" s="127" t="n">
        <v>880</v>
      </c>
      <c r="M115" s="19"/>
      <c r="N115" s="19" t="n">
        <v>910</v>
      </c>
      <c r="O115" s="19" t="n">
        <v>930</v>
      </c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</row>
    <row r="116" s="2" customFormat="true" ht="25.5" hidden="false" customHeight="false" outlineLevel="0" collapsed="false">
      <c r="A116" s="126" t="s">
        <v>85</v>
      </c>
      <c r="B116" s="115" t="n">
        <v>191</v>
      </c>
      <c r="C116" s="115" t="n">
        <v>236</v>
      </c>
      <c r="D116" s="115" t="n">
        <v>215</v>
      </c>
      <c r="E116" s="19" t="n">
        <v>218</v>
      </c>
      <c r="F116" s="19" t="n">
        <v>325</v>
      </c>
      <c r="G116" s="19" t="n">
        <v>429</v>
      </c>
      <c r="H116" s="19" t="n">
        <v>611</v>
      </c>
      <c r="I116" s="19" t="n">
        <v>638</v>
      </c>
      <c r="J116" s="19" t="n">
        <v>755</v>
      </c>
      <c r="K116" s="19" t="n">
        <v>840</v>
      </c>
      <c r="L116" s="127" t="n">
        <v>840</v>
      </c>
      <c r="M116" s="19"/>
      <c r="N116" s="19" t="n">
        <v>920</v>
      </c>
      <c r="O116" s="19" t="n">
        <v>990</v>
      </c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</row>
    <row r="117" s="2" customFormat="true" ht="25.5" hidden="false" customHeight="false" outlineLevel="0" collapsed="false">
      <c r="A117" s="126" t="s">
        <v>86</v>
      </c>
      <c r="B117" s="128" t="n">
        <v>-113</v>
      </c>
      <c r="C117" s="128" t="n">
        <v>-80</v>
      </c>
      <c r="D117" s="128" t="n">
        <v>-273</v>
      </c>
      <c r="E117" s="129" t="n">
        <v>647</v>
      </c>
      <c r="F117" s="129" t="n">
        <v>34</v>
      </c>
      <c r="G117" s="129" t="n">
        <v>-380</v>
      </c>
      <c r="H117" s="129" t="n">
        <v>-385</v>
      </c>
      <c r="I117" s="129" t="n">
        <v>-650</v>
      </c>
      <c r="J117" s="129" t="n">
        <v>-117</v>
      </c>
      <c r="K117" s="129" t="n">
        <v>0</v>
      </c>
      <c r="L117" s="130" t="n">
        <v>0</v>
      </c>
      <c r="M117" s="129"/>
      <c r="N117" s="129" t="n">
        <v>0</v>
      </c>
      <c r="O117" s="129" t="n">
        <v>0</v>
      </c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</row>
    <row r="118" s="2" customFormat="true" ht="25.5" hidden="false" customHeight="false" outlineLevel="0" collapsed="false">
      <c r="A118" s="126" t="s">
        <v>87</v>
      </c>
      <c r="B118" s="128" t="n">
        <v>424</v>
      </c>
      <c r="C118" s="128" t="n">
        <v>98</v>
      </c>
      <c r="D118" s="128" t="n">
        <v>-117</v>
      </c>
      <c r="E118" s="129" t="n">
        <v>-99</v>
      </c>
      <c r="F118" s="129" t="n">
        <v>233</v>
      </c>
      <c r="G118" s="129" t="n">
        <v>23</v>
      </c>
      <c r="H118" s="129" t="n">
        <v>-138</v>
      </c>
      <c r="I118" s="129" t="n">
        <v>-26</v>
      </c>
      <c r="J118" s="129" t="n">
        <v>-213</v>
      </c>
      <c r="K118" s="129" t="n">
        <v>0</v>
      </c>
      <c r="L118" s="130" t="n">
        <v>0</v>
      </c>
      <c r="M118" s="129"/>
      <c r="N118" s="129" t="n">
        <v>0</v>
      </c>
      <c r="O118" s="129" t="n">
        <v>0</v>
      </c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</row>
    <row r="119" s="2" customFormat="true" ht="25.5" hidden="false" customHeight="false" outlineLevel="0" collapsed="false">
      <c r="A119" s="126" t="s">
        <v>88</v>
      </c>
      <c r="B119" s="128" t="n">
        <v>256</v>
      </c>
      <c r="C119" s="128" t="n">
        <v>-1580</v>
      </c>
      <c r="D119" s="128" t="n">
        <v>-1141</v>
      </c>
      <c r="E119" s="129" t="n">
        <v>1482</v>
      </c>
      <c r="F119" s="129" t="n">
        <v>562</v>
      </c>
      <c r="G119" s="129" t="n">
        <v>-1245</v>
      </c>
      <c r="H119" s="129" t="n">
        <v>45</v>
      </c>
      <c r="I119" s="129" t="n">
        <v>-1660</v>
      </c>
      <c r="J119" s="129" t="n">
        <v>-513</v>
      </c>
      <c r="K119" s="129" t="n">
        <v>-1000</v>
      </c>
      <c r="L119" s="130" t="n">
        <v>-1000</v>
      </c>
      <c r="M119" s="129"/>
      <c r="N119" s="129" t="n">
        <v>-1200</v>
      </c>
      <c r="O119" s="129" t="n">
        <v>-1400</v>
      </c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</row>
    <row r="120" s="2" customFormat="true" ht="25.5" hidden="false" customHeight="false" outlineLevel="0" collapsed="false">
      <c r="A120" s="125" t="s">
        <v>89</v>
      </c>
      <c r="B120" s="131" t="n">
        <v>4680</v>
      </c>
      <c r="C120" s="131" t="n">
        <v>3096</v>
      </c>
      <c r="D120" s="131" t="n">
        <v>3640</v>
      </c>
      <c r="E120" s="132" t="n">
        <v>4955</v>
      </c>
      <c r="F120" s="132" t="n">
        <v>5903</v>
      </c>
      <c r="G120" s="132" t="n">
        <v>2485</v>
      </c>
      <c r="H120" s="132" t="n">
        <f aca="false">H119+H118+H117+H116+H115+H114</f>
        <v>6657</v>
      </c>
      <c r="I120" s="132" t="n">
        <f aca="false">I119+I118+I117+I116+I115+I114</f>
        <v>5188</v>
      </c>
      <c r="J120" s="132" t="n">
        <f aca="false">J119+J118+J117+J116+J115+J114</f>
        <v>5841</v>
      </c>
      <c r="K120" s="132" t="n">
        <f aca="false">K119+K118+K117+K116+K115+K114</f>
        <v>6195.9</v>
      </c>
      <c r="L120" s="133" t="n">
        <f aca="false">L119+L118+L117+L116+L115+L114</f>
        <v>6420</v>
      </c>
      <c r="M120" s="132"/>
      <c r="N120" s="132" t="n">
        <f aca="false">N119+N118+N117+N116+N115+N114</f>
        <v>7521.22168641699</v>
      </c>
      <c r="O120" s="132" t="n">
        <f aca="false">O119+O118+O117+O116+O115+O114</f>
        <v>7898.7</v>
      </c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</row>
    <row r="121" s="2" customFormat="true" ht="25.5" hidden="false" customHeight="false" outlineLevel="0" collapsed="false">
      <c r="A121" s="126" t="s">
        <v>90</v>
      </c>
      <c r="B121" s="128" t="n">
        <v>-960</v>
      </c>
      <c r="C121" s="128" t="n">
        <v>-1133</v>
      </c>
      <c r="D121" s="128" t="n">
        <v>-1092</v>
      </c>
      <c r="E121" s="129" t="n">
        <v>-1028</v>
      </c>
      <c r="F121" s="129" t="n">
        <v>-1119</v>
      </c>
      <c r="G121" s="129" t="n">
        <v>-1086</v>
      </c>
      <c r="H121" s="129" t="n">
        <v>-695</v>
      </c>
      <c r="I121" s="129" t="n">
        <v>-758</v>
      </c>
      <c r="J121" s="129" t="n">
        <v>-969</v>
      </c>
      <c r="K121" s="129" t="n">
        <v>-1080</v>
      </c>
      <c r="L121" s="130" t="n">
        <v>-1080</v>
      </c>
      <c r="M121" s="129"/>
      <c r="N121" s="129" t="n">
        <v>-1200</v>
      </c>
      <c r="O121" s="129" t="n">
        <v>-1300</v>
      </c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</row>
    <row r="122" s="2" customFormat="true" ht="25.5" hidden="false" customHeight="false" outlineLevel="0" collapsed="false">
      <c r="A122" s="125" t="s">
        <v>91</v>
      </c>
      <c r="B122" s="131" t="n">
        <v>3720</v>
      </c>
      <c r="C122" s="131" t="n">
        <v>1963</v>
      </c>
      <c r="D122" s="131" t="n">
        <v>2548</v>
      </c>
      <c r="E122" s="132" t="n">
        <f aca="false">E121+E120</f>
        <v>3927</v>
      </c>
      <c r="F122" s="132" t="n">
        <f aca="false">F121+F120</f>
        <v>4784</v>
      </c>
      <c r="G122" s="132" t="n">
        <f aca="false">G121+G120</f>
        <v>1399</v>
      </c>
      <c r="H122" s="132" t="n">
        <f aca="false">H121+H120</f>
        <v>5962</v>
      </c>
      <c r="I122" s="132" t="n">
        <f aca="false">I121+I120</f>
        <v>4430</v>
      </c>
      <c r="J122" s="132" t="n">
        <f aca="false">J121+J120</f>
        <v>4872</v>
      </c>
      <c r="K122" s="132" t="n">
        <f aca="false">K121+K120</f>
        <v>5115.9</v>
      </c>
      <c r="L122" s="133" t="n">
        <f aca="false">L121+L120</f>
        <v>5340</v>
      </c>
      <c r="M122" s="132"/>
      <c r="N122" s="132" t="n">
        <f aca="false">N121+N120</f>
        <v>6321.22168641699</v>
      </c>
      <c r="O122" s="132" t="n">
        <f aca="false">O121+O120</f>
        <v>6598.7</v>
      </c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</row>
    <row r="123" s="2" customFormat="true" ht="25.5" hidden="false" customHeight="false" outlineLevel="0" collapsed="false">
      <c r="A123" s="134" t="s">
        <v>92</v>
      </c>
      <c r="B123" s="135" t="n">
        <v>2.10265811182402</v>
      </c>
      <c r="C123" s="135" t="n">
        <v>1.12768085106383</v>
      </c>
      <c r="D123" s="135" t="n">
        <v>1.5083679245283</v>
      </c>
      <c r="E123" s="136" t="n">
        <v>2.36694593454282</v>
      </c>
      <c r="F123" s="136" t="n">
        <v>2.95600593178448</v>
      </c>
      <c r="G123" s="136" t="n">
        <v>0.878989695903493</v>
      </c>
      <c r="H123" s="136" t="n">
        <v>3.70448614390456</v>
      </c>
      <c r="I123" s="136" t="n">
        <v>2.75018624286069</v>
      </c>
      <c r="J123" s="136" t="n">
        <v>3.10358007389476</v>
      </c>
      <c r="K123" s="136" t="n">
        <v>4.17851153551833</v>
      </c>
      <c r="L123" s="137" t="n">
        <v>4.17851153551833</v>
      </c>
      <c r="M123" s="136"/>
      <c r="N123" s="136" t="n">
        <v>5.17851153551833</v>
      </c>
      <c r="O123" s="136" t="n">
        <v>6.17851153551833</v>
      </c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</row>
    <row r="124" s="2" customFormat="true" ht="25.5" hidden="false" customHeight="false" outlineLevel="0" collapsed="false">
      <c r="A124" s="134" t="s">
        <v>93</v>
      </c>
      <c r="B124" s="138" t="n">
        <v>-150</v>
      </c>
      <c r="C124" s="138" t="n">
        <v>150</v>
      </c>
      <c r="D124" s="138" t="n">
        <v>0</v>
      </c>
      <c r="E124" s="139" t="n">
        <v>0</v>
      </c>
      <c r="F124" s="139" t="n">
        <v>0</v>
      </c>
      <c r="G124" s="139" t="n">
        <v>0</v>
      </c>
      <c r="H124" s="139" t="n">
        <v>0</v>
      </c>
      <c r="I124" s="139" t="n">
        <v>0</v>
      </c>
      <c r="J124" s="139" t="n">
        <v>0</v>
      </c>
      <c r="K124" s="139" t="n">
        <v>0</v>
      </c>
      <c r="L124" s="140" t="n">
        <v>0</v>
      </c>
      <c r="M124" s="139"/>
      <c r="N124" s="139" t="n">
        <v>0</v>
      </c>
      <c r="O124" s="139" t="n">
        <v>0</v>
      </c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</row>
    <row r="125" s="2" customFormat="true" ht="25.5" hidden="false" customHeight="false" outlineLevel="0" collapsed="false">
      <c r="A125" s="126" t="s">
        <v>94</v>
      </c>
      <c r="B125" s="128" t="n">
        <v>-2534</v>
      </c>
      <c r="C125" s="128" t="n">
        <v>-3238</v>
      </c>
      <c r="D125" s="128" t="n">
        <v>-3223</v>
      </c>
      <c r="E125" s="129" t="n">
        <v>-1243</v>
      </c>
      <c r="F125" s="129" t="n">
        <v>-1332</v>
      </c>
      <c r="G125" s="129" t="n">
        <v>-1452</v>
      </c>
      <c r="H125" s="129" t="n">
        <v>-1638</v>
      </c>
      <c r="I125" s="129" t="n">
        <v>-1837</v>
      </c>
      <c r="J125" s="129" t="n">
        <v>-2012</v>
      </c>
      <c r="K125" s="129" t="n">
        <v>-2180</v>
      </c>
      <c r="L125" s="130" t="n">
        <v>-2180</v>
      </c>
      <c r="M125" s="129"/>
      <c r="N125" s="129" t="n">
        <v>-2600</v>
      </c>
      <c r="O125" s="129" t="n">
        <v>-3000</v>
      </c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</row>
    <row r="126" s="2" customFormat="true" ht="25.5" hidden="false" customHeight="false" outlineLevel="0" collapsed="false">
      <c r="A126" s="126"/>
      <c r="B126" s="128"/>
      <c r="C126" s="128"/>
      <c r="D126" s="128"/>
      <c r="E126" s="118" t="n">
        <f aca="false">E125/E114</f>
        <v>-0.643041903776513</v>
      </c>
      <c r="F126" s="118" t="n">
        <f aca="false">F125/F114</f>
        <v>-0.33060312732688</v>
      </c>
      <c r="G126" s="118" t="n">
        <f aca="false">G125/G114</f>
        <v>-0.571878692398582</v>
      </c>
      <c r="H126" s="118" t="n">
        <f aca="false">H125/H114</f>
        <v>-0.286013619696176</v>
      </c>
      <c r="I126" s="118" t="n">
        <f aca="false">I125/I114</f>
        <v>-0.303837247767119</v>
      </c>
      <c r="J126" s="118" t="n">
        <f aca="false">J125/J114</f>
        <v>-0.396844181459566</v>
      </c>
      <c r="K126" s="118" t="n">
        <f aca="false">K125/K114</f>
        <v>-0.398108073558684</v>
      </c>
      <c r="L126" s="141" t="n">
        <f aca="false">L125/L114</f>
        <v>-0.382456140350877</v>
      </c>
      <c r="M126" s="118"/>
      <c r="N126" s="118" t="n">
        <f aca="false">N125/N114</f>
        <v>-0.377291591870387</v>
      </c>
      <c r="O126" s="118" t="n">
        <f aca="false">O125/O114</f>
        <v>-0.406575684063588</v>
      </c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</row>
    <row r="127" s="2" customFormat="true" ht="25.5" hidden="false" customHeight="false" outlineLevel="0" collapsed="false">
      <c r="A127" s="126" t="s">
        <v>95</v>
      </c>
      <c r="B127" s="128" t="n">
        <v>-89</v>
      </c>
      <c r="C127" s="128" t="n">
        <v>801</v>
      </c>
      <c r="D127" s="128" t="n">
        <v>1748</v>
      </c>
      <c r="E127" s="129" t="n">
        <v>13</v>
      </c>
      <c r="F127" s="129" t="n">
        <v>-325</v>
      </c>
      <c r="G127" s="129" t="n">
        <v>6183</v>
      </c>
      <c r="H127" s="129" t="n">
        <v>-249</v>
      </c>
      <c r="I127" s="129" t="n">
        <v>15</v>
      </c>
      <c r="J127" s="129" t="n">
        <v>-504</v>
      </c>
      <c r="K127" s="129" t="n">
        <v>0</v>
      </c>
      <c r="L127" s="130" t="n">
        <v>0</v>
      </c>
      <c r="M127" s="129"/>
      <c r="N127" s="129" t="n">
        <v>0</v>
      </c>
      <c r="O127" s="129" t="n">
        <v>0</v>
      </c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</row>
    <row r="128" s="2" customFormat="true" ht="25.5" hidden="false" customHeight="false" outlineLevel="0" collapsed="false">
      <c r="A128" s="126" t="s">
        <v>96</v>
      </c>
      <c r="B128" s="128" t="n">
        <v>935</v>
      </c>
      <c r="C128" s="128" t="n">
        <v>-57</v>
      </c>
      <c r="D128" s="128" t="n">
        <v>118</v>
      </c>
      <c r="E128" s="129" t="n">
        <v>1326</v>
      </c>
      <c r="F128" s="129" t="n">
        <v>850</v>
      </c>
      <c r="G128" s="129" t="n">
        <v>27</v>
      </c>
      <c r="H128" s="129" t="n">
        <v>-3276</v>
      </c>
      <c r="I128" s="129" t="n">
        <v>-747</v>
      </c>
      <c r="J128" s="129" t="n">
        <v>1481</v>
      </c>
      <c r="K128" s="129" t="n">
        <v>700</v>
      </c>
      <c r="L128" s="130" t="n">
        <v>700</v>
      </c>
      <c r="M128" s="129"/>
      <c r="N128" s="129" t="n">
        <v>900</v>
      </c>
      <c r="O128" s="129" t="n">
        <v>1050</v>
      </c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</row>
    <row r="129" s="2" customFormat="true" ht="25.5" hidden="false" customHeight="false" outlineLevel="0" collapsed="false">
      <c r="A129" s="126" t="s">
        <v>97</v>
      </c>
      <c r="B129" s="128" t="n">
        <v>732</v>
      </c>
      <c r="C129" s="128" t="n">
        <v>788</v>
      </c>
      <c r="D129" s="128" t="n">
        <v>666</v>
      </c>
      <c r="E129" s="129" t="n">
        <v>-3521</v>
      </c>
      <c r="F129" s="129" t="n">
        <v>-3586</v>
      </c>
      <c r="G129" s="129" t="n">
        <v>-2182</v>
      </c>
      <c r="H129" s="129" t="n">
        <v>564</v>
      </c>
      <c r="I129" s="129" t="n">
        <v>-2863</v>
      </c>
      <c r="J129" s="129" t="n">
        <v>-4829</v>
      </c>
      <c r="K129" s="129" t="n">
        <v>0</v>
      </c>
      <c r="L129" s="130" t="n">
        <v>0</v>
      </c>
      <c r="M129" s="129"/>
      <c r="N129" s="129" t="n">
        <v>0</v>
      </c>
      <c r="O129" s="129" t="n">
        <v>0</v>
      </c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</row>
    <row r="130" s="2" customFormat="true" ht="25.5" hidden="false" customHeight="false" outlineLevel="0" collapsed="false">
      <c r="A130" s="126" t="s">
        <v>87</v>
      </c>
      <c r="B130" s="128" t="n">
        <v>-982</v>
      </c>
      <c r="C130" s="128" t="n">
        <v>-1121</v>
      </c>
      <c r="D130" s="128" t="n">
        <v>-1187</v>
      </c>
      <c r="E130" s="129" t="n">
        <v>-61</v>
      </c>
      <c r="F130" s="129" t="n">
        <v>-174</v>
      </c>
      <c r="G130" s="129" t="n">
        <v>-93</v>
      </c>
      <c r="H130" s="129" t="n">
        <v>178</v>
      </c>
      <c r="I130" s="129" t="n">
        <v>-313</v>
      </c>
      <c r="J130" s="129" t="n">
        <v>-141</v>
      </c>
      <c r="K130" s="129" t="n">
        <v>0</v>
      </c>
      <c r="L130" s="130" t="n">
        <v>0</v>
      </c>
      <c r="M130" s="129"/>
      <c r="N130" s="129" t="n">
        <v>0</v>
      </c>
      <c r="O130" s="129" t="n">
        <v>0</v>
      </c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</row>
    <row r="131" s="2" customFormat="true" ht="25.5" hidden="false" customHeight="false" outlineLevel="0" collapsed="false">
      <c r="A131" s="125" t="s">
        <v>98</v>
      </c>
      <c r="B131" s="138" t="n">
        <v>1632</v>
      </c>
      <c r="C131" s="138" t="n">
        <v>-714</v>
      </c>
      <c r="D131" s="138" t="n">
        <v>670</v>
      </c>
      <c r="E131" s="21" t="n">
        <f aca="false">E122+E125+E127+E128+E129+E130</f>
        <v>441</v>
      </c>
      <c r="F131" s="21" t="n">
        <f aca="false">F122+F125+F127+F128+F129+F130</f>
        <v>217</v>
      </c>
      <c r="G131" s="21" t="n">
        <f aca="false">G122+G125+G127+G128+G129+G130</f>
        <v>3882</v>
      </c>
      <c r="H131" s="21" t="n">
        <f aca="false">H122+H125+H127+H128+H129+H130</f>
        <v>1541</v>
      </c>
      <c r="I131" s="21" t="n">
        <f aca="false">I122+I125+I127+I128+I129+I130</f>
        <v>-1315</v>
      </c>
      <c r="J131" s="21" t="n">
        <f aca="false">J122+J125+J127+J128+J129+J130</f>
        <v>-1133</v>
      </c>
      <c r="K131" s="21" t="n">
        <f aca="false">K122+K125+K127+K128+K129+K130</f>
        <v>3635.9</v>
      </c>
      <c r="L131" s="142" t="n">
        <f aca="false">L122+L125+L127+L128+L129+L130</f>
        <v>3860</v>
      </c>
      <c r="M131" s="21"/>
      <c r="N131" s="21" t="n">
        <f aca="false">N122+N125+N127+N128+N129+N130</f>
        <v>4621.22168641699</v>
      </c>
      <c r="O131" s="21" t="n">
        <f aca="false">O122+O125+O127+O128+O129+O130</f>
        <v>4648.7</v>
      </c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</row>
    <row r="132" s="2" customFormat="true" ht="25.5" hidden="false" customHeight="false" outlineLevel="0" collapsed="false">
      <c r="A132" s="1"/>
      <c r="B132" s="12"/>
      <c r="C132" s="12"/>
      <c r="D132" s="12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</row>
    <row r="133" s="2" customFormat="true" ht="25.5" hidden="false" customHeight="false" outlineLevel="0" collapsed="false">
      <c r="A133" s="1"/>
      <c r="B133" s="12"/>
      <c r="C133" s="12"/>
      <c r="D133" s="12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</row>
    <row r="134" s="2" customFormat="true" ht="41.75" hidden="false" customHeight="false" outlineLevel="0" collapsed="false">
      <c r="A134" s="143" t="s">
        <v>99</v>
      </c>
      <c r="B134" s="144" t="s">
        <v>3</v>
      </c>
      <c r="C134" s="8" t="s">
        <v>4</v>
      </c>
      <c r="D134" s="8" t="s">
        <v>5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</row>
    <row r="135" s="2" customFormat="true" ht="25.5" hidden="false" customHeight="false" outlineLevel="0" collapsed="false">
      <c r="A135" s="11" t="s">
        <v>100</v>
      </c>
      <c r="B135" s="145"/>
      <c r="C135" s="12"/>
      <c r="D135" s="12"/>
      <c r="E135" s="15"/>
      <c r="F135" s="13"/>
      <c r="G135" s="13"/>
      <c r="H135" s="13"/>
      <c r="I135" s="14" t="s">
        <v>38</v>
      </c>
      <c r="J135" s="14" t="s">
        <v>38</v>
      </c>
      <c r="K135" s="14" t="s">
        <v>38</v>
      </c>
      <c r="L135" s="14"/>
      <c r="M135" s="14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</row>
    <row r="136" s="2" customFormat="true" ht="25.5" hidden="false" customHeight="false" outlineLevel="0" collapsed="false">
      <c r="A136" s="18" t="s">
        <v>101</v>
      </c>
      <c r="B136" s="146" t="n">
        <v>3852</v>
      </c>
      <c r="C136" s="147" t="n">
        <f aca="false">C131+B136</f>
        <v>3138</v>
      </c>
      <c r="D136" s="147" t="n">
        <f aca="false">D131+C136</f>
        <v>3808</v>
      </c>
      <c r="E136" s="22" t="n">
        <f aca="false">E131+D136</f>
        <v>4249</v>
      </c>
      <c r="F136" s="22" t="n">
        <f aca="false">F131+E136</f>
        <v>4466</v>
      </c>
      <c r="G136" s="22" t="n">
        <f aca="false">G131+F136</f>
        <v>8348</v>
      </c>
      <c r="H136" s="22" t="n">
        <f aca="false">H131+G136</f>
        <v>9889</v>
      </c>
      <c r="I136" s="22" t="n">
        <f aca="false">I131+H136</f>
        <v>8574</v>
      </c>
      <c r="J136" s="22" t="n">
        <f aca="false">J131+I136</f>
        <v>7441</v>
      </c>
      <c r="K136" s="22" t="n">
        <f aca="false">K131+J136</f>
        <v>11076.9</v>
      </c>
      <c r="L136" s="22" t="n">
        <v>9860</v>
      </c>
      <c r="M136" s="23" t="n">
        <f aca="false">L136/K136-1</f>
        <v>-0.109859256651229</v>
      </c>
      <c r="N136" s="22" t="n">
        <f aca="false">N131+K136</f>
        <v>15698.121686417</v>
      </c>
      <c r="O136" s="22" t="n">
        <f aca="false">O131+N136</f>
        <v>20346.821686417</v>
      </c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</row>
    <row r="137" s="2" customFormat="true" ht="25.5" hidden="false" customHeight="false" outlineLevel="0" collapsed="false">
      <c r="A137" s="18" t="s">
        <v>102</v>
      </c>
      <c r="B137" s="146" t="n">
        <v>2072</v>
      </c>
      <c r="C137" s="147" t="n">
        <v>2319</v>
      </c>
      <c r="D137" s="147" t="n">
        <v>2371</v>
      </c>
      <c r="E137" s="22" t="n">
        <v>996</v>
      </c>
      <c r="F137" s="22" t="n">
        <v>197</v>
      </c>
      <c r="G137" s="22" t="n">
        <v>439</v>
      </c>
      <c r="H137" s="22" t="n">
        <v>3587</v>
      </c>
      <c r="I137" s="22" t="n">
        <v>4423</v>
      </c>
      <c r="J137" s="22" t="n">
        <v>3234</v>
      </c>
      <c r="K137" s="22" t="n">
        <v>4000</v>
      </c>
      <c r="L137" s="22" t="n">
        <v>1722</v>
      </c>
      <c r="M137" s="23" t="n">
        <f aca="false">L137/K137-1</f>
        <v>-0.5695</v>
      </c>
      <c r="N137" s="22" t="n">
        <v>4900</v>
      </c>
      <c r="O137" s="22" t="n">
        <v>5750</v>
      </c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</row>
    <row r="138" s="2" customFormat="true" ht="25.5" hidden="false" customHeight="false" outlineLevel="0" collapsed="false">
      <c r="A138" s="18" t="s">
        <v>103</v>
      </c>
      <c r="B138" s="146" t="n">
        <v>3358</v>
      </c>
      <c r="C138" s="147" t="n">
        <v>3241</v>
      </c>
      <c r="D138" s="147" t="n">
        <v>3677</v>
      </c>
      <c r="E138" s="22" t="n">
        <v>3498</v>
      </c>
      <c r="F138" s="22" t="n">
        <v>4272</v>
      </c>
      <c r="G138" s="22" t="n">
        <v>2749</v>
      </c>
      <c r="H138" s="22" t="n">
        <v>4463</v>
      </c>
      <c r="I138" s="22" t="n">
        <v>4667</v>
      </c>
      <c r="J138" s="22" t="n">
        <v>4131</v>
      </c>
      <c r="K138" s="22" t="n">
        <v>4900</v>
      </c>
      <c r="L138" s="22" t="n">
        <v>4427</v>
      </c>
      <c r="M138" s="23" t="n">
        <f aca="false">L138/K138-1</f>
        <v>-0.096530612244898</v>
      </c>
      <c r="N138" s="22" t="n">
        <v>5900</v>
      </c>
      <c r="O138" s="22" t="n">
        <v>6850</v>
      </c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</row>
    <row r="139" s="2" customFormat="true" ht="25.5" hidden="false" customHeight="false" outlineLevel="0" collapsed="false">
      <c r="A139" s="18" t="s">
        <v>104</v>
      </c>
      <c r="B139" s="146" t="n">
        <v>4337</v>
      </c>
      <c r="C139" s="147" t="n">
        <v>4838</v>
      </c>
      <c r="D139" s="147" t="n">
        <v>5055</v>
      </c>
      <c r="E139" s="22" t="n">
        <v>5261</v>
      </c>
      <c r="F139" s="22" t="n">
        <v>5622</v>
      </c>
      <c r="G139" s="22" t="n">
        <v>7367</v>
      </c>
      <c r="H139" s="22" t="n">
        <v>6854</v>
      </c>
      <c r="I139" s="22" t="n">
        <v>8420</v>
      </c>
      <c r="J139" s="22" t="n">
        <v>8454</v>
      </c>
      <c r="K139" s="22" t="n">
        <v>9900</v>
      </c>
      <c r="L139" s="22" t="n">
        <v>7519</v>
      </c>
      <c r="M139" s="23" t="n">
        <f aca="false">L139/K139-1</f>
        <v>-0.240505050505051</v>
      </c>
      <c r="N139" s="22" t="n">
        <v>11200</v>
      </c>
      <c r="O139" s="22" t="n">
        <v>12200</v>
      </c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</row>
    <row r="140" s="2" customFormat="true" ht="41.75" hidden="false" customHeight="false" outlineLevel="0" collapsed="false">
      <c r="A140" s="18" t="s">
        <v>105</v>
      </c>
      <c r="B140" s="146" t="n">
        <v>1968</v>
      </c>
      <c r="C140" s="147" t="n">
        <v>1489</v>
      </c>
      <c r="D140" s="147" t="n">
        <v>1150</v>
      </c>
      <c r="E140" s="22" t="n">
        <v>1130</v>
      </c>
      <c r="F140" s="22" t="n">
        <v>1968</v>
      </c>
      <c r="G140" s="22" t="n">
        <v>1653</v>
      </c>
      <c r="H140" s="22" t="n">
        <v>1498</v>
      </c>
      <c r="I140" s="22" t="n">
        <v>2129</v>
      </c>
      <c r="J140" s="22" t="n">
        <v>1942</v>
      </c>
      <c r="K140" s="22" t="n">
        <v>2300</v>
      </c>
      <c r="L140" s="22" t="n">
        <v>1854</v>
      </c>
      <c r="M140" s="23" t="n">
        <f aca="false">L140/K140-1</f>
        <v>-0.193913043478261</v>
      </c>
      <c r="N140" s="22" t="n">
        <v>2600</v>
      </c>
      <c r="O140" s="22" t="n">
        <v>2880</v>
      </c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</row>
    <row r="141" s="2" customFormat="true" ht="25.5" hidden="false" customHeight="false" outlineLevel="0" collapsed="false">
      <c r="A141" s="18" t="s">
        <v>106</v>
      </c>
      <c r="B141" s="146" t="n">
        <v>15587</v>
      </c>
      <c r="C141" s="147" t="n">
        <v>15025</v>
      </c>
      <c r="D141" s="147" t="n">
        <v>16061</v>
      </c>
      <c r="E141" s="22" t="n">
        <v>15134</v>
      </c>
      <c r="F141" s="22" t="n">
        <v>16525</v>
      </c>
      <c r="G141" s="22" t="n">
        <v>20556</v>
      </c>
      <c r="H141" s="22" t="n">
        <v>26291</v>
      </c>
      <c r="I141" s="22" t="n">
        <v>28213</v>
      </c>
      <c r="J141" s="22" t="n">
        <v>25202</v>
      </c>
      <c r="K141" s="22" t="n">
        <f aca="false">K140+K139+K138+K137+K136</f>
        <v>32176.9</v>
      </c>
      <c r="L141" s="22" t="n">
        <f aca="false">L140+L139+L138+L137+L136</f>
        <v>25382</v>
      </c>
      <c r="M141" s="23" t="n">
        <f aca="false">L141/K141-1</f>
        <v>-0.21117323297148</v>
      </c>
      <c r="N141" s="22" t="n">
        <f aca="false">N140+N139+N138+N137+N136</f>
        <v>40298.121686417</v>
      </c>
      <c r="O141" s="22" t="n">
        <f aca="false">O140+O139+O138+O137+O136</f>
        <v>48026.821686417</v>
      </c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</row>
    <row r="142" s="2" customFormat="true" ht="25.5" hidden="false" customHeight="false" outlineLevel="0" collapsed="false">
      <c r="A142" s="18" t="s">
        <v>107</v>
      </c>
      <c r="B142" s="146" t="n">
        <v>3011</v>
      </c>
      <c r="C142" s="147" t="n">
        <v>3520</v>
      </c>
      <c r="D142" s="147" t="n">
        <v>3989</v>
      </c>
      <c r="E142" s="22" t="n">
        <v>4454</v>
      </c>
      <c r="F142" s="22" t="n">
        <v>4744</v>
      </c>
      <c r="G142" s="22" t="n">
        <v>4866</v>
      </c>
      <c r="H142" s="22" t="n">
        <v>4904</v>
      </c>
      <c r="I142" s="22" t="n">
        <v>4791</v>
      </c>
      <c r="J142" s="22" t="n">
        <v>5081</v>
      </c>
      <c r="K142" s="22" t="n">
        <v>5300</v>
      </c>
      <c r="L142" s="22" t="n">
        <v>5000</v>
      </c>
      <c r="M142" s="23" t="n">
        <f aca="false">L142/K142-1</f>
        <v>-0.0566037735849057</v>
      </c>
      <c r="N142" s="22" t="n">
        <v>5500</v>
      </c>
      <c r="O142" s="22" t="n">
        <v>5600</v>
      </c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</row>
    <row r="143" s="2" customFormat="true" ht="25.5" hidden="false" customHeight="false" outlineLevel="0" collapsed="false">
      <c r="A143" s="18" t="s">
        <v>108</v>
      </c>
      <c r="B143" s="146" t="n">
        <v>0</v>
      </c>
      <c r="C143" s="147" t="n">
        <v>0</v>
      </c>
      <c r="D143" s="147" t="n">
        <v>0</v>
      </c>
      <c r="E143" s="22" t="n">
        <v>0</v>
      </c>
      <c r="F143" s="22" t="n">
        <v>0</v>
      </c>
      <c r="G143" s="22" t="n">
        <v>3097</v>
      </c>
      <c r="H143" s="22" t="n">
        <v>3113</v>
      </c>
      <c r="I143" s="22" t="n">
        <v>2926</v>
      </c>
      <c r="J143" s="22" t="n">
        <v>2923</v>
      </c>
      <c r="K143" s="22" t="n">
        <v>2950</v>
      </c>
      <c r="L143" s="22" t="n">
        <v>2718</v>
      </c>
      <c r="M143" s="23" t="n">
        <f aca="false">L143/K143-1</f>
        <v>-0.0786440677966102</v>
      </c>
      <c r="N143" s="22" t="n">
        <v>3000</v>
      </c>
      <c r="O143" s="22" t="n">
        <v>3000</v>
      </c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</row>
    <row r="144" s="2" customFormat="true" ht="25.5" hidden="false" customHeight="false" outlineLevel="0" collapsed="false">
      <c r="A144" s="18" t="s">
        <v>109</v>
      </c>
      <c r="B144" s="146" t="n">
        <v>281</v>
      </c>
      <c r="C144" s="147" t="n">
        <v>281</v>
      </c>
      <c r="D144" s="147" t="n">
        <v>283</v>
      </c>
      <c r="E144" s="22" t="n">
        <v>285</v>
      </c>
      <c r="F144" s="22" t="n">
        <v>283</v>
      </c>
      <c r="G144" s="22" t="n">
        <v>274</v>
      </c>
      <c r="H144" s="22" t="n">
        <v>269</v>
      </c>
      <c r="I144" s="22" t="n">
        <v>286</v>
      </c>
      <c r="J144" s="22" t="n">
        <v>274</v>
      </c>
      <c r="K144" s="22" t="n">
        <v>280</v>
      </c>
      <c r="L144" s="22" t="n">
        <v>259</v>
      </c>
      <c r="M144" s="23" t="n">
        <f aca="false">L144/K144-1</f>
        <v>-0.075</v>
      </c>
      <c r="N144" s="22" t="n">
        <v>290</v>
      </c>
      <c r="O144" s="22" t="n">
        <v>300</v>
      </c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</row>
    <row r="145" s="2" customFormat="true" ht="25.5" hidden="false" customHeight="false" outlineLevel="0" collapsed="false">
      <c r="A145" s="18" t="s">
        <v>110</v>
      </c>
      <c r="B145" s="146" t="n">
        <v>131</v>
      </c>
      <c r="C145" s="147" t="n">
        <v>131</v>
      </c>
      <c r="D145" s="147" t="n">
        <v>139</v>
      </c>
      <c r="E145" s="22" t="n">
        <v>154</v>
      </c>
      <c r="F145" s="22" t="n">
        <v>154</v>
      </c>
      <c r="G145" s="22" t="n">
        <v>223</v>
      </c>
      <c r="H145" s="22" t="n">
        <v>242</v>
      </c>
      <c r="I145" s="22" t="n">
        <v>284</v>
      </c>
      <c r="J145" s="22" t="n">
        <v>281</v>
      </c>
      <c r="K145" s="22" t="n">
        <v>283</v>
      </c>
      <c r="L145" s="22" t="n">
        <v>240</v>
      </c>
      <c r="M145" s="23" t="n">
        <f aca="false">L145/K145-1</f>
        <v>-0.151943462897526</v>
      </c>
      <c r="N145" s="22" t="n">
        <v>290</v>
      </c>
      <c r="O145" s="22" t="n">
        <v>300</v>
      </c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</row>
    <row r="146" s="36" customFormat="true" ht="25.5" hidden="false" customHeight="false" outlineLevel="0" collapsed="false">
      <c r="A146" s="18" t="s">
        <v>111</v>
      </c>
      <c r="B146" s="146" t="n">
        <v>2587</v>
      </c>
      <c r="C146" s="147" t="n">
        <v>2422</v>
      </c>
      <c r="D146" s="147" t="n">
        <v>2787</v>
      </c>
      <c r="E146" s="22" t="n">
        <v>2509</v>
      </c>
      <c r="F146" s="22" t="n">
        <v>2011</v>
      </c>
      <c r="G146" s="22" t="n">
        <v>2326</v>
      </c>
      <c r="H146" s="22" t="n">
        <v>2921</v>
      </c>
      <c r="I146" s="22" t="n">
        <v>3821</v>
      </c>
      <c r="J146" s="22" t="n">
        <v>3770</v>
      </c>
      <c r="K146" s="22" t="n">
        <v>4300</v>
      </c>
      <c r="L146" s="22" t="n">
        <v>4511</v>
      </c>
      <c r="M146" s="23" t="n">
        <f aca="false">L146/K146-1</f>
        <v>0.0490697674418605</v>
      </c>
      <c r="N146" s="22" t="n">
        <v>4800</v>
      </c>
      <c r="O146" s="22" t="n">
        <v>5200</v>
      </c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2"/>
    </row>
    <row r="147" s="2" customFormat="true" ht="25.5" hidden="false" customHeight="false" outlineLevel="0" collapsed="false">
      <c r="A147" s="18" t="s">
        <v>112</v>
      </c>
      <c r="B147" s="146" t="n">
        <v>21597</v>
      </c>
      <c r="C147" s="147" t="n">
        <v>21379</v>
      </c>
      <c r="D147" s="147" t="n">
        <v>23259</v>
      </c>
      <c r="E147" s="22" t="n">
        <v>22536</v>
      </c>
      <c r="F147" s="22" t="n">
        <v>23717</v>
      </c>
      <c r="G147" s="22" t="n">
        <v>31342</v>
      </c>
      <c r="H147" s="22" t="n">
        <v>37740</v>
      </c>
      <c r="I147" s="22" t="n">
        <v>40321</v>
      </c>
      <c r="J147" s="22" t="n">
        <v>37531</v>
      </c>
      <c r="K147" s="22" t="n">
        <f aca="false">K146+K145+K144+K143+K142+K141</f>
        <v>45289.9</v>
      </c>
      <c r="L147" s="22" t="n">
        <f aca="false">L146+L145+L144+L143+L142+L141</f>
        <v>38110</v>
      </c>
      <c r="M147" s="23" t="n">
        <f aca="false">L147/K147-1</f>
        <v>-0.158532034736222</v>
      </c>
      <c r="N147" s="22" t="n">
        <f aca="false">N146+N145+N144+N143+N142+N141</f>
        <v>54178.121686417</v>
      </c>
      <c r="O147" s="22" t="n">
        <f aca="false">O146+O145+O144+O143+O142+O141</f>
        <v>62426.821686417</v>
      </c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</row>
    <row r="148" s="2" customFormat="true" ht="25.5" hidden="false" customHeight="false" outlineLevel="0" collapsed="false">
      <c r="A148" s="11" t="s">
        <v>113</v>
      </c>
      <c r="B148" s="148"/>
      <c r="C148" s="149"/>
      <c r="D148" s="149"/>
      <c r="E148" s="150"/>
      <c r="F148" s="21"/>
      <c r="G148" s="21"/>
      <c r="H148" s="21"/>
      <c r="I148" s="22" t="s">
        <v>38</v>
      </c>
      <c r="J148" s="22" t="s">
        <v>38</v>
      </c>
      <c r="K148" s="22"/>
      <c r="L148" s="22"/>
      <c r="M148" s="23" t="e">
        <f aca="false">L148/K148-1</f>
        <v>#DIV/0!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</row>
    <row r="149" s="2" customFormat="true" ht="25.5" hidden="false" customHeight="false" outlineLevel="0" collapsed="false">
      <c r="A149" s="18" t="s">
        <v>114</v>
      </c>
      <c r="B149" s="146" t="n">
        <v>107</v>
      </c>
      <c r="C149" s="147" t="n">
        <v>44</v>
      </c>
      <c r="D149" s="147" t="n">
        <v>6</v>
      </c>
      <c r="E149" s="22" t="n">
        <v>6</v>
      </c>
      <c r="F149" s="22" t="n">
        <v>6</v>
      </c>
      <c r="G149" s="22" t="n">
        <v>3</v>
      </c>
      <c r="H149" s="22" t="n">
        <v>0</v>
      </c>
      <c r="I149" s="22" t="n">
        <v>500</v>
      </c>
      <c r="J149" s="22" t="n">
        <v>0</v>
      </c>
      <c r="K149" s="22" t="n">
        <v>3</v>
      </c>
      <c r="L149" s="22" t="n">
        <v>1000</v>
      </c>
      <c r="M149" s="23" t="n">
        <f aca="false">L149/K149-1</f>
        <v>332.333333333333</v>
      </c>
      <c r="N149" s="22" t="n">
        <v>9</v>
      </c>
      <c r="O149" s="22" t="n">
        <v>200</v>
      </c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</row>
    <row r="150" s="2" customFormat="true" ht="25.5" hidden="false" customHeight="false" outlineLevel="0" collapsed="false">
      <c r="A150" s="18" t="s">
        <v>115</v>
      </c>
      <c r="B150" s="146" t="n">
        <v>74</v>
      </c>
      <c r="C150" s="147" t="n">
        <v>1</v>
      </c>
      <c r="D150" s="147" t="n">
        <v>325</v>
      </c>
      <c r="E150" s="22" t="n">
        <v>336</v>
      </c>
      <c r="F150" s="22" t="n">
        <v>9</v>
      </c>
      <c r="G150" s="22" t="n">
        <v>248</v>
      </c>
      <c r="H150" s="22" t="n">
        <v>2</v>
      </c>
      <c r="I150" s="22" t="n">
        <v>10</v>
      </c>
      <c r="J150" s="22" t="n">
        <v>6</v>
      </c>
      <c r="K150" s="22" t="n">
        <v>30</v>
      </c>
      <c r="L150" s="22" t="n">
        <v>6</v>
      </c>
      <c r="M150" s="23" t="n">
        <f aca="false">L150/K150-1</f>
        <v>-0.8</v>
      </c>
      <c r="N150" s="22" t="n">
        <v>300</v>
      </c>
      <c r="O150" s="22" t="n">
        <v>50</v>
      </c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</row>
    <row r="151" s="2" customFormat="true" ht="25.5" hidden="false" customHeight="false" outlineLevel="0" collapsed="false">
      <c r="A151" s="18" t="s">
        <v>116</v>
      </c>
      <c r="B151" s="146" t="n">
        <v>2131</v>
      </c>
      <c r="C151" s="147" t="n">
        <v>2191</v>
      </c>
      <c r="D151" s="147" t="n">
        <v>2048</v>
      </c>
      <c r="E151" s="22" t="n">
        <v>2279</v>
      </c>
      <c r="F151" s="22" t="n">
        <v>2612</v>
      </c>
      <c r="G151" s="22" t="n">
        <v>2248</v>
      </c>
      <c r="H151" s="22" t="n">
        <v>2836</v>
      </c>
      <c r="I151" s="22" t="n">
        <v>3358</v>
      </c>
      <c r="J151" s="22" t="n">
        <v>2862</v>
      </c>
      <c r="K151" s="22" t="n">
        <v>3200</v>
      </c>
      <c r="L151" s="22" t="n">
        <v>2851</v>
      </c>
      <c r="M151" s="23" t="n">
        <f aca="false">L151/K151-1</f>
        <v>-0.1090625</v>
      </c>
      <c r="N151" s="22" t="n">
        <v>3550</v>
      </c>
      <c r="O151" s="22" t="n">
        <v>3900</v>
      </c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</row>
    <row r="152" s="2" customFormat="true" ht="41.75" hidden="false" customHeight="false" outlineLevel="0" collapsed="false">
      <c r="A152" s="18" t="s">
        <v>117</v>
      </c>
      <c r="B152" s="147" t="n">
        <v>0</v>
      </c>
      <c r="C152" s="147" t="n">
        <v>0</v>
      </c>
      <c r="D152" s="147" t="n">
        <v>0</v>
      </c>
      <c r="E152" s="22" t="n">
        <v>0</v>
      </c>
      <c r="F152" s="22" t="n">
        <v>0</v>
      </c>
      <c r="G152" s="22" t="n">
        <v>445</v>
      </c>
      <c r="H152" s="22" t="n">
        <v>467</v>
      </c>
      <c r="I152" s="22" t="n">
        <v>420</v>
      </c>
      <c r="J152" s="22" t="n">
        <v>425</v>
      </c>
      <c r="K152" s="22" t="n">
        <v>430</v>
      </c>
      <c r="L152" s="22" t="n">
        <v>477</v>
      </c>
      <c r="M152" s="23" t="n">
        <f aca="false">L152/K152-1</f>
        <v>0.109302325581395</v>
      </c>
      <c r="N152" s="22" t="n">
        <v>470</v>
      </c>
      <c r="O152" s="22" t="n">
        <v>500</v>
      </c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</row>
    <row r="153" s="2" customFormat="true" ht="25.5" hidden="false" customHeight="false" outlineLevel="0" collapsed="false">
      <c r="A153" s="18" t="s">
        <v>118</v>
      </c>
      <c r="B153" s="146" t="n">
        <v>3949</v>
      </c>
      <c r="C153" s="147" t="n">
        <v>3037</v>
      </c>
      <c r="D153" s="147" t="n">
        <v>3011</v>
      </c>
      <c r="E153" s="22" t="n">
        <v>3269</v>
      </c>
      <c r="F153" s="22" t="n">
        <v>5010</v>
      </c>
      <c r="G153" s="22" t="n">
        <v>5184</v>
      </c>
      <c r="H153" s="22" t="n">
        <v>6063</v>
      </c>
      <c r="I153" s="22" t="n">
        <v>6220</v>
      </c>
      <c r="J153" s="22" t="n">
        <v>5723</v>
      </c>
      <c r="K153" s="22" t="n">
        <v>6800</v>
      </c>
      <c r="L153" s="22" t="n">
        <v>5725</v>
      </c>
      <c r="M153" s="23" t="n">
        <f aca="false">L153/K153-1</f>
        <v>-0.158088235294118</v>
      </c>
      <c r="N153" s="22" t="n">
        <v>8100</v>
      </c>
      <c r="O153" s="22" t="n">
        <v>9500</v>
      </c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</row>
    <row r="154" s="2" customFormat="true" ht="25.5" hidden="false" customHeight="false" outlineLevel="0" collapsed="false">
      <c r="A154" s="18" t="s">
        <v>119</v>
      </c>
      <c r="B154" s="146" t="n">
        <v>71</v>
      </c>
      <c r="C154" s="147" t="n">
        <v>85</v>
      </c>
      <c r="D154" s="147" t="n">
        <v>84</v>
      </c>
      <c r="E154" s="22" t="n">
        <v>150</v>
      </c>
      <c r="F154" s="22" t="n">
        <v>229</v>
      </c>
      <c r="G154" s="22" t="n">
        <v>156</v>
      </c>
      <c r="H154" s="22" t="n">
        <v>306</v>
      </c>
      <c r="I154" s="22" t="n">
        <v>222</v>
      </c>
      <c r="J154" s="22" t="n">
        <v>240</v>
      </c>
      <c r="K154" s="22" t="n">
        <v>330</v>
      </c>
      <c r="L154" s="22" t="n">
        <v>534</v>
      </c>
      <c r="M154" s="23" t="n">
        <f aca="false">L154/K154-1</f>
        <v>0.618181818181818</v>
      </c>
      <c r="N154" s="22" t="n">
        <v>400</v>
      </c>
      <c r="O154" s="22" t="n">
        <v>380</v>
      </c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</row>
    <row r="155" s="2" customFormat="true" ht="25.5" hidden="false" customHeight="false" outlineLevel="0" collapsed="false">
      <c r="A155" s="18" t="s">
        <v>120</v>
      </c>
      <c r="B155" s="146" t="n">
        <v>6332</v>
      </c>
      <c r="C155" s="147" t="n">
        <v>5358</v>
      </c>
      <c r="D155" s="147" t="n">
        <v>5474</v>
      </c>
      <c r="E155" s="22" t="n">
        <v>6040</v>
      </c>
      <c r="F155" s="22" t="n">
        <v>7866</v>
      </c>
      <c r="G155" s="22" t="n">
        <v>8284</v>
      </c>
      <c r="H155" s="22" t="n">
        <v>9674</v>
      </c>
      <c r="I155" s="22" t="n">
        <v>10730</v>
      </c>
      <c r="J155" s="22" t="n">
        <v>9256</v>
      </c>
      <c r="K155" s="22" t="n">
        <f aca="false">K149+K150+K151+K152+K153+K154</f>
        <v>10793</v>
      </c>
      <c r="L155" s="22" t="n">
        <f aca="false">L149+L150+L151+L152+L153+L154</f>
        <v>10593</v>
      </c>
      <c r="M155" s="23" t="n">
        <f aca="false">L155/K155-1</f>
        <v>-0.0185305290466042</v>
      </c>
      <c r="N155" s="22" t="n">
        <f aca="false">N149+N150+N151+N152+N153+N154</f>
        <v>12829</v>
      </c>
      <c r="O155" s="22" t="n">
        <f aca="false">O149+O150+O151+O152+O153+O154</f>
        <v>14530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</row>
    <row r="156" s="2" customFormat="true" ht="25.5" hidden="false" customHeight="false" outlineLevel="0" collapsed="false">
      <c r="A156" s="18" t="s">
        <v>121</v>
      </c>
      <c r="B156" s="146" t="n">
        <v>1079</v>
      </c>
      <c r="C156" s="147" t="n">
        <v>1993</v>
      </c>
      <c r="D156" s="147" t="n">
        <v>3471</v>
      </c>
      <c r="E156" s="22" t="n">
        <v>3468</v>
      </c>
      <c r="F156" s="22" t="n">
        <v>3464</v>
      </c>
      <c r="G156" s="22" t="n">
        <v>9406</v>
      </c>
      <c r="H156" s="22" t="n">
        <v>9413</v>
      </c>
      <c r="I156" s="22" t="n">
        <v>8920</v>
      </c>
      <c r="J156" s="22" t="n">
        <v>8927</v>
      </c>
      <c r="K156" s="22" t="n">
        <v>10667</v>
      </c>
      <c r="L156" s="22" t="n">
        <v>7903</v>
      </c>
      <c r="M156" s="23" t="n">
        <f aca="false">L156/K156-1</f>
        <v>-0.259116902596794</v>
      </c>
      <c r="N156" s="22" t="n">
        <v>13000</v>
      </c>
      <c r="O156" s="22" t="n">
        <v>15500</v>
      </c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</row>
    <row r="157" s="2" customFormat="true" ht="25.5" hidden="false" customHeight="false" outlineLevel="0" collapsed="false">
      <c r="A157" s="18" t="s">
        <v>122</v>
      </c>
      <c r="B157" s="146" t="n">
        <v>0</v>
      </c>
      <c r="C157" s="147" t="n">
        <v>0</v>
      </c>
      <c r="D157" s="147" t="n">
        <v>0</v>
      </c>
      <c r="E157" s="22" t="n">
        <v>0.1</v>
      </c>
      <c r="F157" s="22" t="n">
        <v>0.1</v>
      </c>
      <c r="G157" s="22" t="n">
        <v>2913</v>
      </c>
      <c r="H157" s="22" t="n">
        <v>2931</v>
      </c>
      <c r="I157" s="22" t="n">
        <v>2777</v>
      </c>
      <c r="J157" s="22" t="n">
        <v>2786</v>
      </c>
      <c r="K157" s="22" t="n">
        <v>3000</v>
      </c>
      <c r="L157" s="22" t="n">
        <v>2566</v>
      </c>
      <c r="M157" s="23" t="n">
        <f aca="false">L157/K157-1</f>
        <v>-0.144666666666667</v>
      </c>
      <c r="N157" s="22" t="n">
        <v>3300</v>
      </c>
      <c r="O157" s="22" t="n">
        <v>3550</v>
      </c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</row>
    <row r="158" s="2" customFormat="true" ht="41.75" hidden="false" customHeight="false" outlineLevel="0" collapsed="false">
      <c r="A158" s="18" t="s">
        <v>123</v>
      </c>
      <c r="B158" s="146" t="n">
        <v>1479</v>
      </c>
      <c r="C158" s="147" t="n">
        <v>1770</v>
      </c>
      <c r="D158" s="147" t="n">
        <v>1907</v>
      </c>
      <c r="E158" s="22" t="n">
        <v>3216</v>
      </c>
      <c r="F158" s="22" t="n">
        <v>3347</v>
      </c>
      <c r="G158" s="22" t="n">
        <v>2684</v>
      </c>
      <c r="H158" s="22" t="n">
        <v>2955</v>
      </c>
      <c r="I158" s="22" t="n">
        <v>2613</v>
      </c>
      <c r="J158" s="22" t="n">
        <v>2558</v>
      </c>
      <c r="K158" s="22" t="n">
        <v>2700</v>
      </c>
      <c r="L158" s="22" t="n">
        <v>2618</v>
      </c>
      <c r="M158" s="23" t="n">
        <f aca="false">L158/K158-1</f>
        <v>-0.0303703703703704</v>
      </c>
      <c r="N158" s="22" t="n">
        <v>3000</v>
      </c>
      <c r="O158" s="22" t="n">
        <v>3200</v>
      </c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</row>
    <row r="159" s="2" customFormat="true" ht="25.5" hidden="false" customHeight="false" outlineLevel="0" collapsed="false">
      <c r="A159" s="18" t="s">
        <v>124</v>
      </c>
      <c r="B159" s="146"/>
      <c r="C159" s="147"/>
      <c r="D159" s="147"/>
      <c r="E159" s="22" t="n">
        <f aca="false">E158+E157+E156+E155</f>
        <v>12724.1</v>
      </c>
      <c r="F159" s="22" t="n">
        <f aca="false">F158+F157+F156+F155</f>
        <v>14677.1</v>
      </c>
      <c r="G159" s="22" t="n">
        <f aca="false">G158+G157+G156+G155</f>
        <v>23287</v>
      </c>
      <c r="H159" s="22" t="n">
        <f aca="false">H158+H157+H156+H155</f>
        <v>24973</v>
      </c>
      <c r="I159" s="22" t="n">
        <f aca="false">I158+I157+I156+I155</f>
        <v>25040</v>
      </c>
      <c r="J159" s="22" t="n">
        <f aca="false">J158+J157+J156+J155</f>
        <v>23527</v>
      </c>
      <c r="K159" s="22" t="n">
        <f aca="false">K158+K157+K156+K155</f>
        <v>27160</v>
      </c>
      <c r="L159" s="22" t="n">
        <f aca="false">L158+L157+L156+L155</f>
        <v>23680</v>
      </c>
      <c r="M159" s="23" t="n">
        <f aca="false">L159/K159-1</f>
        <v>-0.128129602356406</v>
      </c>
      <c r="N159" s="22" t="n">
        <f aca="false">N158+N157+N156+N155</f>
        <v>32129</v>
      </c>
      <c r="O159" s="22" t="n">
        <f aca="false">O158+O157+O156+O155</f>
        <v>36780</v>
      </c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</row>
    <row r="160" s="2" customFormat="true" ht="41.75" hidden="false" customHeight="false" outlineLevel="0" collapsed="false">
      <c r="A160" s="18" t="s">
        <v>125</v>
      </c>
      <c r="B160" s="151" t="s">
        <v>126</v>
      </c>
      <c r="C160" s="152" t="s">
        <v>126</v>
      </c>
      <c r="D160" s="152" t="s">
        <v>126</v>
      </c>
      <c r="E160" s="22" t="s">
        <v>126</v>
      </c>
      <c r="F160" s="22" t="s">
        <v>126</v>
      </c>
      <c r="G160" s="22" t="s">
        <v>126</v>
      </c>
      <c r="H160" s="22" t="s">
        <v>126</v>
      </c>
      <c r="I160" s="22" t="s">
        <v>126</v>
      </c>
      <c r="J160" s="22" t="s">
        <v>126</v>
      </c>
      <c r="K160" s="22"/>
      <c r="L160" s="22"/>
      <c r="M160" s="23"/>
      <c r="N160" s="21"/>
      <c r="O160" s="21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</row>
    <row r="161" s="2" customFormat="true" ht="25.5" hidden="false" customHeight="false" outlineLevel="0" collapsed="false">
      <c r="A161" s="18" t="s">
        <v>127</v>
      </c>
      <c r="B161" s="153" t="n">
        <v>0</v>
      </c>
      <c r="C161" s="154" t="n">
        <v>0</v>
      </c>
      <c r="D161" s="154" t="n">
        <v>0</v>
      </c>
      <c r="E161" s="22" t="n">
        <v>0</v>
      </c>
      <c r="F161" s="22" t="n">
        <v>0</v>
      </c>
      <c r="G161" s="22" t="n">
        <v>0</v>
      </c>
      <c r="H161" s="22" t="n">
        <v>0</v>
      </c>
      <c r="I161" s="22" t="n">
        <v>0</v>
      </c>
      <c r="J161" s="22" t="n">
        <v>0</v>
      </c>
      <c r="K161" s="22" t="n">
        <v>0</v>
      </c>
      <c r="L161" s="22" t="n">
        <v>0</v>
      </c>
      <c r="M161" s="23" t="e">
        <f aca="false">L161/K161-1</f>
        <v>#DIV/0!</v>
      </c>
      <c r="N161" s="22" t="n">
        <v>0</v>
      </c>
      <c r="O161" s="22" t="n">
        <v>0</v>
      </c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</row>
    <row r="162" s="2" customFormat="true" ht="25.5" hidden="false" customHeight="false" outlineLevel="0" collapsed="false">
      <c r="A162" s="11" t="s">
        <v>128</v>
      </c>
      <c r="B162" s="155"/>
      <c r="C162" s="135"/>
      <c r="D162" s="135"/>
      <c r="E162" s="150"/>
      <c r="F162" s="21"/>
      <c r="G162" s="21"/>
      <c r="H162" s="21"/>
      <c r="I162" s="22" t="s">
        <v>38</v>
      </c>
      <c r="J162" s="22" t="s">
        <v>38</v>
      </c>
      <c r="K162" s="22"/>
      <c r="L162" s="22"/>
      <c r="M162" s="23"/>
      <c r="N162" s="21"/>
      <c r="O162" s="21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</row>
    <row r="163" s="2" customFormat="true" ht="25.5" hidden="false" customHeight="false" outlineLevel="0" collapsed="false">
      <c r="A163" s="18" t="s">
        <v>129</v>
      </c>
      <c r="B163" s="156" t="n">
        <v>6773</v>
      </c>
      <c r="C163" s="157" t="n">
        <v>7786</v>
      </c>
      <c r="D163" s="157" t="n">
        <v>8638</v>
      </c>
      <c r="E163" s="22" t="n">
        <v>6384</v>
      </c>
      <c r="F163" s="22" t="n">
        <v>7163</v>
      </c>
      <c r="G163" s="22" t="n">
        <v>8299</v>
      </c>
      <c r="H163" s="22" t="n">
        <v>9965</v>
      </c>
      <c r="I163" s="22" t="n">
        <v>11484</v>
      </c>
      <c r="J163" s="22" t="n">
        <v>12412</v>
      </c>
      <c r="K163" s="22" t="n">
        <v>14000</v>
      </c>
      <c r="L163" s="22"/>
      <c r="M163" s="23" t="n">
        <f aca="false">L163/K163-1</f>
        <v>-1</v>
      </c>
      <c r="N163" s="22" t="n">
        <v>15916</v>
      </c>
      <c r="O163" s="22" t="n">
        <v>18001</v>
      </c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</row>
    <row r="164" s="2" customFormat="true" ht="41.75" hidden="false" customHeight="false" outlineLevel="0" collapsed="false">
      <c r="A164" s="18" t="s">
        <v>130</v>
      </c>
      <c r="B164" s="156" t="n">
        <v>1246</v>
      </c>
      <c r="C164" s="157" t="n">
        <v>318</v>
      </c>
      <c r="D164" s="157" t="n">
        <v>-213</v>
      </c>
      <c r="E164" s="22" t="n">
        <v>-92</v>
      </c>
      <c r="F164" s="22" t="n">
        <v>231</v>
      </c>
      <c r="G164" s="22" t="n">
        <v>-56</v>
      </c>
      <c r="H164" s="22" t="n">
        <v>-380</v>
      </c>
      <c r="I164" s="22" t="n">
        <v>318</v>
      </c>
      <c r="J164" s="22" t="n">
        <v>231</v>
      </c>
      <c r="K164" s="22" t="n">
        <v>130</v>
      </c>
      <c r="L164" s="22"/>
      <c r="M164" s="23" t="n">
        <f aca="false">L164/K164-1</f>
        <v>-1</v>
      </c>
      <c r="N164" s="22" t="n">
        <v>267</v>
      </c>
      <c r="O164" s="22" t="n">
        <v>280</v>
      </c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</row>
    <row r="165" s="2" customFormat="true" ht="25.5" hidden="false" customHeight="false" outlineLevel="0" collapsed="false">
      <c r="A165" s="18" t="s">
        <v>131</v>
      </c>
      <c r="B165" s="156" t="n">
        <v>4685</v>
      </c>
      <c r="C165" s="157" t="n">
        <v>4151</v>
      </c>
      <c r="D165" s="157" t="n">
        <v>3979</v>
      </c>
      <c r="E165" s="22" t="n">
        <v>3517</v>
      </c>
      <c r="F165" s="22" t="n">
        <v>1643</v>
      </c>
      <c r="G165" s="22" t="n">
        <v>-191</v>
      </c>
      <c r="H165" s="22" t="n">
        <v>3179</v>
      </c>
      <c r="I165" s="22" t="n">
        <v>3476</v>
      </c>
      <c r="J165" s="22" t="n">
        <v>1358</v>
      </c>
      <c r="K165" s="22" t="n">
        <v>4000</v>
      </c>
      <c r="L165" s="22"/>
      <c r="M165" s="23" t="n">
        <f aca="false">L165/K165-1</f>
        <v>-1</v>
      </c>
      <c r="N165" s="22" t="n">
        <v>5700</v>
      </c>
      <c r="O165" s="22" t="n">
        <v>7200</v>
      </c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</row>
    <row r="166" s="2" customFormat="true" ht="25.5" hidden="false" customHeight="false" outlineLevel="0" collapsed="false">
      <c r="A166" s="18" t="s">
        <v>132</v>
      </c>
      <c r="B166" s="156" t="n">
        <v>12707</v>
      </c>
      <c r="C166" s="157" t="n">
        <v>12258</v>
      </c>
      <c r="D166" s="157" t="n">
        <v>12407</v>
      </c>
      <c r="E166" s="22" t="n">
        <v>9812</v>
      </c>
      <c r="F166" s="22" t="n">
        <v>9040</v>
      </c>
      <c r="G166" s="22" t="n">
        <v>8055</v>
      </c>
      <c r="H166" s="22" t="n">
        <v>12767</v>
      </c>
      <c r="I166" s="22" t="n">
        <v>15281</v>
      </c>
      <c r="J166" s="22" t="n">
        <f aca="false">J165+J164+J163</f>
        <v>14001</v>
      </c>
      <c r="K166" s="22" t="n">
        <f aca="false">K165+K164+K163</f>
        <v>18130</v>
      </c>
      <c r="L166" s="22" t="n">
        <v>14430</v>
      </c>
      <c r="M166" s="23" t="n">
        <f aca="false">L166/K166-1</f>
        <v>-0.204081632653061</v>
      </c>
      <c r="N166" s="22" t="n">
        <f aca="false">N165+N164+N163</f>
        <v>21883</v>
      </c>
      <c r="O166" s="22" t="n">
        <f aca="false">O165+O164+O163</f>
        <v>25481</v>
      </c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</row>
    <row r="167" s="2" customFormat="true" ht="41.75" hidden="false" customHeight="false" outlineLevel="0" collapsed="false">
      <c r="A167" s="18" t="s">
        <v>133</v>
      </c>
      <c r="B167" s="156" t="n">
        <v>21597</v>
      </c>
      <c r="C167" s="157" t="n">
        <v>21379</v>
      </c>
      <c r="D167" s="157" t="n">
        <v>23259</v>
      </c>
      <c r="E167" s="22" t="n">
        <f aca="false">E166+E159</f>
        <v>22536.1</v>
      </c>
      <c r="F167" s="22" t="n">
        <f aca="false">F166+F159</f>
        <v>23717.1</v>
      </c>
      <c r="G167" s="22" t="n">
        <f aca="false">G166+G159</f>
        <v>31342</v>
      </c>
      <c r="H167" s="22" t="n">
        <f aca="false">H166+H159</f>
        <v>37740</v>
      </c>
      <c r="I167" s="22" t="n">
        <f aca="false">I166+I159</f>
        <v>40321</v>
      </c>
      <c r="J167" s="22" t="n">
        <f aca="false">J166+J159</f>
        <v>37528</v>
      </c>
      <c r="K167" s="22" t="n">
        <f aca="false">K166+K159</f>
        <v>45290</v>
      </c>
      <c r="L167" s="22" t="n">
        <f aca="false">L166+L159</f>
        <v>38110</v>
      </c>
      <c r="M167" s="23" t="n">
        <f aca="false">L167/K167-1</f>
        <v>-0.158533892691543</v>
      </c>
      <c r="N167" s="22" t="n">
        <f aca="false">N166+N159</f>
        <v>54012</v>
      </c>
      <c r="O167" s="22" t="n">
        <f aca="false">O166+O159</f>
        <v>62261</v>
      </c>
      <c r="P167" s="139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</row>
    <row r="168" s="2" customFormat="true" ht="25.5" hidden="false" customHeight="false" outlineLevel="0" collapsed="false">
      <c r="A168" s="18" t="s">
        <v>134</v>
      </c>
      <c r="B168" s="155"/>
      <c r="C168" s="135"/>
      <c r="D168" s="135"/>
      <c r="E168" s="158"/>
      <c r="F168" s="158"/>
      <c r="G168" s="158"/>
      <c r="H168" s="158"/>
      <c r="I168" s="158"/>
      <c r="J168" s="158"/>
      <c r="K168" s="158"/>
      <c r="L168" s="158"/>
      <c r="M168" s="158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</row>
    <row r="169" s="2" customFormat="true" ht="25.5" hidden="false" customHeight="false" outlineLevel="0" collapsed="false">
      <c r="A169" s="11" t="s">
        <v>128</v>
      </c>
      <c r="B169" s="155"/>
      <c r="C169" s="135"/>
      <c r="D169" s="135"/>
      <c r="E169" s="159"/>
      <c r="F169" s="136"/>
      <c r="G169" s="136"/>
      <c r="H169" s="136"/>
      <c r="I169" s="158" t="s">
        <v>38</v>
      </c>
      <c r="J169" s="158" t="s">
        <v>38</v>
      </c>
      <c r="K169" s="158"/>
      <c r="L169" s="158"/>
      <c r="M169" s="158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</row>
    <row r="170" s="2" customFormat="true" ht="25.5" hidden="false" customHeight="false" outlineLevel="0" collapsed="false">
      <c r="A170" s="18" t="s">
        <v>135</v>
      </c>
      <c r="B170" s="153" t="n">
        <v>0</v>
      </c>
      <c r="C170" s="154" t="n">
        <v>0</v>
      </c>
      <c r="D170" s="154" t="n">
        <v>0</v>
      </c>
      <c r="E170" s="22" t="n">
        <v>0</v>
      </c>
      <c r="F170" s="22" t="n">
        <v>0</v>
      </c>
      <c r="G170" s="22" t="n">
        <v>0</v>
      </c>
      <c r="H170" s="22" t="n">
        <v>0</v>
      </c>
      <c r="I170" s="22" t="n">
        <v>0</v>
      </c>
      <c r="J170" s="22" t="n">
        <v>0</v>
      </c>
      <c r="K170" s="22" t="n">
        <v>0</v>
      </c>
      <c r="L170" s="22"/>
      <c r="M170" s="22"/>
      <c r="N170" s="22" t="n">
        <v>0</v>
      </c>
      <c r="O170" s="22" t="n">
        <v>0</v>
      </c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</row>
    <row r="171" s="2" customFormat="true" ht="25.5" hidden="false" customHeight="false" outlineLevel="0" collapsed="false">
      <c r="A171" s="18" t="s">
        <v>136</v>
      </c>
      <c r="B171" s="155"/>
      <c r="C171" s="135"/>
      <c r="D171" s="135"/>
      <c r="E171" s="150"/>
      <c r="F171" s="21"/>
      <c r="G171" s="21"/>
      <c r="H171" s="21"/>
      <c r="I171" s="22" t="s">
        <v>38</v>
      </c>
      <c r="J171" s="22" t="s">
        <v>38</v>
      </c>
      <c r="K171" s="22" t="s">
        <v>38</v>
      </c>
      <c r="L171" s="22"/>
      <c r="M171" s="22"/>
      <c r="N171" s="22" t="s">
        <v>38</v>
      </c>
      <c r="O171" s="22" t="s">
        <v>38</v>
      </c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</row>
    <row r="172" s="2" customFormat="true" ht="25.5" hidden="false" customHeight="false" outlineLevel="0" collapsed="false">
      <c r="A172" s="11" t="s">
        <v>128</v>
      </c>
      <c r="B172" s="155"/>
      <c r="C172" s="135"/>
      <c r="D172" s="135"/>
      <c r="E172" s="150"/>
      <c r="F172" s="21"/>
      <c r="G172" s="21"/>
      <c r="H172" s="21"/>
      <c r="I172" s="22" t="s">
        <v>38</v>
      </c>
      <c r="J172" s="22" t="s">
        <v>38</v>
      </c>
      <c r="K172" s="22" t="s">
        <v>38</v>
      </c>
      <c r="L172" s="22"/>
      <c r="M172" s="22"/>
      <c r="N172" s="22" t="s">
        <v>38</v>
      </c>
      <c r="O172" s="22" t="s">
        <v>38</v>
      </c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</row>
    <row r="173" s="2" customFormat="true" ht="25.5" hidden="false" customHeight="false" outlineLevel="0" collapsed="false">
      <c r="A173" s="18" t="s">
        <v>135</v>
      </c>
      <c r="B173" s="156" t="s">
        <v>137</v>
      </c>
      <c r="C173" s="157" t="n">
        <v>3</v>
      </c>
      <c r="D173" s="157" t="n">
        <v>3</v>
      </c>
      <c r="E173" s="22" t="s">
        <v>137</v>
      </c>
      <c r="F173" s="22" t="n">
        <v>3</v>
      </c>
      <c r="G173" s="22" t="n">
        <v>3</v>
      </c>
      <c r="H173" s="22" t="n">
        <v>3</v>
      </c>
      <c r="I173" s="22" t="n">
        <v>3</v>
      </c>
      <c r="J173" s="22" t="n">
        <v>3</v>
      </c>
      <c r="K173" s="22" t="n">
        <v>3</v>
      </c>
      <c r="L173" s="22"/>
      <c r="M173" s="22"/>
      <c r="N173" s="22" t="n">
        <v>3</v>
      </c>
      <c r="O173" s="22" t="n">
        <v>3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</row>
    <row r="174" s="2" customFormat="true" ht="25.5" hidden="false" customHeight="false" outlineLevel="0" collapsed="false">
      <c r="A174" s="1"/>
      <c r="B174" s="12"/>
      <c r="C174" s="12"/>
      <c r="D174" s="1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</row>
    <row r="175" s="2" customFormat="true" ht="25.5" hidden="false" customHeight="false" outlineLevel="0" collapsed="false">
      <c r="A175" s="126" t="s">
        <v>138</v>
      </c>
      <c r="B175" s="12"/>
      <c r="C175" s="12"/>
      <c r="D175" s="12"/>
      <c r="E175" s="13"/>
      <c r="F175" s="13"/>
      <c r="G175" s="13"/>
      <c r="H175" s="13"/>
      <c r="I175" s="21" t="n">
        <f aca="false">I141-I136-I151-I152-I153-I154</f>
        <v>9419</v>
      </c>
      <c r="J175" s="21" t="n">
        <f aca="false">J141-J136-J151-J152-J153-J154</f>
        <v>8511</v>
      </c>
      <c r="K175" s="21" t="n">
        <f aca="false">K141-K136-K151-K152-K153-K154</f>
        <v>10340</v>
      </c>
      <c r="L175" s="21" t="n">
        <f aca="false">L141-L136-L151-L152-L153-L154</f>
        <v>5935</v>
      </c>
      <c r="M175" s="21"/>
      <c r="N175" s="21" t="n">
        <f aca="false">N141-N136-N151-N152-N153-N154</f>
        <v>12080</v>
      </c>
      <c r="O175" s="21" t="n">
        <f aca="false">O141-O136-O151-O152-O153-O154</f>
        <v>13400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</row>
    <row r="176" s="2" customFormat="true" ht="25.5" hidden="false" customHeight="false" outlineLevel="0" collapsed="false">
      <c r="A176" s="126" t="s">
        <v>139</v>
      </c>
      <c r="B176" s="12"/>
      <c r="C176" s="12"/>
      <c r="D176" s="12"/>
      <c r="E176" s="13"/>
      <c r="F176" s="13"/>
      <c r="G176" s="13"/>
      <c r="H176" s="13"/>
      <c r="I176" s="13"/>
      <c r="J176" s="21" t="n">
        <f aca="false">+I175-J175</f>
        <v>908</v>
      </c>
      <c r="K176" s="21" t="n">
        <f aca="false">+J175-K175</f>
        <v>-1829</v>
      </c>
      <c r="L176" s="21" t="n">
        <f aca="false">+K175-L175</f>
        <v>4405</v>
      </c>
      <c r="M176" s="21"/>
      <c r="N176" s="21" t="n">
        <f aca="false">+K175-N175</f>
        <v>-1740</v>
      </c>
      <c r="O176" s="21" t="n">
        <f aca="false">+N175-O175</f>
        <v>-1320</v>
      </c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</row>
    <row r="177" s="2" customFormat="true" ht="25.5" hidden="false" customHeight="false" outlineLevel="0" collapsed="false">
      <c r="A177" s="160"/>
      <c r="B177" s="12"/>
      <c r="C177" s="12"/>
      <c r="D177" s="12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</row>
    <row r="178" s="2" customFormat="true" ht="25.5" hidden="false" customHeight="false" outlineLevel="0" collapsed="false">
      <c r="A178" s="160"/>
      <c r="B178" s="12"/>
      <c r="C178" s="12"/>
      <c r="D178" s="12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</row>
    <row r="179" s="2" customFormat="true" ht="25.5" hidden="false" customHeight="false" outlineLevel="0" collapsed="false">
      <c r="A179" s="161" t="s">
        <v>140</v>
      </c>
      <c r="B179" s="162"/>
      <c r="C179" s="162"/>
      <c r="D179" s="162"/>
      <c r="E179" s="76" t="n">
        <v>2018</v>
      </c>
      <c r="F179" s="76" t="n">
        <f aca="false">E179+1</f>
        <v>2019</v>
      </c>
      <c r="G179" s="76" t="n">
        <f aca="false">F179+1</f>
        <v>2020</v>
      </c>
      <c r="H179" s="76" t="n">
        <f aca="false">G179+1</f>
        <v>2021</v>
      </c>
      <c r="I179" s="76" t="n">
        <f aca="false">H179+1</f>
        <v>2022</v>
      </c>
      <c r="J179" s="76" t="n">
        <f aca="false">I179+1</f>
        <v>2023</v>
      </c>
      <c r="K179" s="76" t="s">
        <v>141</v>
      </c>
      <c r="L179" s="76" t="n">
        <v>2024</v>
      </c>
      <c r="M179" s="76"/>
      <c r="N179" s="76" t="n">
        <f aca="false">L179+1</f>
        <v>2025</v>
      </c>
      <c r="O179" s="76" t="n">
        <f aca="false">N179+1</f>
        <v>2026</v>
      </c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36"/>
    </row>
    <row r="180" s="2" customFormat="true" ht="25.5" hidden="false" customHeight="false" outlineLevel="0" collapsed="false">
      <c r="A180" s="163"/>
      <c r="B180" s="12"/>
      <c r="C180" s="12"/>
      <c r="D180" s="12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</row>
    <row r="181" s="2" customFormat="true" ht="25.5" hidden="false" customHeight="false" outlineLevel="0" collapsed="false">
      <c r="A181" s="125" t="s">
        <v>142</v>
      </c>
      <c r="B181" s="12"/>
      <c r="C181" s="12"/>
      <c r="D181" s="12"/>
      <c r="E181" s="129" t="n">
        <f aca="false">E39</f>
        <v>4445</v>
      </c>
      <c r="F181" s="129" t="n">
        <f aca="false">F39</f>
        <v>4772</v>
      </c>
      <c r="G181" s="129" t="n">
        <f aca="false">G39</f>
        <v>3115</v>
      </c>
      <c r="H181" s="129" t="n">
        <f aca="false">H39</f>
        <v>6937</v>
      </c>
      <c r="I181" s="129" t="n">
        <f aca="false">I39</f>
        <v>6675</v>
      </c>
      <c r="J181" s="129" t="n">
        <f aca="false">J39</f>
        <v>5915</v>
      </c>
      <c r="K181" s="129" t="n">
        <f aca="false">K39</f>
        <v>6238</v>
      </c>
      <c r="L181" s="129" t="n">
        <f aca="false">L39</f>
        <v>6311</v>
      </c>
      <c r="M181" s="129"/>
      <c r="N181" s="129" t="n">
        <f aca="false">N39</f>
        <v>7729</v>
      </c>
      <c r="O181" s="129" t="n">
        <f aca="false">O39</f>
        <v>8570</v>
      </c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</row>
    <row r="182" s="2" customFormat="true" ht="25.5" hidden="false" customHeight="false" outlineLevel="0" collapsed="false">
      <c r="A182" s="163" t="s">
        <v>143</v>
      </c>
      <c r="B182" s="12"/>
      <c r="C182" s="12"/>
      <c r="D182" s="12"/>
      <c r="E182" s="79" t="n">
        <f aca="false">E181*E187</f>
        <v>2458.3676300578</v>
      </c>
      <c r="F182" s="79" t="n">
        <f aca="false">F181*F187</f>
        <v>767.336804832327</v>
      </c>
      <c r="G182" s="79" t="n">
        <f aca="false">G181*G187</f>
        <v>375.483200554209</v>
      </c>
      <c r="H182" s="79" t="n">
        <f aca="false">H181*H187</f>
        <v>972.700495421108</v>
      </c>
      <c r="I182" s="79" t="n">
        <f aca="false">I181*I187</f>
        <v>607.183130356337</v>
      </c>
      <c r="J182" s="79" t="n">
        <f aca="false">J181*J187</f>
        <v>1078.83647798742</v>
      </c>
      <c r="K182" s="79" t="n">
        <f aca="false">K181*K187</f>
        <v>980.313380227493</v>
      </c>
      <c r="L182" s="79" t="n">
        <f aca="false">L181*L187</f>
        <v>941.940298507463</v>
      </c>
      <c r="M182" s="79"/>
      <c r="N182" s="79" t="n">
        <f aca="false">N181*N187</f>
        <v>1110.10445951076</v>
      </c>
      <c r="O182" s="79" t="n">
        <f aca="false">O181*O187</f>
        <v>1456.9</v>
      </c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</row>
    <row r="183" s="2" customFormat="true" ht="25.5" hidden="false" customHeight="false" outlineLevel="0" collapsed="false">
      <c r="A183" s="163" t="s">
        <v>144</v>
      </c>
      <c r="B183" s="12"/>
      <c r="C183" s="12"/>
      <c r="D183" s="12"/>
      <c r="E183" s="129" t="n">
        <f aca="false">E181-E182</f>
        <v>1986.6323699422</v>
      </c>
      <c r="F183" s="129" t="n">
        <f aca="false">F181-F182</f>
        <v>4004.66319516767</v>
      </c>
      <c r="G183" s="129" t="n">
        <f aca="false">G181-G182</f>
        <v>2739.51679944579</v>
      </c>
      <c r="H183" s="129" t="n">
        <f aca="false">H181-H182</f>
        <v>5964.29950457889</v>
      </c>
      <c r="I183" s="129" t="n">
        <f aca="false">I181-I182</f>
        <v>6067.81686964366</v>
      </c>
      <c r="J183" s="129" t="n">
        <f aca="false">J181-J182</f>
        <v>4836.16352201258</v>
      </c>
      <c r="K183" s="129" t="n">
        <f aca="false">K181-K182</f>
        <v>5257.68661977251</v>
      </c>
      <c r="L183" s="129" t="n">
        <f aca="false">L181-L182</f>
        <v>5369.05970149254</v>
      </c>
      <c r="M183" s="129"/>
      <c r="N183" s="129" t="n">
        <f aca="false">N181-N182</f>
        <v>6618.89554048924</v>
      </c>
      <c r="O183" s="129" t="n">
        <f aca="false">O181-O182</f>
        <v>7113.1</v>
      </c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</row>
    <row r="184" s="2" customFormat="true" ht="25.5" hidden="false" customHeight="false" outlineLevel="0" collapsed="false">
      <c r="A184" s="163"/>
      <c r="B184" s="12"/>
      <c r="C184" s="12"/>
      <c r="D184" s="12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</row>
    <row r="185" s="2" customFormat="true" ht="25.5" hidden="false" customHeight="false" outlineLevel="0" collapsed="false">
      <c r="A185" s="164" t="s">
        <v>145</v>
      </c>
      <c r="B185" s="12"/>
      <c r="C185" s="12"/>
      <c r="D185" s="12"/>
      <c r="E185" s="129" t="n">
        <f aca="false">E43</f>
        <v>2392</v>
      </c>
      <c r="F185" s="129" t="n">
        <f aca="false">F43</f>
        <v>772</v>
      </c>
      <c r="G185" s="129" t="n">
        <f aca="false">G43</f>
        <v>348</v>
      </c>
      <c r="H185" s="129" t="n">
        <f aca="false">H43</f>
        <v>934</v>
      </c>
      <c r="I185" s="129" t="n">
        <f aca="false">I43</f>
        <v>605</v>
      </c>
      <c r="J185" s="129" t="n">
        <f aca="false">J43</f>
        <v>1131</v>
      </c>
      <c r="K185" s="129" t="n">
        <f aca="false">K43</f>
        <v>1021</v>
      </c>
      <c r="L185" s="129" t="n">
        <f aca="false">L43</f>
        <v>1000</v>
      </c>
      <c r="M185" s="129"/>
      <c r="N185" s="129" t="n">
        <f aca="false">N43</f>
        <v>1155.77831358301</v>
      </c>
      <c r="O185" s="129" t="n">
        <f aca="false">O43</f>
        <v>1511.3</v>
      </c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</row>
    <row r="186" s="2" customFormat="true" ht="25.5" hidden="false" customHeight="false" outlineLevel="0" collapsed="false">
      <c r="A186" s="164" t="s">
        <v>146</v>
      </c>
      <c r="B186" s="12"/>
      <c r="C186" s="12"/>
      <c r="D186" s="12"/>
      <c r="E186" s="129" t="n">
        <f aca="false">E42</f>
        <v>4325</v>
      </c>
      <c r="F186" s="129" t="n">
        <f aca="false">F42</f>
        <v>4801</v>
      </c>
      <c r="G186" s="129" t="n">
        <f aca="false">G42</f>
        <v>2887</v>
      </c>
      <c r="H186" s="129" t="n">
        <f aca="false">H42</f>
        <v>6661</v>
      </c>
      <c r="I186" s="129" t="n">
        <f aca="false">I42</f>
        <v>6651</v>
      </c>
      <c r="J186" s="129" t="n">
        <f aca="false">J42</f>
        <v>6201</v>
      </c>
      <c r="K186" s="129" t="n">
        <f aca="false">K42</f>
        <v>6496.9</v>
      </c>
      <c r="L186" s="129" t="n">
        <f aca="false">L42</f>
        <v>6700</v>
      </c>
      <c r="M186" s="129"/>
      <c r="N186" s="129" t="n">
        <f aca="false">N42</f>
        <v>8047</v>
      </c>
      <c r="O186" s="129" t="n">
        <f aca="false">O42</f>
        <v>8890</v>
      </c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</row>
    <row r="187" s="2" customFormat="true" ht="25.5" hidden="false" customHeight="false" outlineLevel="0" collapsed="false">
      <c r="A187" s="165" t="s">
        <v>147</v>
      </c>
      <c r="B187" s="12"/>
      <c r="C187" s="12"/>
      <c r="D187" s="12"/>
      <c r="E187" s="166" t="n">
        <f aca="false">E185/E186</f>
        <v>0.553063583815029</v>
      </c>
      <c r="F187" s="166" t="n">
        <f aca="false">F185/F186</f>
        <v>0.160799833368048</v>
      </c>
      <c r="G187" s="166" t="n">
        <f aca="false">G185/G186</f>
        <v>0.120540353307932</v>
      </c>
      <c r="H187" s="166" t="n">
        <f aca="false">H185/H186</f>
        <v>0.140219186308362</v>
      </c>
      <c r="I187" s="166" t="n">
        <f aca="false">I185/I186</f>
        <v>0.0909637648473914</v>
      </c>
      <c r="J187" s="166" t="n">
        <f aca="false">J185/J186</f>
        <v>0.182389937106918</v>
      </c>
      <c r="K187" s="166" t="n">
        <f aca="false">K185/K186</f>
        <v>0.157151872431467</v>
      </c>
      <c r="L187" s="166" t="n">
        <f aca="false">L185/L186</f>
        <v>0.149253731343284</v>
      </c>
      <c r="M187" s="166"/>
      <c r="N187" s="166" t="n">
        <f aca="false">N185/N186</f>
        <v>0.143628471925315</v>
      </c>
      <c r="O187" s="166" t="n">
        <f aca="false">O185/O186</f>
        <v>0.17</v>
      </c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</row>
    <row r="188" s="2" customFormat="true" ht="25.5" hidden="false" customHeight="false" outlineLevel="0" collapsed="false">
      <c r="A188" s="163"/>
      <c r="B188" s="12"/>
      <c r="C188" s="12"/>
      <c r="D188" s="12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</row>
    <row r="189" s="2" customFormat="true" ht="25.5" hidden="false" customHeight="false" outlineLevel="0" collapsed="false">
      <c r="A189" s="163" t="s">
        <v>148</v>
      </c>
      <c r="B189" s="12"/>
      <c r="C189" s="12"/>
      <c r="D189" s="12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</row>
    <row r="190" s="2" customFormat="true" ht="25.5" hidden="false" customHeight="false" outlineLevel="0" collapsed="false">
      <c r="A190" s="163"/>
      <c r="B190" s="12"/>
      <c r="C190" s="12"/>
      <c r="D190" s="12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</row>
    <row r="191" s="2" customFormat="true" ht="25.5" hidden="false" customHeight="false" outlineLevel="0" collapsed="false">
      <c r="A191" s="163" t="s">
        <v>138</v>
      </c>
      <c r="B191" s="12"/>
      <c r="C191" s="12"/>
      <c r="D191" s="12"/>
      <c r="E191" s="21" t="n">
        <f aca="false">E141-E136-E151-E152-E153-E154</f>
        <v>5187</v>
      </c>
      <c r="F191" s="21" t="n">
        <f aca="false">F141-F136-F151-F152-F153-F154</f>
        <v>4208</v>
      </c>
      <c r="G191" s="21" t="n">
        <f aca="false">G141-G136-G151-G152-G153-G154</f>
        <v>4175</v>
      </c>
      <c r="H191" s="21" t="n">
        <f aca="false">H141-H136-H151-H152-H153-H154</f>
        <v>6730</v>
      </c>
      <c r="I191" s="21" t="n">
        <f aca="false">I141-I136-I151-I152-I153-I154</f>
        <v>9419</v>
      </c>
      <c r="J191" s="21" t="n">
        <f aca="false">J141-J136-J151-J152-J153-J154</f>
        <v>8511</v>
      </c>
      <c r="K191" s="21" t="n">
        <f aca="false">K141-K136-K151-K152-K153-K154</f>
        <v>10340</v>
      </c>
      <c r="L191" s="21" t="n">
        <f aca="false">L141-L136-L151-L152-L153-L154</f>
        <v>5935</v>
      </c>
      <c r="M191" s="21"/>
      <c r="N191" s="21" t="n">
        <f aca="false">N141-N136-N151-N152-N153-N154</f>
        <v>12080</v>
      </c>
      <c r="O191" s="21" t="n">
        <f aca="false">O141-O136-O151-O152-O153-O154</f>
        <v>13400</v>
      </c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</row>
    <row r="192" s="2" customFormat="true" ht="25.5" hidden="false" customHeight="false" outlineLevel="0" collapsed="false">
      <c r="A192" s="163" t="s">
        <v>149</v>
      </c>
      <c r="B192" s="12"/>
      <c r="C192" s="12"/>
      <c r="D192" s="12"/>
      <c r="E192" s="21" t="n">
        <f aca="false">E142</f>
        <v>4454</v>
      </c>
      <c r="F192" s="21" t="n">
        <f aca="false">F142</f>
        <v>4744</v>
      </c>
      <c r="G192" s="21" t="n">
        <f aca="false">G142</f>
        <v>4866</v>
      </c>
      <c r="H192" s="21" t="n">
        <f aca="false">H142</f>
        <v>4904</v>
      </c>
      <c r="I192" s="21" t="n">
        <f aca="false">I142</f>
        <v>4791</v>
      </c>
      <c r="J192" s="21" t="n">
        <f aca="false">J142</f>
        <v>5081</v>
      </c>
      <c r="K192" s="21" t="n">
        <f aca="false">K142</f>
        <v>5300</v>
      </c>
      <c r="L192" s="21" t="n">
        <f aca="false">L142</f>
        <v>5000</v>
      </c>
      <c r="M192" s="21"/>
      <c r="N192" s="21" t="n">
        <f aca="false">N142</f>
        <v>5500</v>
      </c>
      <c r="O192" s="21" t="n">
        <f aca="false">O142</f>
        <v>5600</v>
      </c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</row>
    <row r="193" s="2" customFormat="true" ht="25.5" hidden="false" customHeight="false" outlineLevel="0" collapsed="false">
      <c r="A193" s="163" t="s">
        <v>150</v>
      </c>
      <c r="B193" s="12"/>
      <c r="C193" s="12"/>
      <c r="D193" s="12"/>
      <c r="E193" s="21" t="n">
        <f aca="false">E143+E146+E144+E145</f>
        <v>2948</v>
      </c>
      <c r="F193" s="21" t="n">
        <f aca="false">F143+F146+F144+F145</f>
        <v>2448</v>
      </c>
      <c r="G193" s="21" t="n">
        <f aca="false">G143+G146+G144+G145</f>
        <v>5920</v>
      </c>
      <c r="H193" s="21" t="n">
        <f aca="false">H143+H146+H144+H145</f>
        <v>6545</v>
      </c>
      <c r="I193" s="21" t="n">
        <f aca="false">I143+I146+I144+I145</f>
        <v>7317</v>
      </c>
      <c r="J193" s="21" t="n">
        <f aca="false">J143+J146+J144+J145</f>
        <v>7248</v>
      </c>
      <c r="K193" s="21" t="n">
        <f aca="false">K143+K146+K144+K145</f>
        <v>7813</v>
      </c>
      <c r="L193" s="21" t="n">
        <f aca="false">L143+L146+L144+L145</f>
        <v>7728</v>
      </c>
      <c r="M193" s="21"/>
      <c r="N193" s="21" t="n">
        <f aca="false">N143+N146+N144+N145</f>
        <v>8380</v>
      </c>
      <c r="O193" s="21" t="n">
        <f aca="false">O143+O146+O144+O145</f>
        <v>8800</v>
      </c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</row>
    <row r="194" s="2" customFormat="true" ht="25.5" hidden="false" customHeight="false" outlineLevel="0" collapsed="false">
      <c r="A194" s="163" t="s">
        <v>151</v>
      </c>
      <c r="B194" s="12"/>
      <c r="C194" s="12"/>
      <c r="D194" s="12"/>
      <c r="E194" s="21" t="n">
        <f aca="false">SUM(E191:E193)</f>
        <v>12589</v>
      </c>
      <c r="F194" s="21" t="n">
        <f aca="false">SUM(F191:F193)</f>
        <v>11400</v>
      </c>
      <c r="G194" s="21" t="n">
        <f aca="false">SUM(G191:G193)</f>
        <v>14961</v>
      </c>
      <c r="H194" s="21" t="n">
        <f aca="false">SUM(H191:H193)</f>
        <v>18179</v>
      </c>
      <c r="I194" s="21" t="n">
        <f aca="false">SUM(I191:I193)</f>
        <v>21527</v>
      </c>
      <c r="J194" s="21" t="n">
        <f aca="false">SUM(J191:J193)</f>
        <v>20840</v>
      </c>
      <c r="K194" s="21" t="n">
        <f aca="false">SUM(K191:K193)</f>
        <v>23453</v>
      </c>
      <c r="L194" s="21" t="n">
        <f aca="false">SUM(L191:L193)</f>
        <v>18663</v>
      </c>
      <c r="M194" s="21"/>
      <c r="N194" s="21" t="n">
        <f aca="false">SUM(N191:N193)</f>
        <v>25960</v>
      </c>
      <c r="O194" s="21" t="n">
        <f aca="false">SUM(O191:O193)</f>
        <v>27800</v>
      </c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</row>
    <row r="195" s="2" customFormat="true" ht="25.5" hidden="false" customHeight="false" outlineLevel="0" collapsed="false">
      <c r="A195" s="163"/>
      <c r="B195" s="12"/>
      <c r="C195" s="12"/>
      <c r="D195" s="12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</row>
    <row r="196" s="2" customFormat="true" ht="25.5" hidden="false" customHeight="false" outlineLevel="0" collapsed="false">
      <c r="A196" s="163" t="s">
        <v>152</v>
      </c>
      <c r="B196" s="12"/>
      <c r="C196" s="12"/>
      <c r="D196" s="12"/>
      <c r="E196" s="166" t="n">
        <f aca="false">E183/AVERAGE(E194)</f>
        <v>0.157807003728827</v>
      </c>
      <c r="F196" s="166" t="n">
        <f aca="false">F183/AVERAGE(E194:F194)</f>
        <v>0.333874958953493</v>
      </c>
      <c r="G196" s="166" t="n">
        <f aca="false">G183/AVERAGE(F194:G194)</f>
        <v>0.207846196991449</v>
      </c>
      <c r="H196" s="166" t="n">
        <f aca="false">H183/AVERAGE(G194:H194)</f>
        <v>0.359945655074164</v>
      </c>
      <c r="I196" s="166" t="n">
        <f aca="false">I183/AVERAGE(H194:I194)</f>
        <v>0.305637277471599</v>
      </c>
      <c r="J196" s="166" t="n">
        <f aca="false">J183/AVERAGE(I194:J194)</f>
        <v>0.228298606085518</v>
      </c>
      <c r="K196" s="166" t="n">
        <f aca="false">K183/AVERAGE(J194:K194)</f>
        <v>0.237404854932947</v>
      </c>
      <c r="L196" s="166" t="n">
        <f aca="false">L183/AVERAGE(K194:L194)</f>
        <v>0.254965319664381</v>
      </c>
      <c r="M196" s="166"/>
      <c r="N196" s="166" t="n">
        <f aca="false">N183/AVERAGE(K194:N194)</f>
        <v>0.291684097500848</v>
      </c>
      <c r="O196" s="166" t="n">
        <f aca="false">O183/AVERAGE(N194:O194)</f>
        <v>0.264624255952381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</row>
    <row r="197" s="2" customFormat="true" ht="25.5" hidden="false" customHeight="false" outlineLevel="0" collapsed="false">
      <c r="A197" s="163"/>
      <c r="B197" s="12"/>
      <c r="C197" s="12"/>
      <c r="D197" s="12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</row>
    <row r="198" s="2" customFormat="true" ht="25.5" hidden="false" customHeight="false" outlineLevel="1" collapsed="false">
      <c r="A198" s="163" t="s">
        <v>153</v>
      </c>
      <c r="B198" s="12"/>
      <c r="C198" s="12"/>
      <c r="D198" s="12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</row>
    <row r="199" s="2" customFormat="true" ht="25.5" hidden="false" customHeight="false" outlineLevel="1" collapsed="false">
      <c r="A199" s="163"/>
      <c r="B199" s="12"/>
      <c r="C199" s="12"/>
      <c r="D199" s="12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</row>
    <row r="200" s="2" customFormat="true" ht="25.5" hidden="false" customHeight="false" outlineLevel="1" collapsed="false">
      <c r="A200" s="125" t="s">
        <v>142</v>
      </c>
      <c r="B200" s="12"/>
      <c r="C200" s="12"/>
      <c r="D200" s="12"/>
      <c r="E200" s="129"/>
      <c r="F200" s="129"/>
      <c r="G200" s="129"/>
      <c r="H200" s="129"/>
      <c r="I200" s="129" t="n">
        <f aca="false">I39</f>
        <v>6675</v>
      </c>
      <c r="J200" s="129" t="n">
        <f aca="false">J39</f>
        <v>5915</v>
      </c>
      <c r="K200" s="129" t="n">
        <f aca="false">K39</f>
        <v>6238</v>
      </c>
      <c r="L200" s="129" t="n">
        <f aca="false">L39</f>
        <v>6311</v>
      </c>
      <c r="M200" s="129"/>
      <c r="N200" s="129" t="n">
        <f aca="false">N39</f>
        <v>7729</v>
      </c>
      <c r="O200" s="129" t="n">
        <f aca="false">O39</f>
        <v>8570</v>
      </c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</row>
    <row r="201" s="2" customFormat="true" ht="25.5" hidden="false" customHeight="false" outlineLevel="1" collapsed="false">
      <c r="A201" s="160" t="s">
        <v>154</v>
      </c>
      <c r="B201" s="12"/>
      <c r="C201" s="12"/>
      <c r="D201" s="12"/>
      <c r="E201" s="79"/>
      <c r="F201" s="79"/>
      <c r="G201" s="79"/>
      <c r="H201" s="79"/>
      <c r="I201" s="79" t="n">
        <f aca="false">I187</f>
        <v>0.0909637648473914</v>
      </c>
      <c r="J201" s="79" t="n">
        <f aca="false">J187</f>
        <v>0.182389937106918</v>
      </c>
      <c r="K201" s="79" t="n">
        <f aca="false">K187</f>
        <v>0.157151872431467</v>
      </c>
      <c r="L201" s="79" t="n">
        <f aca="false">L187</f>
        <v>0.149253731343284</v>
      </c>
      <c r="M201" s="79"/>
      <c r="N201" s="79" t="n">
        <f aca="false">N187</f>
        <v>0.143628471925315</v>
      </c>
      <c r="O201" s="79" t="n">
        <f aca="false">O187</f>
        <v>0.17</v>
      </c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</row>
    <row r="202" s="2" customFormat="true" ht="25.5" hidden="false" customHeight="false" outlineLevel="1" collapsed="false">
      <c r="A202" s="160" t="s">
        <v>143</v>
      </c>
      <c r="B202" s="12"/>
      <c r="C202" s="12"/>
      <c r="D202" s="12"/>
      <c r="E202" s="79"/>
      <c r="F202" s="79"/>
      <c r="G202" s="79"/>
      <c r="H202" s="79"/>
      <c r="I202" s="79" t="n">
        <f aca="false">I182</f>
        <v>607.183130356337</v>
      </c>
      <c r="J202" s="79" t="n">
        <f aca="false">J182</f>
        <v>1078.83647798742</v>
      </c>
      <c r="K202" s="79" t="n">
        <f aca="false">K182</f>
        <v>980.313380227493</v>
      </c>
      <c r="L202" s="79" t="n">
        <f aca="false">L182</f>
        <v>941.940298507463</v>
      </c>
      <c r="M202" s="79"/>
      <c r="N202" s="79" t="n">
        <f aca="false">N182</f>
        <v>1110.10445951076</v>
      </c>
      <c r="O202" s="79" t="n">
        <f aca="false">O182</f>
        <v>1456.9</v>
      </c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</row>
    <row r="203" s="2" customFormat="true" ht="25.5" hidden="false" customHeight="false" outlineLevel="1" collapsed="false">
      <c r="A203" s="125" t="s">
        <v>144</v>
      </c>
      <c r="B203" s="12"/>
      <c r="C203" s="12"/>
      <c r="D203" s="12"/>
      <c r="E203" s="129"/>
      <c r="F203" s="129"/>
      <c r="G203" s="129"/>
      <c r="H203" s="129"/>
      <c r="I203" s="129" t="n">
        <f aca="false">I183</f>
        <v>6067.81686964366</v>
      </c>
      <c r="J203" s="129" t="n">
        <f aca="false">J183</f>
        <v>4836.16352201258</v>
      </c>
      <c r="K203" s="129" t="n">
        <f aca="false">K183</f>
        <v>5257.68661977251</v>
      </c>
      <c r="L203" s="129" t="n">
        <f aca="false">L183</f>
        <v>5369.05970149254</v>
      </c>
      <c r="M203" s="129"/>
      <c r="N203" s="129" t="n">
        <f aca="false">N183</f>
        <v>6618.89554048924</v>
      </c>
      <c r="O203" s="129" t="n">
        <f aca="false">O183</f>
        <v>7113.1</v>
      </c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</row>
    <row r="204" s="2" customFormat="true" ht="25.5" hidden="false" customHeight="false" outlineLevel="1" collapsed="false">
      <c r="A204" s="125" t="s">
        <v>84</v>
      </c>
      <c r="B204" s="12"/>
      <c r="C204" s="12"/>
      <c r="D204" s="12"/>
      <c r="E204" s="132"/>
      <c r="F204" s="132"/>
      <c r="G204" s="132"/>
      <c r="H204" s="132"/>
      <c r="I204" s="132" t="n">
        <f aca="false">I115</f>
        <v>840</v>
      </c>
      <c r="J204" s="132" t="n">
        <f aca="false">J115</f>
        <v>859</v>
      </c>
      <c r="K204" s="132" t="n">
        <f aca="false">K115</f>
        <v>880</v>
      </c>
      <c r="L204" s="132" t="n">
        <f aca="false">L115</f>
        <v>880</v>
      </c>
      <c r="M204" s="132"/>
      <c r="N204" s="132" t="n">
        <f aca="false">N115</f>
        <v>910</v>
      </c>
      <c r="O204" s="132" t="n">
        <f aca="false">O115</f>
        <v>930</v>
      </c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</row>
    <row r="205" s="2" customFormat="true" ht="25.5" hidden="false" customHeight="false" outlineLevel="1" collapsed="false">
      <c r="A205" s="125" t="s">
        <v>90</v>
      </c>
      <c r="B205" s="12"/>
      <c r="C205" s="12"/>
      <c r="D205" s="12"/>
      <c r="E205" s="129"/>
      <c r="F205" s="129"/>
      <c r="G205" s="129"/>
      <c r="H205" s="129"/>
      <c r="I205" s="129" t="n">
        <f aca="false">I121</f>
        <v>-758</v>
      </c>
      <c r="J205" s="129" t="n">
        <f aca="false">J121</f>
        <v>-969</v>
      </c>
      <c r="K205" s="129" t="n">
        <f aca="false">K121</f>
        <v>-1080</v>
      </c>
      <c r="L205" s="129" t="n">
        <f aca="false">L121</f>
        <v>-1080</v>
      </c>
      <c r="M205" s="129"/>
      <c r="N205" s="129" t="n">
        <f aca="false">N121</f>
        <v>-1200</v>
      </c>
      <c r="O205" s="129" t="n">
        <f aca="false">O121</f>
        <v>-1300</v>
      </c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</row>
    <row r="206" s="2" customFormat="true" ht="25.5" hidden="false" customHeight="false" outlineLevel="1" collapsed="false">
      <c r="A206" s="126" t="s">
        <v>138</v>
      </c>
      <c r="B206" s="12"/>
      <c r="C206" s="12"/>
      <c r="D206" s="12"/>
      <c r="E206" s="13"/>
      <c r="F206" s="13"/>
      <c r="G206" s="13"/>
      <c r="H206" s="13"/>
      <c r="I206" s="21" t="n">
        <f aca="false">I176</f>
        <v>0</v>
      </c>
      <c r="J206" s="21" t="n">
        <f aca="false">J176</f>
        <v>908</v>
      </c>
      <c r="K206" s="21" t="n">
        <f aca="false">K176</f>
        <v>-1829</v>
      </c>
      <c r="L206" s="21" t="n">
        <f aca="false">L176</f>
        <v>4405</v>
      </c>
      <c r="M206" s="21"/>
      <c r="N206" s="21" t="n">
        <f aca="false">N176</f>
        <v>-1740</v>
      </c>
      <c r="O206" s="21" t="n">
        <f aca="false">O176</f>
        <v>-1320</v>
      </c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</row>
    <row r="207" s="2" customFormat="true" ht="25.5" hidden="false" customHeight="false" outlineLevel="1" collapsed="false">
      <c r="A207" s="126" t="s">
        <v>155</v>
      </c>
      <c r="B207" s="12"/>
      <c r="C207" s="12"/>
      <c r="D207" s="12"/>
      <c r="E207" s="13"/>
      <c r="F207" s="13"/>
      <c r="G207" s="13"/>
      <c r="H207" s="13"/>
      <c r="I207" s="129" t="n">
        <f aca="false">SUM(I203:I206)</f>
        <v>6149.81686964366</v>
      </c>
      <c r="J207" s="129" t="n">
        <f aca="false">SUM(J203:J206)</f>
        <v>5634.16352201258</v>
      </c>
      <c r="K207" s="129" t="n">
        <f aca="false">SUM(K203:K206)</f>
        <v>3228.68661977251</v>
      </c>
      <c r="L207" s="129" t="n">
        <f aca="false">SUM(L203:L206)</f>
        <v>9574.05970149254</v>
      </c>
      <c r="M207" s="129"/>
      <c r="N207" s="129" t="n">
        <f aca="false">SUM(N203:N206)</f>
        <v>4588.89554048924</v>
      </c>
      <c r="O207" s="129" t="n">
        <f aca="false">SUM(O203:O206)</f>
        <v>5423.1</v>
      </c>
      <c r="P207" s="79" t="n">
        <f aca="false">O207*(1+E213)/(E214-E213)</f>
        <v>572137.05</v>
      </c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</row>
    <row r="208" s="2" customFormat="true" ht="25.5" hidden="false" customHeight="false" outlineLevel="1" collapsed="false">
      <c r="A208" s="160"/>
      <c r="B208" s="12"/>
      <c r="C208" s="12"/>
      <c r="D208" s="12"/>
      <c r="E208" s="13"/>
      <c r="F208" s="13"/>
      <c r="G208" s="13"/>
      <c r="H208" s="13"/>
      <c r="I208" s="129"/>
      <c r="J208" s="129"/>
      <c r="K208" s="129"/>
      <c r="L208" s="129"/>
      <c r="M208" s="129"/>
      <c r="N208" s="129"/>
      <c r="O208" s="129"/>
      <c r="P208" s="79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</row>
    <row r="209" s="2" customFormat="true" ht="25.5" hidden="false" customHeight="false" outlineLevel="1" collapsed="false">
      <c r="A209" s="160" t="s">
        <v>155</v>
      </c>
      <c r="B209" s="12"/>
      <c r="C209" s="12"/>
      <c r="D209" s="12"/>
      <c r="E209" s="13"/>
      <c r="F209" s="13"/>
      <c r="G209" s="13"/>
      <c r="H209" s="13"/>
      <c r="I209" s="129"/>
      <c r="J209" s="129"/>
      <c r="K209" s="129"/>
      <c r="L209" s="129"/>
      <c r="M209" s="129"/>
      <c r="N209" s="129" t="n">
        <f aca="false">N207</f>
        <v>4588.89554048924</v>
      </c>
      <c r="O209" s="129" t="n">
        <f aca="false">O207</f>
        <v>5423.1</v>
      </c>
      <c r="P209" s="129" t="n">
        <f aca="false">P207</f>
        <v>572137.05</v>
      </c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</row>
    <row r="210" s="2" customFormat="true" ht="25.5" hidden="false" customHeight="false" outlineLevel="1" collapsed="false">
      <c r="A210" s="160" t="s">
        <v>156</v>
      </c>
      <c r="B210" s="12"/>
      <c r="C210" s="12"/>
      <c r="D210" s="12"/>
      <c r="E210" s="13"/>
      <c r="F210" s="13"/>
      <c r="G210" s="13"/>
      <c r="H210" s="13"/>
      <c r="I210" s="13"/>
      <c r="J210" s="79"/>
      <c r="K210" s="79"/>
      <c r="L210" s="79"/>
      <c r="M210" s="79"/>
      <c r="N210" s="79" t="n">
        <f aca="false">+N207/(1+E214)^1</f>
        <v>4308.82210374577</v>
      </c>
      <c r="O210" s="79" t="n">
        <f aca="false">O209/(1+$E$214)^2</f>
        <v>4781.32645639093</v>
      </c>
      <c r="P210" s="79" t="n">
        <f aca="false">P209/(1+$E$214)^2</f>
        <v>504429.941149243</v>
      </c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</row>
    <row r="211" s="2" customFormat="true" ht="25.5" hidden="false" customHeight="false" outlineLevel="1" collapsed="false">
      <c r="A211" s="160"/>
      <c r="B211" s="12"/>
      <c r="C211" s="12"/>
      <c r="D211" s="12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</row>
    <row r="212" s="2" customFormat="true" ht="25.5" hidden="false" customHeight="false" outlineLevel="1" collapsed="false">
      <c r="A212" s="160"/>
      <c r="B212" s="12"/>
      <c r="C212" s="12"/>
      <c r="D212" s="12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</row>
    <row r="213" s="2" customFormat="true" ht="25.5" hidden="false" customHeight="false" outlineLevel="1" collapsed="false">
      <c r="A213" s="160" t="s">
        <v>157</v>
      </c>
      <c r="B213" s="12"/>
      <c r="C213" s="12"/>
      <c r="D213" s="12"/>
      <c r="E213" s="167" t="n">
        <v>0.055</v>
      </c>
      <c r="F213" s="167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</row>
    <row r="214" s="2" customFormat="true" ht="25.5" hidden="false" customHeight="false" outlineLevel="1" collapsed="false">
      <c r="A214" s="160" t="s">
        <v>158</v>
      </c>
      <c r="B214" s="12"/>
      <c r="C214" s="12"/>
      <c r="D214" s="12"/>
      <c r="E214" s="167" t="n">
        <v>0.065</v>
      </c>
      <c r="F214" s="104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</row>
    <row r="215" s="2" customFormat="true" ht="25.5" hidden="false" customHeight="false" outlineLevel="1" collapsed="false">
      <c r="A215" s="160"/>
      <c r="B215" s="12"/>
      <c r="C215" s="12"/>
      <c r="D215" s="12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</row>
    <row r="216" s="2" customFormat="true" ht="25.5" hidden="false" customHeight="false" outlineLevel="1" collapsed="false">
      <c r="A216" s="160" t="s">
        <v>156</v>
      </c>
      <c r="B216" s="12"/>
      <c r="C216" s="12"/>
      <c r="D216" s="12"/>
      <c r="E216" s="79" t="n">
        <f aca="false">SUM(N210:P210)</f>
        <v>513520.08970938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</row>
    <row r="217" s="2" customFormat="true" ht="25.5" hidden="false" customHeight="false" outlineLevel="1" collapsed="false">
      <c r="A217" s="160" t="s">
        <v>159</v>
      </c>
      <c r="B217" s="12"/>
      <c r="C217" s="12"/>
      <c r="D217" s="12"/>
      <c r="E217" s="21" t="n">
        <f aca="false">K223</f>
        <v>-4376.9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</row>
    <row r="218" s="2" customFormat="true" ht="25.5" hidden="false" customHeight="false" outlineLevel="1" collapsed="false">
      <c r="A218" s="160" t="s">
        <v>160</v>
      </c>
      <c r="B218" s="12"/>
      <c r="C218" s="12"/>
      <c r="D218" s="12"/>
      <c r="E218" s="168" t="n">
        <f aca="false">E216-E217</f>
        <v>517896.98970938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</row>
    <row r="219" s="2" customFormat="true" ht="25.5" hidden="false" customHeight="false" outlineLevel="1" collapsed="false">
      <c r="A219" s="160" t="s">
        <v>161</v>
      </c>
      <c r="B219" s="12"/>
      <c r="C219" s="12"/>
      <c r="D219" s="12"/>
      <c r="E219" s="169" t="n">
        <f aca="false">K51</f>
        <v>1535.475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</row>
    <row r="220" s="2" customFormat="true" ht="25.5" hidden="false" customHeight="false" outlineLevel="1" collapsed="false">
      <c r="A220" s="160" t="s">
        <v>162</v>
      </c>
      <c r="B220" s="12"/>
      <c r="C220" s="12"/>
      <c r="D220" s="12"/>
      <c r="E220" s="168" t="n">
        <f aca="false">E218/E219</f>
        <v>337.287803259174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</row>
    <row r="221" s="2" customFormat="true" ht="25.5" hidden="false" customHeight="false" outlineLevel="0" collapsed="false">
      <c r="A221" s="163"/>
      <c r="B221" s="12"/>
      <c r="C221" s="12"/>
      <c r="D221" s="12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</row>
    <row r="222" s="2" customFormat="true" ht="25.5" hidden="false" customHeight="false" outlineLevel="0" collapsed="false">
      <c r="A222" s="125" t="s">
        <v>163</v>
      </c>
      <c r="B222" s="12"/>
      <c r="C222" s="12"/>
      <c r="D222" s="12"/>
      <c r="E222" s="13" t="n">
        <v>74.14</v>
      </c>
      <c r="F222" s="13" t="n">
        <v>101.31</v>
      </c>
      <c r="G222" s="13" t="n">
        <v>141.47</v>
      </c>
      <c r="H222" s="13" t="n">
        <v>116.97</v>
      </c>
      <c r="I222" s="13" t="n">
        <v>166.67</v>
      </c>
      <c r="J222" s="13" t="n">
        <v>117.01</v>
      </c>
      <c r="K222" s="15" t="n">
        <v>94.74</v>
      </c>
      <c r="L222" s="15" t="n">
        <v>72.5</v>
      </c>
      <c r="M222" s="15"/>
      <c r="N222" s="13" t="n">
        <v>100</v>
      </c>
      <c r="O222" s="13" t="n">
        <v>105</v>
      </c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</row>
    <row r="223" s="2" customFormat="true" ht="25.5" hidden="false" customHeight="false" outlineLevel="0" collapsed="false">
      <c r="A223" s="163" t="s">
        <v>159</v>
      </c>
      <c r="B223" s="12"/>
      <c r="C223" s="12"/>
      <c r="D223" s="12"/>
      <c r="E223" s="21" t="n">
        <f aca="false">E149+E150+E156-E137-E136</f>
        <v>-1435</v>
      </c>
      <c r="F223" s="21" t="n">
        <f aca="false">F149+F150+F156-F137-F136</f>
        <v>-1184</v>
      </c>
      <c r="G223" s="21" t="n">
        <f aca="false">G149+G150+G156-G137-G136</f>
        <v>870</v>
      </c>
      <c r="H223" s="21" t="n">
        <f aca="false">H149+H150+H156-H137-H136</f>
        <v>-4061</v>
      </c>
      <c r="I223" s="21" t="n">
        <f aca="false">I149+I150+I156-I137-I136</f>
        <v>-3567</v>
      </c>
      <c r="J223" s="21" t="n">
        <f aca="false">J149+J150+J156-J137-J136</f>
        <v>-1742</v>
      </c>
      <c r="K223" s="21" t="n">
        <f aca="false">K149+K150+K156-K137-K136</f>
        <v>-4376.9</v>
      </c>
      <c r="L223" s="21" t="n">
        <f aca="false">L149+L150+L156-L137-L136</f>
        <v>-2673</v>
      </c>
      <c r="M223" s="21"/>
      <c r="N223" s="21" t="n">
        <f aca="false">N149+N150+N156-N137-N136</f>
        <v>-7289.121686417</v>
      </c>
      <c r="O223" s="21" t="n">
        <f aca="false">O149+O150+O156-O137-O136</f>
        <v>-10346.821686417</v>
      </c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</row>
    <row r="224" s="2" customFormat="true" ht="25.5" hidden="false" customHeight="false" outlineLevel="0" collapsed="false">
      <c r="A224" s="163" t="s">
        <v>164</v>
      </c>
      <c r="B224" s="12"/>
      <c r="C224" s="12"/>
      <c r="D224" s="12"/>
      <c r="E224" s="79" t="n">
        <f aca="false">E222*E51</f>
        <v>123005.674</v>
      </c>
      <c r="F224" s="79" t="n">
        <f aca="false">F222*F51</f>
        <v>163960.104</v>
      </c>
      <c r="G224" s="79" t="n">
        <f aca="false">G222*G51</f>
        <v>225163.652</v>
      </c>
      <c r="H224" s="79" t="n">
        <f aca="false">H222*H51</f>
        <v>188251.518</v>
      </c>
      <c r="I224" s="79" t="n">
        <f aca="false">I222*I51</f>
        <v>268472.036</v>
      </c>
      <c r="J224" s="79" t="n">
        <f aca="false">J222*J51</f>
        <v>183685.22325</v>
      </c>
      <c r="K224" s="79" t="n">
        <f aca="false">K222*K51</f>
        <v>145470.9015</v>
      </c>
      <c r="L224" s="79" t="n">
        <f aca="false">L222*L51</f>
        <v>110903.25</v>
      </c>
      <c r="M224" s="79"/>
      <c r="N224" s="79" t="n">
        <f aca="false">N222*N51</f>
        <v>154750</v>
      </c>
      <c r="O224" s="79" t="n">
        <f aca="false">O222*O51</f>
        <v>162750</v>
      </c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</row>
    <row r="225" s="2" customFormat="true" ht="25.5" hidden="false" customHeight="false" outlineLevel="0" collapsed="false">
      <c r="A225" s="163" t="s">
        <v>165</v>
      </c>
      <c r="B225" s="12"/>
      <c r="C225" s="12"/>
      <c r="D225" s="12"/>
      <c r="E225" s="21" t="n">
        <f aca="false">E224+E223</f>
        <v>121570.674</v>
      </c>
      <c r="F225" s="21" t="n">
        <f aca="false">F224+F223</f>
        <v>162776.104</v>
      </c>
      <c r="G225" s="21" t="n">
        <f aca="false">G224+G223</f>
        <v>226033.652</v>
      </c>
      <c r="H225" s="21" t="n">
        <f aca="false">H224+H223</f>
        <v>184190.518</v>
      </c>
      <c r="I225" s="21" t="n">
        <f aca="false">I224+I223</f>
        <v>264905.036</v>
      </c>
      <c r="J225" s="21" t="n">
        <f aca="false">J224+J223</f>
        <v>181943.22325</v>
      </c>
      <c r="K225" s="21" t="n">
        <f aca="false">K224+K223</f>
        <v>141094.0015</v>
      </c>
      <c r="L225" s="21" t="n">
        <f aca="false">L224+L223</f>
        <v>108230.25</v>
      </c>
      <c r="M225" s="21"/>
      <c r="N225" s="21" t="n">
        <f aca="false">N224+N223</f>
        <v>147460.878313583</v>
      </c>
      <c r="O225" s="21" t="n">
        <f aca="false">O224+O223</f>
        <v>152403.178313583</v>
      </c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</row>
    <row r="226" s="2" customFormat="true" ht="25.5" hidden="false" customHeight="false" outlineLevel="0" collapsed="false">
      <c r="A226" s="163" t="s">
        <v>148</v>
      </c>
      <c r="B226" s="12"/>
      <c r="C226" s="12"/>
      <c r="D226" s="12"/>
      <c r="E226" s="129" t="n">
        <f aca="false">E194</f>
        <v>12589</v>
      </c>
      <c r="F226" s="129" t="n">
        <f aca="false">F194</f>
        <v>11400</v>
      </c>
      <c r="G226" s="129" t="n">
        <f aca="false">G194</f>
        <v>14961</v>
      </c>
      <c r="H226" s="129" t="n">
        <f aca="false">H194</f>
        <v>18179</v>
      </c>
      <c r="I226" s="129" t="n">
        <f aca="false">I194</f>
        <v>21527</v>
      </c>
      <c r="J226" s="129" t="n">
        <f aca="false">J194</f>
        <v>20840</v>
      </c>
      <c r="K226" s="129" t="n">
        <f aca="false">K194</f>
        <v>23453</v>
      </c>
      <c r="L226" s="129" t="n">
        <f aca="false">L194</f>
        <v>18663</v>
      </c>
      <c r="M226" s="129"/>
      <c r="N226" s="129" t="n">
        <f aca="false">N194</f>
        <v>25960</v>
      </c>
      <c r="O226" s="129" t="n">
        <f aca="false">O194</f>
        <v>27800</v>
      </c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</row>
    <row r="227" s="2" customFormat="true" ht="25.5" hidden="false" customHeight="false" outlineLevel="0" collapsed="false">
      <c r="A227" s="170" t="s">
        <v>166</v>
      </c>
      <c r="B227" s="170"/>
      <c r="C227" s="170"/>
      <c r="D227" s="170"/>
      <c r="E227" s="171" t="n">
        <f aca="false">E39+E115</f>
        <v>5219</v>
      </c>
      <c r="F227" s="171" t="n">
        <f aca="false">F39+F115</f>
        <v>5492</v>
      </c>
      <c r="G227" s="171" t="n">
        <f aca="false">G39+G115</f>
        <v>4234</v>
      </c>
      <c r="H227" s="171" t="n">
        <f aca="false">H39+H115</f>
        <v>7734</v>
      </c>
      <c r="I227" s="171" t="n">
        <f aca="false">I39+I115</f>
        <v>7515</v>
      </c>
      <c r="J227" s="171" t="n">
        <f aca="false">J39+J115</f>
        <v>6774</v>
      </c>
      <c r="K227" s="171" t="n">
        <f aca="false">K39+K115</f>
        <v>7118</v>
      </c>
      <c r="L227" s="171" t="n">
        <f aca="false">L39+L115</f>
        <v>7191</v>
      </c>
      <c r="M227" s="171"/>
      <c r="N227" s="171" t="n">
        <f aca="false">N39+N115</f>
        <v>8639</v>
      </c>
      <c r="O227" s="171" t="n">
        <f aca="false">O39+O115</f>
        <v>9500</v>
      </c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</row>
    <row r="228" s="2" customFormat="true" ht="25.5" hidden="false" customHeight="false" outlineLevel="0" collapsed="false">
      <c r="A228" s="163" t="s">
        <v>167</v>
      </c>
      <c r="B228" s="12"/>
      <c r="C228" s="12"/>
      <c r="D228" s="12"/>
      <c r="E228" s="118" t="n">
        <f aca="false">E227/E32</f>
        <v>0.143390938813638</v>
      </c>
      <c r="F228" s="118" t="n">
        <f aca="false">F227/F32</f>
        <v>0.140399314875885</v>
      </c>
      <c r="G228" s="118" t="n">
        <f aca="false">G227/G32</f>
        <v>0.113199475977863</v>
      </c>
      <c r="H228" s="118" t="n">
        <f aca="false">H227/H32</f>
        <v>0.173649467870133</v>
      </c>
      <c r="I228" s="118" t="n">
        <f aca="false">I227/I32</f>
        <v>0.160886319845857</v>
      </c>
      <c r="J228" s="118" t="n">
        <f aca="false">J227/J32</f>
        <v>0.132260772790284</v>
      </c>
      <c r="K228" s="118" t="n">
        <f aca="false">K227/K32</f>
        <v>0.137336240328773</v>
      </c>
      <c r="L228" s="118" t="n">
        <f aca="false">L227/L32</f>
        <v>0.140006230286983</v>
      </c>
      <c r="M228" s="118"/>
      <c r="N228" s="118" t="n">
        <f aca="false">N227/N32</f>
        <v>0.158720535008911</v>
      </c>
      <c r="O228" s="118" t="n">
        <f aca="false">O227/O32</f>
        <v>0.164445213778778</v>
      </c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</row>
    <row r="229" s="2" customFormat="true" ht="25.5" hidden="false" customHeight="false" outlineLevel="0" collapsed="false">
      <c r="A229" s="163" t="s">
        <v>168</v>
      </c>
      <c r="B229" s="12"/>
      <c r="C229" s="12"/>
      <c r="D229" s="12"/>
      <c r="E229" s="172"/>
      <c r="F229" s="173" t="n">
        <f aca="false">(F228-E228)/ABS(E228)</f>
        <v>-0.0208634099372308</v>
      </c>
      <c r="G229" s="173" t="n">
        <f aca="false">(G228-F228)/ABS(F228)</f>
        <v>-0.193731991655853</v>
      </c>
      <c r="H229" s="173" t="n">
        <f aca="false">(H228-G228)/ABS(G228)</f>
        <v>0.534013001121067</v>
      </c>
      <c r="I229" s="173" t="n">
        <f aca="false">(I228-H228)/ABS(H228)</f>
        <v>-0.0734994940141197</v>
      </c>
      <c r="J229" s="173" t="n">
        <f aca="false">(J228-I228)/ABS(I228)</f>
        <v>-0.17792405894422</v>
      </c>
      <c r="K229" s="173" t="n">
        <f aca="false">(K228-J228)/ABS(J228)</f>
        <v>0.0383747004604062</v>
      </c>
      <c r="L229" s="173" t="n">
        <f aca="false">(L228-K228)/ABS(K228)</f>
        <v>0.0194412629311632</v>
      </c>
      <c r="M229" s="173"/>
      <c r="N229" s="173" t="n">
        <f aca="false">(N228-K228)/ABS(K228)</f>
        <v>0.15570758766182</v>
      </c>
      <c r="O229" s="173" t="n">
        <f aca="false">(O228-N228)/ABS(N228)</f>
        <v>0.0360676630125133</v>
      </c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</row>
    <row r="230" s="2" customFormat="true" ht="25.5" hidden="false" customHeight="false" outlineLevel="0" collapsed="false">
      <c r="A230" s="163" t="s">
        <v>169</v>
      </c>
      <c r="B230" s="12"/>
      <c r="C230" s="12"/>
      <c r="D230" s="12"/>
      <c r="E230" s="167" t="n">
        <f aca="false">E196</f>
        <v>0.157807003728827</v>
      </c>
      <c r="F230" s="167" t="n">
        <f aca="false">F196</f>
        <v>0.333874958953493</v>
      </c>
      <c r="G230" s="167" t="n">
        <f aca="false">G196</f>
        <v>0.207846196991449</v>
      </c>
      <c r="H230" s="167" t="n">
        <f aca="false">H196</f>
        <v>0.359945655074164</v>
      </c>
      <c r="I230" s="167" t="n">
        <f aca="false">I196</f>
        <v>0.305637277471599</v>
      </c>
      <c r="J230" s="167" t="n">
        <f aca="false">J196</f>
        <v>0.228298606085518</v>
      </c>
      <c r="K230" s="167" t="n">
        <f aca="false">K196</f>
        <v>0.237404854932947</v>
      </c>
      <c r="L230" s="167" t="n">
        <f aca="false">L196</f>
        <v>0.254965319664381</v>
      </c>
      <c r="M230" s="167"/>
      <c r="N230" s="167" t="n">
        <f aca="false">N196</f>
        <v>0.291684097500848</v>
      </c>
      <c r="O230" s="167" t="n">
        <f aca="false">O196</f>
        <v>0.264624255952381</v>
      </c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</row>
    <row r="231" s="2" customFormat="true" ht="25.5" hidden="false" customHeight="false" outlineLevel="0" collapsed="false">
      <c r="A231" s="163" t="s">
        <v>170</v>
      </c>
      <c r="B231" s="12"/>
      <c r="C231" s="12"/>
      <c r="D231" s="12"/>
      <c r="E231" s="136" t="n">
        <f aca="false">E225/F227</f>
        <v>22.1359566642389</v>
      </c>
      <c r="F231" s="136" t="n">
        <f aca="false">F225/G227</f>
        <v>38.4449938592348</v>
      </c>
      <c r="G231" s="136" t="n">
        <f aca="false">G225/H227</f>
        <v>29.225970002586</v>
      </c>
      <c r="H231" s="136" t="n">
        <f aca="false">H225/I227</f>
        <v>24.5097163007319</v>
      </c>
      <c r="I231" s="136" t="n">
        <f aca="false">I225/J227</f>
        <v>39.1061464422793</v>
      </c>
      <c r="J231" s="136" t="n">
        <f aca="false">J225/K227</f>
        <v>25.5610035473448</v>
      </c>
      <c r="K231" s="136" t="n">
        <f aca="false">K225/L227</f>
        <v>19.6209152412738</v>
      </c>
      <c r="L231" s="136" t="n">
        <f aca="false">L225/N227</f>
        <v>12.5280993170506</v>
      </c>
      <c r="M231" s="136"/>
      <c r="N231" s="136" t="n">
        <f aca="false">N225/O227</f>
        <v>15.5221977172193</v>
      </c>
      <c r="O231" s="136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</row>
    <row r="232" s="2" customFormat="true" ht="25.5" hidden="false" customHeight="false" outlineLevel="0" collapsed="false">
      <c r="A232" s="163" t="s">
        <v>171</v>
      </c>
      <c r="B232" s="12"/>
      <c r="C232" s="12"/>
      <c r="D232" s="12"/>
      <c r="E232" s="136" t="n">
        <f aca="false">E225/F227</f>
        <v>22.1359566642389</v>
      </c>
      <c r="F232" s="136" t="n">
        <f aca="false">F225/G227</f>
        <v>38.4449938592348</v>
      </c>
      <c r="G232" s="136" t="n">
        <f aca="false">G225/H227</f>
        <v>29.225970002586</v>
      </c>
      <c r="H232" s="136" t="n">
        <f aca="false">H225/I227</f>
        <v>24.5097163007319</v>
      </c>
      <c r="I232" s="136" t="n">
        <f aca="false">I225/J227</f>
        <v>39.1061464422793</v>
      </c>
      <c r="J232" s="136" t="n">
        <f aca="false">J225/K227</f>
        <v>25.5610035473448</v>
      </c>
      <c r="K232" s="136" t="n">
        <f aca="false">K225/N227</f>
        <v>16.3322145502952</v>
      </c>
      <c r="L232" s="136" t="n">
        <f aca="false">L225/O227</f>
        <v>11.3926578947368</v>
      </c>
      <c r="M232" s="136"/>
      <c r="N232" s="136" t="n">
        <f aca="false">N225/O227</f>
        <v>15.5221977172193</v>
      </c>
      <c r="O232" s="136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</row>
    <row r="233" s="2" customFormat="true" ht="25.5" hidden="false" customHeight="false" outlineLevel="0" collapsed="false">
      <c r="A233" s="163" t="s">
        <v>172</v>
      </c>
      <c r="B233" s="12"/>
      <c r="C233" s="12"/>
      <c r="D233" s="12"/>
      <c r="E233" s="136" t="n">
        <f aca="false">E225/F226</f>
        <v>10.6640942105263</v>
      </c>
      <c r="F233" s="136" t="n">
        <f aca="false">F225/G226</f>
        <v>10.8800283403516</v>
      </c>
      <c r="G233" s="136" t="n">
        <f aca="false">G225/H226</f>
        <v>12.4337780956048</v>
      </c>
      <c r="H233" s="136" t="n">
        <f aca="false">H225/I226</f>
        <v>8.55625577182143</v>
      </c>
      <c r="I233" s="136" t="n">
        <f aca="false">I225/J226</f>
        <v>12.7113740882917</v>
      </c>
      <c r="J233" s="136" t="n">
        <f aca="false">J225/K226</f>
        <v>7.75778037990875</v>
      </c>
      <c r="K233" s="136" t="n">
        <f aca="false">K225/N226</f>
        <v>5.43505398690293</v>
      </c>
      <c r="L233" s="136" t="n">
        <f aca="false">L225/O226</f>
        <v>3.89317446043165</v>
      </c>
      <c r="M233" s="136"/>
      <c r="N233" s="136" t="n">
        <f aca="false">N225/O226</f>
        <v>5.30434814077637</v>
      </c>
      <c r="O233" s="136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</row>
    <row r="234" s="2" customFormat="true" ht="25.5" hidden="false" customHeight="false" outlineLevel="0" collapsed="false">
      <c r="A234" s="163" t="s">
        <v>173</v>
      </c>
      <c r="B234" s="12"/>
      <c r="C234" s="12"/>
      <c r="D234" s="12"/>
      <c r="E234" s="136" t="n">
        <f aca="false">E123/E222</f>
        <v>0.0319253565489995</v>
      </c>
      <c r="F234" s="136" t="n">
        <f aca="false">F123/F222</f>
        <v>0.0291778297481441</v>
      </c>
      <c r="G234" s="136" t="n">
        <f aca="false">G123/G222</f>
        <v>0.00621325861245136</v>
      </c>
      <c r="H234" s="136" t="n">
        <f aca="false">H123/H222</f>
        <v>0.0316703953484189</v>
      </c>
      <c r="I234" s="136" t="n">
        <f aca="false">I123/I222</f>
        <v>0.0165007874414153</v>
      </c>
      <c r="J234" s="136" t="n">
        <f aca="false">J123/J222</f>
        <v>0.0265240584043651</v>
      </c>
      <c r="K234" s="136" t="n">
        <f aca="false">K123/K222</f>
        <v>0.0441050404846773</v>
      </c>
      <c r="L234" s="136" t="n">
        <f aca="false">L123/L222</f>
        <v>0.0576346418692183</v>
      </c>
      <c r="M234" s="136"/>
      <c r="N234" s="136" t="n">
        <f aca="false">N123/N222</f>
        <v>0.0517851153551833</v>
      </c>
      <c r="O234" s="136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</row>
    <row r="235" s="2" customFormat="true" ht="25.5" hidden="false" customHeight="false" outlineLevel="0" collapsed="false">
      <c r="A235" s="1"/>
      <c r="B235" s="12"/>
      <c r="C235" s="12"/>
      <c r="D235" s="12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</row>
    <row r="236" s="2" customFormat="true" ht="25.5" hidden="false" customHeight="true" outlineLevel="0" collapsed="false">
      <c r="A236" s="174" t="s">
        <v>174</v>
      </c>
      <c r="B236" s="174"/>
      <c r="C236" s="175"/>
      <c r="D236" s="12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</row>
    <row r="237" s="2" customFormat="true" ht="25.5" hidden="false" customHeight="false" outlineLevel="0" collapsed="false">
      <c r="A237" s="160"/>
      <c r="B237" s="176"/>
      <c r="C237" s="175"/>
      <c r="D237" s="12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</row>
    <row r="238" s="2" customFormat="true" ht="25.5" hidden="false" customHeight="false" outlineLevel="0" collapsed="false">
      <c r="A238" s="177" t="s">
        <v>175</v>
      </c>
      <c r="B238" s="176"/>
      <c r="C238" s="175"/>
      <c r="D238" s="12"/>
      <c r="E238" s="136" t="n">
        <f aca="false">AVERAGE(E232:N232)</f>
        <v>24.6923174420741</v>
      </c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</row>
    <row r="239" s="2" customFormat="true" ht="25.5" hidden="false" customHeight="false" outlineLevel="0" collapsed="false">
      <c r="A239" s="177"/>
      <c r="B239" s="176"/>
      <c r="C239" s="175"/>
      <c r="D239" s="12"/>
      <c r="E239" s="136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</row>
    <row r="240" s="2" customFormat="true" ht="25.5" hidden="false" customHeight="true" outlineLevel="0" collapsed="false">
      <c r="A240" s="178" t="s">
        <v>176</v>
      </c>
      <c r="B240" s="178"/>
      <c r="C240" s="179" t="n">
        <f aca="false">J226</f>
        <v>20840</v>
      </c>
      <c r="D240" s="12"/>
      <c r="E240" s="129" t="n">
        <f aca="false">O227</f>
        <v>9500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</row>
    <row r="241" s="2" customFormat="true" ht="25.5" hidden="false" customHeight="true" outlineLevel="0" collapsed="false">
      <c r="A241" s="178" t="s">
        <v>177</v>
      </c>
      <c r="B241" s="178"/>
      <c r="C241" s="175" t="n">
        <v>19.1</v>
      </c>
      <c r="D241" s="12"/>
      <c r="E241" s="13" t="n">
        <v>13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</row>
    <row r="242" s="2" customFormat="true" ht="25.5" hidden="false" customHeight="true" outlineLevel="0" collapsed="false">
      <c r="A242" s="178" t="s">
        <v>178</v>
      </c>
      <c r="B242" s="178"/>
      <c r="C242" s="180" t="n">
        <f aca="false">C240*C241</f>
        <v>398044</v>
      </c>
      <c r="D242" s="12"/>
      <c r="E242" s="13" t="n">
        <f aca="false">E241*E240</f>
        <v>123500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</row>
    <row r="243" s="2" customFormat="true" ht="25.5" hidden="false" customHeight="true" outlineLevel="0" collapsed="false">
      <c r="A243" s="178" t="s">
        <v>159</v>
      </c>
      <c r="B243" s="178"/>
      <c r="C243" s="179" t="n">
        <f aca="false">J221</f>
        <v>0</v>
      </c>
      <c r="D243" s="12"/>
      <c r="E243" s="21" t="n">
        <f aca="false">O223</f>
        <v>-10346.821686417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</row>
    <row r="244" s="2" customFormat="true" ht="25.5" hidden="false" customHeight="true" outlineLevel="0" collapsed="false">
      <c r="A244" s="178" t="s">
        <v>179</v>
      </c>
      <c r="B244" s="178"/>
      <c r="C244" s="175" t="n">
        <v>0.12</v>
      </c>
      <c r="D244" s="12"/>
      <c r="E244" s="13" t="n">
        <v>0.065</v>
      </c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</row>
    <row r="245" s="2" customFormat="true" ht="25.5" hidden="false" customHeight="true" outlineLevel="0" collapsed="false">
      <c r="A245" s="178" t="s">
        <v>180</v>
      </c>
      <c r="B245" s="178"/>
      <c r="C245" s="175" t="n">
        <f aca="false">2026-2024</f>
        <v>2</v>
      </c>
      <c r="D245" s="12"/>
      <c r="E245" s="13" t="n">
        <v>2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</row>
    <row r="246" s="2" customFormat="true" ht="25.5" hidden="false" customHeight="true" outlineLevel="0" collapsed="false">
      <c r="A246" s="178" t="s">
        <v>181</v>
      </c>
      <c r="B246" s="178"/>
      <c r="C246" s="179" t="n">
        <f aca="false">(C242-C243)/((1+C244)^2)</f>
        <v>317318.239795918</v>
      </c>
      <c r="D246" s="12"/>
      <c r="E246" s="79" t="n">
        <f aca="false">(E242-E243)/((1+E244)^E245)</f>
        <v>118007.292809114</v>
      </c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</row>
    <row r="247" s="2" customFormat="true" ht="25.5" hidden="false" customHeight="true" outlineLevel="0" collapsed="false">
      <c r="A247" s="178" t="s">
        <v>161</v>
      </c>
      <c r="B247" s="178"/>
      <c r="C247" s="181" t="n">
        <f aca="false">J127</f>
        <v>-504</v>
      </c>
      <c r="D247" s="12"/>
      <c r="E247" s="169" t="n">
        <f aca="false">K51</f>
        <v>1535.475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</row>
    <row r="248" s="2" customFormat="true" ht="25.5" hidden="false" customHeight="true" outlineLevel="0" collapsed="false">
      <c r="A248" s="178" t="s">
        <v>182</v>
      </c>
      <c r="B248" s="178"/>
      <c r="C248" s="182" t="n">
        <f aca="false">C246/C247</f>
        <v>-629.599682134759</v>
      </c>
      <c r="D248" s="12"/>
      <c r="E248" s="13" t="n">
        <f aca="false">E246/E247</f>
        <v>76.8539330234056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</row>
    <row r="249" s="2" customFormat="true" ht="25.5" hidden="false" customHeight="true" outlineLevel="0" collapsed="false">
      <c r="A249" s="178" t="s">
        <v>183</v>
      </c>
      <c r="B249" s="178"/>
      <c r="C249" s="183" t="n">
        <f aca="false">H220</f>
        <v>0</v>
      </c>
      <c r="D249" s="12"/>
      <c r="E249" s="13" t="n">
        <v>93.75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</row>
    <row r="250" s="2" customFormat="true" ht="25.5" hidden="false" customHeight="true" outlineLevel="0" collapsed="false">
      <c r="A250" s="178" t="s">
        <v>184</v>
      </c>
      <c r="B250" s="178"/>
      <c r="C250" s="184" t="e">
        <f aca="false">+C248/C249-1</f>
        <v>#DIV/0!</v>
      </c>
      <c r="D250" s="12"/>
      <c r="E250" s="166" t="n">
        <f aca="false">E248/E249-1</f>
        <v>-0.180224714417007</v>
      </c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</row>
    <row r="251" s="2" customFormat="true" ht="25.5" hidden="false" customHeight="false" outlineLevel="0" collapsed="false">
      <c r="A251" s="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="2" customFormat="true" ht="25.5" hidden="false" customHeight="false" outlineLevel="0" collapsed="false">
      <c r="A252" s="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="2" customFormat="true" ht="25.5" hidden="false" customHeight="false" outlineLevel="0" collapsed="false">
      <c r="A253" s="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="2" customFormat="true" ht="25.5" hidden="false" customHeight="false" outlineLevel="0" collapsed="false">
      <c r="A254" s="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="2" customFormat="true" ht="25.5" hidden="false" customHeight="false" outlineLevel="0" collapsed="false">
      <c r="A255" s="1"/>
      <c r="E255" s="3" t="s">
        <v>126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="2" customFormat="true" ht="25.5" hidden="false" customHeight="false" outlineLevel="0" collapsed="false">
      <c r="A256" s="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="2" customFormat="true" ht="25.5" hidden="false" customHeight="false" outlineLevel="0" collapsed="false">
      <c r="A257" s="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="2" customFormat="true" ht="25.5" hidden="false" customHeight="false" outlineLevel="0" collapsed="false">
      <c r="A258" s="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="2" customFormat="true" ht="25.5" hidden="false" customHeight="false" outlineLevel="0" collapsed="false">
      <c r="A259" s="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="2" customFormat="true" ht="25.5" hidden="false" customHeight="false" outlineLevel="0" collapsed="false">
      <c r="A260" s="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="2" customFormat="true" ht="25.5" hidden="false" customHeight="false" outlineLevel="0" collapsed="false">
      <c r="A261" s="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="2" customFormat="true" ht="25.5" hidden="false" customHeight="false" outlineLevel="0" collapsed="false">
      <c r="A262" s="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="2" customFormat="true" ht="25.5" hidden="false" customHeight="false" outlineLevel="0" collapsed="false">
      <c r="A263" s="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="2" customFormat="true" ht="25.5" hidden="false" customHeight="false" outlineLevel="0" collapsed="false">
      <c r="A264" s="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="2" customFormat="true" ht="25.5" hidden="false" customHeight="false" outlineLevel="0" collapsed="false">
      <c r="A265" s="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="2" customFormat="true" ht="25.5" hidden="false" customHeight="false" outlineLevel="0" collapsed="false">
      <c r="A266" s="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="2" customFormat="true" ht="25.5" hidden="false" customHeight="false" outlineLevel="0" collapsed="false">
      <c r="A267" s="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="2" customFormat="true" ht="25.5" hidden="false" customHeight="false" outlineLevel="0" collapsed="false">
      <c r="A268" s="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="2" customFormat="true" ht="25.5" hidden="false" customHeight="false" outlineLevel="0" collapsed="false">
      <c r="A269" s="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="2" customFormat="true" ht="25.5" hidden="false" customHeight="false" outlineLevel="0" collapsed="false">
      <c r="A270" s="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="2" customFormat="true" ht="25.5" hidden="false" customHeight="false" outlineLevel="0" collapsed="false">
      <c r="A271" s="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="2" customFormat="true" ht="25.5" hidden="false" customHeight="false" outlineLevel="0" collapsed="false">
      <c r="A272" s="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="2" customFormat="true" ht="25.5" hidden="false" customHeight="false" outlineLevel="0" collapsed="false">
      <c r="A273" s="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="2" customFormat="true" ht="25.5" hidden="false" customHeight="false" outlineLevel="0" collapsed="false">
      <c r="A274" s="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="2" customFormat="true" ht="25.5" hidden="false" customHeight="false" outlineLevel="0" collapsed="false">
      <c r="A275" s="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="2" customFormat="true" ht="25.5" hidden="false" customHeight="false" outlineLevel="0" collapsed="false">
      <c r="A276" s="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="2" customFormat="true" ht="25.5" hidden="false" customHeight="false" outlineLevel="0" collapsed="false">
      <c r="A277" s="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="2" customFormat="true" ht="25.5" hidden="false" customHeight="false" outlineLevel="0" collapsed="false">
      <c r="A278" s="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="2" customFormat="true" ht="25.5" hidden="false" customHeight="false" outlineLevel="0" collapsed="false">
      <c r="A279" s="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="2" customFormat="true" ht="25.5" hidden="false" customHeight="false" outlineLevel="0" collapsed="false">
      <c r="A280" s="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="2" customFormat="true" ht="25.5" hidden="false" customHeight="false" outlineLevel="0" collapsed="false">
      <c r="A281" s="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="2" customFormat="true" ht="25.5" hidden="false" customHeight="false" outlineLevel="0" collapsed="false">
      <c r="A282" s="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="2" customFormat="true" ht="25.5" hidden="false" customHeight="false" outlineLevel="0" collapsed="false">
      <c r="A283" s="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="2" customFormat="true" ht="25.5" hidden="false" customHeight="false" outlineLevel="0" collapsed="false">
      <c r="A284" s="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="2" customFormat="true" ht="25.5" hidden="false" customHeight="false" outlineLevel="0" collapsed="false">
      <c r="A285" s="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="2" customFormat="true" ht="25.5" hidden="false" customHeight="false" outlineLevel="0" collapsed="false">
      <c r="A286" s="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="2" customFormat="true" ht="25.5" hidden="false" customHeight="false" outlineLevel="0" collapsed="false">
      <c r="A287" s="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="2" customFormat="true" ht="25.5" hidden="false" customHeight="false" outlineLevel="0" collapsed="false">
      <c r="A288" s="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="2" customFormat="true" ht="25.5" hidden="false" customHeight="false" outlineLevel="0" collapsed="false">
      <c r="A289" s="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="2" customFormat="true" ht="25.5" hidden="false" customHeight="false" outlineLevel="0" collapsed="false">
      <c r="A290" s="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="2" customFormat="true" ht="25.5" hidden="false" customHeight="false" outlineLevel="0" collapsed="false">
      <c r="A291" s="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="2" customFormat="true" ht="25.5" hidden="false" customHeight="false" outlineLevel="0" collapsed="false">
      <c r="A292" s="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="2" customFormat="true" ht="25.5" hidden="false" customHeight="false" outlineLevel="0" collapsed="false">
      <c r="A293" s="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="2" customFormat="true" ht="25.5" hidden="false" customHeight="false" outlineLevel="0" collapsed="false">
      <c r="A294" s="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="2" customFormat="true" ht="25.5" hidden="false" customHeight="false" outlineLevel="0" collapsed="false">
      <c r="A295" s="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="2" customFormat="true" ht="25.5" hidden="false" customHeight="false" outlineLevel="0" collapsed="false">
      <c r="A296" s="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="2" customFormat="true" ht="25.5" hidden="false" customHeight="false" outlineLevel="0" collapsed="false">
      <c r="A297" s="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="2" customFormat="true" ht="25.5" hidden="false" customHeight="false" outlineLevel="0" collapsed="false">
      <c r="A298" s="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="2" customFormat="true" ht="25.5" hidden="false" customHeight="false" outlineLevel="0" collapsed="false">
      <c r="A299" s="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="2" customFormat="true" ht="25.5" hidden="false" customHeight="false" outlineLevel="0" collapsed="false">
      <c r="A300" s="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="2" customFormat="true" ht="25.5" hidden="false" customHeight="false" outlineLevel="0" collapsed="false">
      <c r="A301" s="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="2" customFormat="true" ht="25.5" hidden="false" customHeight="false" outlineLevel="0" collapsed="false">
      <c r="A302" s="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="2" customFormat="true" ht="25.5" hidden="false" customHeight="false" outlineLevel="0" collapsed="false">
      <c r="A303" s="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="2" customFormat="true" ht="25.5" hidden="false" customHeight="false" outlineLevel="0" collapsed="false">
      <c r="A304" s="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="2" customFormat="true" ht="25.5" hidden="false" customHeight="false" outlineLevel="0" collapsed="false">
      <c r="A305" s="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="2" customFormat="true" ht="25.5" hidden="false" customHeight="false" outlineLevel="0" collapsed="false">
      <c r="A306" s="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="2" customFormat="true" ht="25.5" hidden="false" customHeight="false" outlineLevel="0" collapsed="false">
      <c r="A307" s="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="2" customFormat="true" ht="25.5" hidden="false" customHeight="false" outlineLevel="0" collapsed="false">
      <c r="A308" s="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="2" customFormat="true" ht="25.5" hidden="false" customHeight="false" outlineLevel="0" collapsed="false">
      <c r="A309" s="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="2" customFormat="true" ht="25.5" hidden="false" customHeight="false" outlineLevel="0" collapsed="false">
      <c r="A310" s="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="2" customFormat="true" ht="25.5" hidden="false" customHeight="false" outlineLevel="0" collapsed="false">
      <c r="A311" s="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="2" customFormat="true" ht="25.5" hidden="false" customHeight="false" outlineLevel="0" collapsed="false">
      <c r="A312" s="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="2" customFormat="true" ht="25.5" hidden="false" customHeight="false" outlineLevel="0" collapsed="false">
      <c r="A313" s="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="2" customFormat="true" ht="25.5" hidden="false" customHeight="false" outlineLevel="0" collapsed="false">
      <c r="A314" s="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="2" customFormat="true" ht="25.5" hidden="false" customHeight="false" outlineLevel="0" collapsed="false">
      <c r="A315" s="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="2" customFormat="true" ht="25.5" hidden="false" customHeight="false" outlineLevel="0" collapsed="false">
      <c r="A316" s="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="2" customFormat="true" ht="25.5" hidden="false" customHeight="false" outlineLevel="0" collapsed="false">
      <c r="A317" s="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="2" customFormat="true" ht="25.5" hidden="false" customHeight="false" outlineLevel="0" collapsed="false">
      <c r="A318" s="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="2" customFormat="true" ht="25.5" hidden="false" customHeight="false" outlineLevel="0" collapsed="false">
      <c r="A319" s="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="2" customFormat="true" ht="25.5" hidden="false" customHeight="false" outlineLevel="0" collapsed="false">
      <c r="A320" s="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="2" customFormat="true" ht="25.5" hidden="false" customHeight="false" outlineLevel="0" collapsed="false">
      <c r="A321" s="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="2" customFormat="true" ht="25.5" hidden="false" customHeight="false" outlineLevel="0" collapsed="false">
      <c r="A322" s="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="2" customFormat="true" ht="25.5" hidden="false" customHeight="false" outlineLevel="0" collapsed="false">
      <c r="A323" s="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="2" customFormat="true" ht="25.5" hidden="false" customHeight="false" outlineLevel="0" collapsed="false">
      <c r="A324" s="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="2" customFormat="true" ht="25.5" hidden="false" customHeight="false" outlineLevel="0" collapsed="false">
      <c r="A325" s="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="2" customFormat="true" ht="25.5" hidden="false" customHeight="false" outlineLevel="0" collapsed="false">
      <c r="A326" s="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="2" customFormat="true" ht="25.5" hidden="false" customHeight="false" outlineLevel="0" collapsed="false">
      <c r="A327" s="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="2" customFormat="true" ht="25.5" hidden="false" customHeight="false" outlineLevel="0" collapsed="false">
      <c r="A328" s="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="2" customFormat="true" ht="25.5" hidden="false" customHeight="false" outlineLevel="0" collapsed="false">
      <c r="A329" s="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="2" customFormat="true" ht="25.5" hidden="false" customHeight="false" outlineLevel="0" collapsed="false">
      <c r="A330" s="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="2" customFormat="true" ht="25.5" hidden="false" customHeight="false" outlineLevel="0" collapsed="false">
      <c r="A331" s="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="2" customFormat="true" ht="25.5" hidden="false" customHeight="false" outlineLevel="0" collapsed="false">
      <c r="A332" s="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="2" customFormat="true" ht="25.5" hidden="false" customHeight="false" outlineLevel="0" collapsed="false">
      <c r="A333" s="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="2" customFormat="true" ht="25.5" hidden="false" customHeight="false" outlineLevel="0" collapsed="false">
      <c r="A334" s="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="2" customFormat="true" ht="25.5" hidden="false" customHeight="false" outlineLevel="0" collapsed="false">
      <c r="A335" s="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="2" customFormat="true" ht="25.5" hidden="false" customHeight="false" outlineLevel="0" collapsed="false">
      <c r="A336" s="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="2" customFormat="true" ht="25.5" hidden="false" customHeight="false" outlineLevel="0" collapsed="false">
      <c r="A337" s="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="2" customFormat="true" ht="25.5" hidden="false" customHeight="false" outlineLevel="0" collapsed="false">
      <c r="A338" s="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="2" customFormat="true" ht="25.5" hidden="false" customHeight="false" outlineLevel="0" collapsed="false">
      <c r="A339" s="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="2" customFormat="true" ht="25.5" hidden="false" customHeight="false" outlineLevel="0" collapsed="false">
      <c r="A340" s="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="2" customFormat="true" ht="25.5" hidden="false" customHeight="false" outlineLevel="0" collapsed="false">
      <c r="A341" s="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="2" customFormat="true" ht="25.5" hidden="false" customHeight="false" outlineLevel="0" collapsed="false">
      <c r="A342" s="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="2" customFormat="true" ht="25.5" hidden="false" customHeight="false" outlineLevel="0" collapsed="false">
      <c r="A343" s="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="2" customFormat="true" ht="25.5" hidden="false" customHeight="false" outlineLevel="0" collapsed="false">
      <c r="A344" s="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="2" customFormat="true" ht="25.5" hidden="false" customHeight="false" outlineLevel="0" collapsed="false">
      <c r="A345" s="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="2" customFormat="true" ht="25.5" hidden="false" customHeight="false" outlineLevel="0" collapsed="false">
      <c r="A346" s="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="2" customFormat="true" ht="25.5" hidden="false" customHeight="false" outlineLevel="0" collapsed="false">
      <c r="A347" s="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="2" customFormat="true" ht="25.5" hidden="false" customHeight="false" outlineLevel="0" collapsed="false">
      <c r="A348" s="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="2" customFormat="true" ht="25.5" hidden="false" customHeight="false" outlineLevel="0" collapsed="false">
      <c r="A349" s="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="2" customFormat="true" ht="25.5" hidden="false" customHeight="false" outlineLevel="0" collapsed="false">
      <c r="A350" s="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="2" customFormat="true" ht="25.5" hidden="false" customHeight="false" outlineLevel="0" collapsed="false">
      <c r="A351" s="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="2" customFormat="true" ht="25.5" hidden="false" customHeight="false" outlineLevel="0" collapsed="false">
      <c r="A352" s="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="2" customFormat="true" ht="25.5" hidden="false" customHeight="false" outlineLevel="0" collapsed="false">
      <c r="A353" s="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="2" customFormat="true" ht="25.5" hidden="false" customHeight="false" outlineLevel="0" collapsed="false">
      <c r="A354" s="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="2" customFormat="true" ht="25.5" hidden="false" customHeight="false" outlineLevel="0" collapsed="false">
      <c r="A355" s="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="2" customFormat="true" ht="25.5" hidden="false" customHeight="false" outlineLevel="0" collapsed="false">
      <c r="A356" s="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="2" customFormat="true" ht="25.5" hidden="false" customHeight="false" outlineLevel="0" collapsed="false">
      <c r="A357" s="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="2" customFormat="true" ht="25.5" hidden="false" customHeight="false" outlineLevel="0" collapsed="false">
      <c r="A358" s="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="2" customFormat="true" ht="25.5" hidden="false" customHeight="false" outlineLevel="0" collapsed="false">
      <c r="A359" s="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="2" customFormat="true" ht="25.5" hidden="false" customHeight="false" outlineLevel="0" collapsed="false">
      <c r="A360" s="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="2" customFormat="true" ht="25.5" hidden="false" customHeight="false" outlineLevel="0" collapsed="false">
      <c r="A361" s="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="2" customFormat="true" ht="25.5" hidden="false" customHeight="false" outlineLevel="0" collapsed="false">
      <c r="A362" s="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="2" customFormat="true" ht="25.5" hidden="false" customHeight="false" outlineLevel="0" collapsed="false">
      <c r="A363" s="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="2" customFormat="true" ht="25.5" hidden="false" customHeight="false" outlineLevel="0" collapsed="false">
      <c r="A364" s="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="2" customFormat="true" ht="25.5" hidden="false" customHeight="false" outlineLevel="0" collapsed="false">
      <c r="A365" s="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="2" customFormat="true" ht="25.5" hidden="false" customHeight="false" outlineLevel="0" collapsed="false">
      <c r="A366" s="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="2" customFormat="true" ht="25.5" hidden="false" customHeight="false" outlineLevel="0" collapsed="false">
      <c r="A367" s="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="2" customFormat="true" ht="25.5" hidden="false" customHeight="false" outlineLevel="0" collapsed="false">
      <c r="A368" s="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="2" customFormat="true" ht="25.5" hidden="false" customHeight="false" outlineLevel="0" collapsed="false">
      <c r="A369" s="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="2" customFormat="true" ht="25.5" hidden="false" customHeight="false" outlineLevel="0" collapsed="false">
      <c r="A370" s="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="2" customFormat="true" ht="25.5" hidden="false" customHeight="false" outlineLevel="0" collapsed="false">
      <c r="A371" s="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="2" customFormat="true" ht="25.5" hidden="false" customHeight="false" outlineLevel="0" collapsed="false">
      <c r="A372" s="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="2" customFormat="true" ht="25.5" hidden="false" customHeight="false" outlineLevel="0" collapsed="false">
      <c r="A373" s="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="2" customFormat="true" ht="25.5" hidden="false" customHeight="false" outlineLevel="0" collapsed="false">
      <c r="A374" s="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="2" customFormat="true" ht="25.5" hidden="false" customHeight="false" outlineLevel="0" collapsed="false">
      <c r="A375" s="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="2" customFormat="true" ht="25.5" hidden="false" customHeight="false" outlineLevel="0" collapsed="false">
      <c r="A376" s="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="2" customFormat="true" ht="25.5" hidden="false" customHeight="false" outlineLevel="0" collapsed="false">
      <c r="A377" s="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="2" customFormat="true" ht="25.5" hidden="false" customHeight="false" outlineLevel="0" collapsed="false">
      <c r="A378" s="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="2" customFormat="true" ht="25.5" hidden="false" customHeight="false" outlineLevel="0" collapsed="false">
      <c r="A379" s="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="2" customFormat="true" ht="25.5" hidden="false" customHeight="false" outlineLevel="0" collapsed="false">
      <c r="A380" s="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="2" customFormat="true" ht="25.5" hidden="false" customHeight="false" outlineLevel="0" collapsed="false">
      <c r="A381" s="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="2" customFormat="true" ht="25.5" hidden="false" customHeight="false" outlineLevel="0" collapsed="false">
      <c r="A382" s="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="2" customFormat="true" ht="25.5" hidden="false" customHeight="false" outlineLevel="0" collapsed="false">
      <c r="A383" s="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="2" customFormat="true" ht="25.5" hidden="false" customHeight="false" outlineLevel="0" collapsed="false">
      <c r="A384" s="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="2" customFormat="true" ht="25.5" hidden="false" customHeight="false" outlineLevel="0" collapsed="false">
      <c r="A385" s="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="2" customFormat="true" ht="25.5" hidden="false" customHeight="false" outlineLevel="0" collapsed="false">
      <c r="A386" s="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="2" customFormat="true" ht="25.5" hidden="false" customHeight="false" outlineLevel="0" collapsed="false">
      <c r="A387" s="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="2" customFormat="true" ht="25.5" hidden="false" customHeight="false" outlineLevel="0" collapsed="false">
      <c r="A388" s="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="2" customFormat="true" ht="25.5" hidden="false" customHeight="false" outlineLevel="0" collapsed="false">
      <c r="A389" s="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="2" customFormat="true" ht="25.5" hidden="false" customHeight="false" outlineLevel="0" collapsed="false">
      <c r="A390" s="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="2" customFormat="true" ht="25.5" hidden="false" customHeight="false" outlineLevel="0" collapsed="false">
      <c r="A391" s="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="2" customFormat="true" ht="25.5" hidden="false" customHeight="false" outlineLevel="0" collapsed="false">
      <c r="A392" s="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="2" customFormat="true" ht="25.5" hidden="false" customHeight="false" outlineLevel="0" collapsed="false">
      <c r="A393" s="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="2" customFormat="true" ht="25.5" hidden="false" customHeight="false" outlineLevel="0" collapsed="false">
      <c r="A394" s="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="2" customFormat="true" ht="25.5" hidden="false" customHeight="false" outlineLevel="0" collapsed="false">
      <c r="A395" s="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="2" customFormat="true" ht="25.5" hidden="false" customHeight="false" outlineLevel="0" collapsed="false">
      <c r="A396" s="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="2" customFormat="true" ht="25.5" hidden="false" customHeight="false" outlineLevel="0" collapsed="false">
      <c r="A397" s="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="2" customFormat="true" ht="25.5" hidden="false" customHeight="false" outlineLevel="0" collapsed="false">
      <c r="A398" s="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="2" customFormat="true" ht="25.5" hidden="false" customHeight="false" outlineLevel="0" collapsed="false">
      <c r="A399" s="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="2" customFormat="true" ht="25.5" hidden="false" customHeight="false" outlineLevel="0" collapsed="false">
      <c r="A400" s="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="2" customFormat="true" ht="25.5" hidden="false" customHeight="false" outlineLevel="0" collapsed="false">
      <c r="A401" s="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="2" customFormat="true" ht="25.5" hidden="false" customHeight="false" outlineLevel="0" collapsed="false">
      <c r="A402" s="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="2" customFormat="true" ht="25.5" hidden="false" customHeight="false" outlineLevel="0" collapsed="false">
      <c r="A403" s="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="2" customFormat="true" ht="25.5" hidden="false" customHeight="false" outlineLevel="0" collapsed="false">
      <c r="A404" s="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="2" customFormat="true" ht="25.5" hidden="false" customHeight="false" outlineLevel="0" collapsed="false">
      <c r="A405" s="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="2" customFormat="true" ht="25.5" hidden="false" customHeight="false" outlineLevel="0" collapsed="false">
      <c r="A406" s="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="2" customFormat="true" ht="25.5" hidden="false" customHeight="false" outlineLevel="0" collapsed="false">
      <c r="A407" s="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="2" customFormat="true" ht="25.5" hidden="false" customHeight="false" outlineLevel="0" collapsed="false">
      <c r="A408" s="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="2" customFormat="true" ht="25.5" hidden="false" customHeight="false" outlineLevel="0" collapsed="false">
      <c r="A409" s="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="2" customFormat="true" ht="25.5" hidden="false" customHeight="false" outlineLevel="0" collapsed="false">
      <c r="A410" s="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="2" customFormat="true" ht="25.5" hidden="false" customHeight="false" outlineLevel="0" collapsed="false">
      <c r="A411" s="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="2" customFormat="true" ht="25.5" hidden="false" customHeight="false" outlineLevel="0" collapsed="false">
      <c r="A412" s="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="2" customFormat="true" ht="25.5" hidden="false" customHeight="false" outlineLevel="0" collapsed="false">
      <c r="A413" s="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="2" customFormat="true" ht="25.5" hidden="false" customHeight="false" outlineLevel="0" collapsed="false">
      <c r="A414" s="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="2" customFormat="true" ht="25.5" hidden="false" customHeight="false" outlineLevel="0" collapsed="false">
      <c r="A415" s="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="2" customFormat="true" ht="25.5" hidden="false" customHeight="false" outlineLevel="0" collapsed="false">
      <c r="A416" s="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="2" customFormat="true" ht="25.5" hidden="false" customHeight="false" outlineLevel="0" collapsed="false">
      <c r="A417" s="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="2" customFormat="true" ht="25.5" hidden="false" customHeight="false" outlineLevel="0" collapsed="false">
      <c r="A418" s="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="2" customFormat="true" ht="25.5" hidden="false" customHeight="false" outlineLevel="0" collapsed="false">
      <c r="A419" s="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="2" customFormat="true" ht="25.5" hidden="false" customHeight="false" outlineLevel="0" collapsed="false">
      <c r="A420" s="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="2" customFormat="true" ht="25.5" hidden="false" customHeight="false" outlineLevel="0" collapsed="false">
      <c r="A421" s="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="2" customFormat="true" ht="25.5" hidden="false" customHeight="false" outlineLevel="0" collapsed="false">
      <c r="A422" s="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="2" customFormat="true" ht="25.5" hidden="false" customHeight="false" outlineLevel="0" collapsed="false">
      <c r="A423" s="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="2" customFormat="true" ht="25.5" hidden="false" customHeight="false" outlineLevel="0" collapsed="false">
      <c r="A424" s="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="2" customFormat="true" ht="25.5" hidden="false" customHeight="false" outlineLevel="0" collapsed="false">
      <c r="A425" s="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="2" customFormat="true" ht="25.5" hidden="false" customHeight="false" outlineLevel="0" collapsed="false">
      <c r="A426" s="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="2" customFormat="true" ht="25.5" hidden="false" customHeight="false" outlineLevel="0" collapsed="false">
      <c r="A427" s="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="2" customFormat="true" ht="25.5" hidden="false" customHeight="false" outlineLevel="0" collapsed="false">
      <c r="A428" s="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="2" customFormat="true" ht="25.5" hidden="false" customHeight="false" outlineLevel="0" collapsed="false">
      <c r="A429" s="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="2" customFormat="true" ht="25.5" hidden="false" customHeight="false" outlineLevel="0" collapsed="false">
      <c r="A430" s="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="2" customFormat="true" ht="25.5" hidden="false" customHeight="false" outlineLevel="0" collapsed="false">
      <c r="A431" s="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="2" customFormat="true" ht="25.5" hidden="false" customHeight="false" outlineLevel="0" collapsed="false">
      <c r="A432" s="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="2" customFormat="true" ht="25.5" hidden="false" customHeight="false" outlineLevel="0" collapsed="false">
      <c r="A433" s="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="2" customFormat="true" ht="25.5" hidden="false" customHeight="false" outlineLevel="0" collapsed="false">
      <c r="A434" s="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="2" customFormat="true" ht="25.5" hidden="false" customHeight="false" outlineLevel="0" collapsed="false">
      <c r="A435" s="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="2" customFormat="true" ht="25.5" hidden="false" customHeight="false" outlineLevel="0" collapsed="false">
      <c r="A436" s="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="2" customFormat="true" ht="25.5" hidden="false" customHeight="false" outlineLevel="0" collapsed="false">
      <c r="A437" s="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="2" customFormat="true" ht="25.5" hidden="false" customHeight="false" outlineLevel="0" collapsed="false">
      <c r="A438" s="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="2" customFormat="true" ht="25.5" hidden="false" customHeight="false" outlineLevel="0" collapsed="false">
      <c r="A439" s="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="2" customFormat="true" ht="25.5" hidden="false" customHeight="false" outlineLevel="0" collapsed="false">
      <c r="A440" s="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="2" customFormat="true" ht="25.5" hidden="false" customHeight="false" outlineLevel="0" collapsed="false">
      <c r="A441" s="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="2" customFormat="true" ht="25.5" hidden="false" customHeight="false" outlineLevel="0" collapsed="false">
      <c r="A442" s="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="2" customFormat="true" ht="25.5" hidden="false" customHeight="false" outlineLevel="0" collapsed="false">
      <c r="A443" s="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="2" customFormat="true" ht="25.5" hidden="false" customHeight="false" outlineLevel="0" collapsed="false">
      <c r="A444" s="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="2" customFormat="true" ht="25.5" hidden="false" customHeight="false" outlineLevel="0" collapsed="false">
      <c r="A445" s="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="2" customFormat="true" ht="25.5" hidden="false" customHeight="false" outlineLevel="0" collapsed="false">
      <c r="A446" s="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="2" customFormat="true" ht="25.5" hidden="false" customHeight="false" outlineLevel="0" collapsed="false">
      <c r="A447" s="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="2" customFormat="true" ht="25.5" hidden="false" customHeight="false" outlineLevel="0" collapsed="false">
      <c r="A448" s="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="2" customFormat="true" ht="25.5" hidden="false" customHeight="false" outlineLevel="0" collapsed="false">
      <c r="A449" s="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="2" customFormat="true" ht="25.5" hidden="false" customHeight="false" outlineLevel="0" collapsed="false">
      <c r="A450" s="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="2" customFormat="true" ht="25.5" hidden="false" customHeight="false" outlineLevel="0" collapsed="false">
      <c r="A451" s="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="2" customFormat="true" ht="25.5" hidden="false" customHeight="false" outlineLevel="0" collapsed="false">
      <c r="A452" s="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="2" customFormat="true" ht="25.5" hidden="false" customHeight="false" outlineLevel="0" collapsed="false">
      <c r="A453" s="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="2" customFormat="true" ht="25.5" hidden="false" customHeight="false" outlineLevel="0" collapsed="false">
      <c r="A454" s="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="2" customFormat="true" ht="25.5" hidden="false" customHeight="false" outlineLevel="0" collapsed="false">
      <c r="A455" s="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="2" customFormat="true" ht="25.5" hidden="false" customHeight="false" outlineLevel="0" collapsed="false">
      <c r="A456" s="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="2" customFormat="true" ht="25.5" hidden="false" customHeight="false" outlineLevel="0" collapsed="false">
      <c r="A457" s="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="2" customFormat="true" ht="25.5" hidden="false" customHeight="false" outlineLevel="0" collapsed="false">
      <c r="A458" s="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="2" customFormat="true" ht="25.5" hidden="false" customHeight="false" outlineLevel="0" collapsed="false">
      <c r="A459" s="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="2" customFormat="true" ht="25.5" hidden="false" customHeight="false" outlineLevel="0" collapsed="false">
      <c r="A460" s="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="2" customFormat="true" ht="25.5" hidden="false" customHeight="false" outlineLevel="0" collapsed="false">
      <c r="A461" s="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="2" customFormat="true" ht="25.5" hidden="false" customHeight="false" outlineLevel="0" collapsed="false">
      <c r="A462" s="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="2" customFormat="true" ht="25.5" hidden="false" customHeight="false" outlineLevel="0" collapsed="false">
      <c r="A463" s="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="2" customFormat="true" ht="25.5" hidden="false" customHeight="false" outlineLevel="0" collapsed="false">
      <c r="A464" s="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="2" customFormat="true" ht="25.5" hidden="false" customHeight="false" outlineLevel="0" collapsed="false">
      <c r="A465" s="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="2" customFormat="true" ht="25.5" hidden="false" customHeight="false" outlineLevel="0" collapsed="false">
      <c r="A466" s="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="2" customFormat="true" ht="25.5" hidden="false" customHeight="false" outlineLevel="0" collapsed="false">
      <c r="A467" s="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="2" customFormat="true" ht="25.5" hidden="false" customHeight="false" outlineLevel="0" collapsed="false">
      <c r="A468" s="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="2" customFormat="true" ht="25.5" hidden="false" customHeight="false" outlineLevel="0" collapsed="false">
      <c r="A469" s="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="2" customFormat="true" ht="25.5" hidden="false" customHeight="false" outlineLevel="0" collapsed="false">
      <c r="A470" s="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="2" customFormat="true" ht="25.5" hidden="false" customHeight="false" outlineLevel="0" collapsed="false">
      <c r="A471" s="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="2" customFormat="true" ht="25.5" hidden="false" customHeight="false" outlineLevel="0" collapsed="false">
      <c r="A472" s="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="2" customFormat="true" ht="25.5" hidden="false" customHeight="false" outlineLevel="0" collapsed="false">
      <c r="A473" s="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="2" customFormat="true" ht="25.5" hidden="false" customHeight="false" outlineLevel="0" collapsed="false">
      <c r="A474" s="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="2" customFormat="true" ht="25.5" hidden="false" customHeight="false" outlineLevel="0" collapsed="false">
      <c r="A475" s="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="2" customFormat="true" ht="25.5" hidden="false" customHeight="false" outlineLevel="0" collapsed="false">
      <c r="A476" s="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="2" customFormat="true" ht="25.5" hidden="false" customHeight="false" outlineLevel="0" collapsed="false">
      <c r="A477" s="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="2" customFormat="true" ht="25.5" hidden="false" customHeight="false" outlineLevel="0" collapsed="false">
      <c r="A478" s="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="2" customFormat="true" ht="25.5" hidden="false" customHeight="false" outlineLevel="0" collapsed="false">
      <c r="A479" s="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="2" customFormat="true" ht="25.5" hidden="false" customHeight="false" outlineLevel="0" collapsed="false">
      <c r="A480" s="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="2" customFormat="true" ht="25.5" hidden="false" customHeight="false" outlineLevel="0" collapsed="false">
      <c r="A481" s="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="2" customFormat="true" ht="25.5" hidden="false" customHeight="false" outlineLevel="0" collapsed="false">
      <c r="A482" s="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="2" customFormat="true" ht="25.5" hidden="false" customHeight="false" outlineLevel="0" collapsed="false">
      <c r="A483" s="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="2" customFormat="true" ht="25.5" hidden="false" customHeight="false" outlineLevel="0" collapsed="false">
      <c r="A484" s="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="2" customFormat="true" ht="25.5" hidden="false" customHeight="false" outlineLevel="0" collapsed="false">
      <c r="A485" s="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="2" customFormat="true" ht="25.5" hidden="false" customHeight="false" outlineLevel="0" collapsed="false">
      <c r="A486" s="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="2" customFormat="true" ht="25.5" hidden="false" customHeight="false" outlineLevel="0" collapsed="false">
      <c r="A487" s="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="2" customFormat="true" ht="25.5" hidden="false" customHeight="false" outlineLevel="0" collapsed="false">
      <c r="A488" s="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="2" customFormat="true" ht="25.5" hidden="false" customHeight="false" outlineLevel="0" collapsed="false">
      <c r="A489" s="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="2" customFormat="true" ht="25.5" hidden="false" customHeight="false" outlineLevel="0" collapsed="false">
      <c r="A490" s="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="2" customFormat="true" ht="25.5" hidden="false" customHeight="false" outlineLevel="0" collapsed="false">
      <c r="A491" s="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="2" customFormat="true" ht="25.5" hidden="false" customHeight="false" outlineLevel="0" collapsed="false">
      <c r="A492" s="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="2" customFormat="true" ht="25.5" hidden="false" customHeight="false" outlineLevel="0" collapsed="false">
      <c r="A493" s="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="2" customFormat="true" ht="25.5" hidden="false" customHeight="false" outlineLevel="0" collapsed="false">
      <c r="A494" s="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="2" customFormat="true" ht="25.5" hidden="false" customHeight="false" outlineLevel="0" collapsed="false">
      <c r="A495" s="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="2" customFormat="true" ht="25.5" hidden="false" customHeight="false" outlineLevel="0" collapsed="false">
      <c r="A496" s="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="2" customFormat="true" ht="25.5" hidden="false" customHeight="false" outlineLevel="0" collapsed="false">
      <c r="A497" s="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="2" customFormat="true" ht="25.5" hidden="false" customHeight="false" outlineLevel="0" collapsed="false">
      <c r="A498" s="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="2" customFormat="true" ht="25.5" hidden="false" customHeight="false" outlineLevel="0" collapsed="false">
      <c r="A499" s="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="2" customFormat="true" ht="25.5" hidden="false" customHeight="false" outlineLevel="0" collapsed="false">
      <c r="A500" s="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="2" customFormat="true" ht="25.5" hidden="false" customHeight="false" outlineLevel="0" collapsed="false">
      <c r="A501" s="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="2" customFormat="true" ht="25.5" hidden="false" customHeight="false" outlineLevel="0" collapsed="false">
      <c r="A502" s="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="2" customFormat="true" ht="25.5" hidden="false" customHeight="false" outlineLevel="0" collapsed="false">
      <c r="A503" s="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="2" customFormat="true" ht="25.5" hidden="false" customHeight="false" outlineLevel="0" collapsed="false">
      <c r="A504" s="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="2" customFormat="true" ht="25.5" hidden="false" customHeight="false" outlineLevel="0" collapsed="false">
      <c r="A505" s="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="2" customFormat="true" ht="25.5" hidden="false" customHeight="false" outlineLevel="0" collapsed="false">
      <c r="A506" s="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="2" customFormat="true" ht="25.5" hidden="false" customHeight="false" outlineLevel="0" collapsed="false">
      <c r="A507" s="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="2" customFormat="true" ht="25.5" hidden="false" customHeight="false" outlineLevel="0" collapsed="false">
      <c r="A508" s="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="2" customFormat="true" ht="25.5" hidden="false" customHeight="false" outlineLevel="0" collapsed="false">
      <c r="A509" s="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="2" customFormat="true" ht="25.5" hidden="false" customHeight="false" outlineLevel="0" collapsed="false">
      <c r="A510" s="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="2" customFormat="true" ht="25.5" hidden="false" customHeight="false" outlineLevel="0" collapsed="false">
      <c r="A511" s="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="2" customFormat="true" ht="25.5" hidden="false" customHeight="false" outlineLevel="0" collapsed="false">
      <c r="A512" s="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="2" customFormat="true" ht="25.5" hidden="false" customHeight="false" outlineLevel="0" collapsed="false">
      <c r="A513" s="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="2" customFormat="true" ht="25.5" hidden="false" customHeight="false" outlineLevel="0" collapsed="false">
      <c r="A514" s="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="2" customFormat="true" ht="25.5" hidden="false" customHeight="false" outlineLevel="0" collapsed="false">
      <c r="A515" s="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="2" customFormat="true" ht="25.5" hidden="false" customHeight="false" outlineLevel="0" collapsed="false">
      <c r="A516" s="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="2" customFormat="true" ht="25.5" hidden="false" customHeight="false" outlineLevel="0" collapsed="false">
      <c r="A517" s="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="2" customFormat="true" ht="25.5" hidden="false" customHeight="false" outlineLevel="0" collapsed="false">
      <c r="A518" s="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="2" customFormat="true" ht="25.5" hidden="false" customHeight="false" outlineLevel="0" collapsed="false">
      <c r="A519" s="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="2" customFormat="true" ht="25.5" hidden="false" customHeight="false" outlineLevel="0" collapsed="false">
      <c r="A520" s="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="2" customFormat="true" ht="25.5" hidden="false" customHeight="false" outlineLevel="0" collapsed="false">
      <c r="A521" s="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="2" customFormat="true" ht="25.5" hidden="false" customHeight="false" outlineLevel="0" collapsed="false">
      <c r="A522" s="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="2" customFormat="true" ht="25.5" hidden="false" customHeight="false" outlineLevel="0" collapsed="false">
      <c r="A523" s="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="2" customFormat="true" ht="25.5" hidden="false" customHeight="false" outlineLevel="0" collapsed="false">
      <c r="A524" s="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="2" customFormat="true" ht="25.5" hidden="false" customHeight="false" outlineLevel="0" collapsed="false">
      <c r="A525" s="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="2" customFormat="true" ht="25.5" hidden="false" customHeight="false" outlineLevel="0" collapsed="false">
      <c r="A526" s="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="2" customFormat="true" ht="25.5" hidden="false" customHeight="false" outlineLevel="0" collapsed="false">
      <c r="A527" s="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="2" customFormat="true" ht="25.5" hidden="false" customHeight="false" outlineLevel="0" collapsed="false">
      <c r="A528" s="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="2" customFormat="true" ht="25.5" hidden="false" customHeight="false" outlineLevel="0" collapsed="false">
      <c r="A529" s="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="2" customFormat="true" ht="25.5" hidden="false" customHeight="false" outlineLevel="0" collapsed="false">
      <c r="A530" s="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="2" customFormat="true" ht="25.5" hidden="false" customHeight="false" outlineLevel="0" collapsed="false">
      <c r="A531" s="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="2" customFormat="true" ht="25.5" hidden="false" customHeight="false" outlineLevel="0" collapsed="false">
      <c r="A532" s="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="2" customFormat="true" ht="25.5" hidden="false" customHeight="false" outlineLevel="0" collapsed="false">
      <c r="A533" s="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="2" customFormat="true" ht="25.5" hidden="false" customHeight="false" outlineLevel="0" collapsed="false">
      <c r="A534" s="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="2" customFormat="true" ht="25.5" hidden="false" customHeight="false" outlineLevel="0" collapsed="false">
      <c r="A535" s="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="2" customFormat="true" ht="25.5" hidden="false" customHeight="false" outlineLevel="0" collapsed="false">
      <c r="A536" s="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="2" customFormat="true" ht="25.5" hidden="false" customHeight="false" outlineLevel="0" collapsed="false">
      <c r="A537" s="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="2" customFormat="true" ht="25.5" hidden="false" customHeight="false" outlineLevel="0" collapsed="false">
      <c r="A538" s="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="2" customFormat="true" ht="25.5" hidden="false" customHeight="false" outlineLevel="0" collapsed="false">
      <c r="A539" s="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="2" customFormat="true" ht="25.5" hidden="false" customHeight="false" outlineLevel="0" collapsed="false">
      <c r="A540" s="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="2" customFormat="true" ht="25.5" hidden="false" customHeight="false" outlineLevel="0" collapsed="false">
      <c r="A541" s="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="2" customFormat="true" ht="25.5" hidden="false" customHeight="false" outlineLevel="0" collapsed="false">
      <c r="A542" s="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="2" customFormat="true" ht="25.5" hidden="false" customHeight="false" outlineLevel="0" collapsed="false">
      <c r="A543" s="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="2" customFormat="true" ht="25.5" hidden="false" customHeight="false" outlineLevel="0" collapsed="false">
      <c r="A544" s="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="2" customFormat="true" ht="25.5" hidden="false" customHeight="false" outlineLevel="0" collapsed="false">
      <c r="A545" s="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="2" customFormat="true" ht="25.5" hidden="false" customHeight="false" outlineLevel="0" collapsed="false">
      <c r="A546" s="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="2" customFormat="true" ht="25.5" hidden="false" customHeight="false" outlineLevel="0" collapsed="false">
      <c r="A547" s="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="2" customFormat="true" ht="25.5" hidden="false" customHeight="false" outlineLevel="0" collapsed="false">
      <c r="A548" s="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="2" customFormat="true" ht="25.5" hidden="false" customHeight="false" outlineLevel="0" collapsed="false">
      <c r="A549" s="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="2" customFormat="true" ht="25.5" hidden="false" customHeight="false" outlineLevel="0" collapsed="false">
      <c r="A550" s="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="2" customFormat="true" ht="25.5" hidden="false" customHeight="false" outlineLevel="0" collapsed="false">
      <c r="A551" s="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="2" customFormat="true" ht="25.5" hidden="false" customHeight="false" outlineLevel="0" collapsed="false">
      <c r="A552" s="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="2" customFormat="true" ht="25.5" hidden="false" customHeight="false" outlineLevel="0" collapsed="false">
      <c r="A553" s="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="2" customFormat="true" ht="25.5" hidden="false" customHeight="false" outlineLevel="0" collapsed="false">
      <c r="A554" s="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="2" customFormat="true" ht="25.5" hidden="false" customHeight="false" outlineLevel="0" collapsed="false">
      <c r="A555" s="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="2" customFormat="true" ht="25.5" hidden="false" customHeight="false" outlineLevel="0" collapsed="false">
      <c r="A556" s="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="2" customFormat="true" ht="25.5" hidden="false" customHeight="false" outlineLevel="0" collapsed="false">
      <c r="A557" s="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="2" customFormat="true" ht="25.5" hidden="false" customHeight="false" outlineLevel="0" collapsed="false">
      <c r="A558" s="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="2" customFormat="true" ht="25.5" hidden="false" customHeight="false" outlineLevel="0" collapsed="false">
      <c r="A559" s="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="2" customFormat="true" ht="25.5" hidden="false" customHeight="false" outlineLevel="0" collapsed="false">
      <c r="A560" s="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="2" customFormat="true" ht="25.5" hidden="false" customHeight="false" outlineLevel="0" collapsed="false">
      <c r="A561" s="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="2" customFormat="true" ht="25.5" hidden="false" customHeight="false" outlineLevel="0" collapsed="false">
      <c r="A562" s="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="2" customFormat="true" ht="25.5" hidden="false" customHeight="false" outlineLevel="0" collapsed="false">
      <c r="A563" s="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="2" customFormat="true" ht="25.5" hidden="false" customHeight="false" outlineLevel="0" collapsed="false">
      <c r="A564" s="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="2" customFormat="true" ht="25.5" hidden="false" customHeight="false" outlineLevel="0" collapsed="false">
      <c r="A565" s="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="2" customFormat="true" ht="25.5" hidden="false" customHeight="false" outlineLevel="0" collapsed="false">
      <c r="A566" s="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="2" customFormat="true" ht="25.5" hidden="false" customHeight="false" outlineLevel="0" collapsed="false">
      <c r="A567" s="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="2" customFormat="true" ht="25.5" hidden="false" customHeight="false" outlineLevel="0" collapsed="false">
      <c r="A568" s="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="2" customFormat="true" ht="25.5" hidden="false" customHeight="false" outlineLevel="0" collapsed="false">
      <c r="A569" s="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="2" customFormat="true" ht="25.5" hidden="false" customHeight="false" outlineLevel="0" collapsed="false">
      <c r="A570" s="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="2" customFormat="true" ht="25.5" hidden="false" customHeight="false" outlineLevel="0" collapsed="false">
      <c r="A571" s="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="2" customFormat="true" ht="25.5" hidden="false" customHeight="false" outlineLevel="0" collapsed="false">
      <c r="A572" s="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="2" customFormat="true" ht="25.5" hidden="false" customHeight="false" outlineLevel="0" collapsed="false">
      <c r="A573" s="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="2" customFormat="true" ht="25.5" hidden="false" customHeight="false" outlineLevel="0" collapsed="false">
      <c r="A574" s="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="2" customFormat="true" ht="25.5" hidden="false" customHeight="false" outlineLevel="0" collapsed="false">
      <c r="A575" s="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="2" customFormat="true" ht="25.5" hidden="false" customHeight="false" outlineLevel="0" collapsed="false">
      <c r="A576" s="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="2" customFormat="true" ht="25.5" hidden="false" customHeight="false" outlineLevel="0" collapsed="false">
      <c r="A577" s="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="2" customFormat="true" ht="25.5" hidden="false" customHeight="false" outlineLevel="0" collapsed="false">
      <c r="A578" s="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="2" customFormat="true" ht="25.5" hidden="false" customHeight="false" outlineLevel="0" collapsed="false">
      <c r="A579" s="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="2" customFormat="true" ht="25.5" hidden="false" customHeight="false" outlineLevel="0" collapsed="false">
      <c r="A580" s="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="2" customFormat="true" ht="25.5" hidden="false" customHeight="false" outlineLevel="0" collapsed="false">
      <c r="A581" s="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="2" customFormat="true" ht="25.5" hidden="false" customHeight="false" outlineLevel="0" collapsed="false">
      <c r="A582" s="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="2" customFormat="true" ht="25.5" hidden="false" customHeight="false" outlineLevel="0" collapsed="false">
      <c r="A583" s="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="2" customFormat="true" ht="25.5" hidden="false" customHeight="false" outlineLevel="0" collapsed="false">
      <c r="A584" s="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="2" customFormat="true" ht="25.5" hidden="false" customHeight="false" outlineLevel="0" collapsed="false">
      <c r="A585" s="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="2" customFormat="true" ht="25.5" hidden="false" customHeight="false" outlineLevel="0" collapsed="false">
      <c r="A586" s="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="2" customFormat="true" ht="25.5" hidden="false" customHeight="false" outlineLevel="0" collapsed="false">
      <c r="A587" s="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="2" customFormat="true" ht="25.5" hidden="false" customHeight="false" outlineLevel="0" collapsed="false">
      <c r="A588" s="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="2" customFormat="true" ht="25.5" hidden="false" customHeight="false" outlineLevel="0" collapsed="false">
      <c r="A589" s="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="2" customFormat="true" ht="25.5" hidden="false" customHeight="false" outlineLevel="0" collapsed="false">
      <c r="A590" s="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="2" customFormat="true" ht="25.5" hidden="false" customHeight="false" outlineLevel="0" collapsed="false">
      <c r="A591" s="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="2" customFormat="true" ht="25.5" hidden="false" customHeight="false" outlineLevel="0" collapsed="false">
      <c r="A592" s="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="2" customFormat="true" ht="25.5" hidden="false" customHeight="false" outlineLevel="0" collapsed="false">
      <c r="A593" s="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="2" customFormat="true" ht="25.5" hidden="false" customHeight="false" outlineLevel="0" collapsed="false">
      <c r="A594" s="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="2" customFormat="true" ht="25.5" hidden="false" customHeight="false" outlineLevel="0" collapsed="false">
      <c r="A595" s="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="2" customFormat="true" ht="25.5" hidden="false" customHeight="false" outlineLevel="0" collapsed="false">
      <c r="A596" s="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="2" customFormat="true" ht="25.5" hidden="false" customHeight="false" outlineLevel="0" collapsed="false">
      <c r="A597" s="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="2" customFormat="true" ht="25.5" hidden="false" customHeight="false" outlineLevel="0" collapsed="false">
      <c r="A598" s="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="2" customFormat="true" ht="25.5" hidden="false" customHeight="false" outlineLevel="0" collapsed="false">
      <c r="A599" s="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="2" customFormat="true" ht="25.5" hidden="false" customHeight="false" outlineLevel="0" collapsed="false">
      <c r="A600" s="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="2" customFormat="true" ht="25.5" hidden="false" customHeight="false" outlineLevel="0" collapsed="false">
      <c r="A601" s="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="2" customFormat="true" ht="25.5" hidden="false" customHeight="false" outlineLevel="0" collapsed="false">
      <c r="A602" s="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="2" customFormat="true" ht="25.5" hidden="false" customHeight="false" outlineLevel="0" collapsed="false">
      <c r="A603" s="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="2" customFormat="true" ht="25.5" hidden="false" customHeight="false" outlineLevel="0" collapsed="false">
      <c r="A604" s="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="2" customFormat="true" ht="25.5" hidden="false" customHeight="false" outlineLevel="0" collapsed="false">
      <c r="A605" s="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="2" customFormat="true" ht="25.5" hidden="false" customHeight="false" outlineLevel="0" collapsed="false">
      <c r="A606" s="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="2" customFormat="true" ht="25.5" hidden="false" customHeight="false" outlineLevel="0" collapsed="false">
      <c r="A607" s="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="2" customFormat="true" ht="25.5" hidden="false" customHeight="false" outlineLevel="0" collapsed="false">
      <c r="A608" s="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="2" customFormat="true" ht="25.5" hidden="false" customHeight="false" outlineLevel="0" collapsed="false">
      <c r="A609" s="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="2" customFormat="true" ht="25.5" hidden="false" customHeight="false" outlineLevel="0" collapsed="false">
      <c r="A610" s="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="2" customFormat="true" ht="25.5" hidden="false" customHeight="false" outlineLevel="0" collapsed="false">
      <c r="A611" s="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="2" customFormat="true" ht="25.5" hidden="false" customHeight="false" outlineLevel="0" collapsed="false">
      <c r="A612" s="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="2" customFormat="true" ht="25.5" hidden="false" customHeight="false" outlineLevel="0" collapsed="false">
      <c r="A613" s="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="2" customFormat="true" ht="25.5" hidden="false" customHeight="false" outlineLevel="0" collapsed="false">
      <c r="A614" s="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="2" customFormat="true" ht="25.5" hidden="false" customHeight="false" outlineLevel="0" collapsed="false">
      <c r="A615" s="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="2" customFormat="true" ht="25.5" hidden="false" customHeight="false" outlineLevel="0" collapsed="false">
      <c r="A616" s="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="2" customFormat="true" ht="25.5" hidden="false" customHeight="false" outlineLevel="0" collapsed="false">
      <c r="A617" s="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="2" customFormat="true" ht="25.5" hidden="false" customHeight="false" outlineLevel="0" collapsed="false">
      <c r="A618" s="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="2" customFormat="true" ht="25.5" hidden="false" customHeight="false" outlineLevel="0" collapsed="false">
      <c r="A619" s="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="2" customFormat="true" ht="25.5" hidden="false" customHeight="false" outlineLevel="0" collapsed="false">
      <c r="A620" s="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="2" customFormat="true" ht="25.5" hidden="false" customHeight="false" outlineLevel="0" collapsed="false">
      <c r="A621" s="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="2" customFormat="true" ht="25.5" hidden="false" customHeight="false" outlineLevel="0" collapsed="false">
      <c r="A622" s="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="2" customFormat="true" ht="25.5" hidden="false" customHeight="false" outlineLevel="0" collapsed="false">
      <c r="A623" s="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="2" customFormat="true" ht="25.5" hidden="false" customHeight="false" outlineLevel="0" collapsed="false">
      <c r="A624" s="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="2" customFormat="true" ht="25.5" hidden="false" customHeight="false" outlineLevel="0" collapsed="false">
      <c r="A625" s="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="2" customFormat="true" ht="25.5" hidden="false" customHeight="false" outlineLevel="0" collapsed="false">
      <c r="A626" s="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="2" customFormat="true" ht="25.5" hidden="false" customHeight="false" outlineLevel="0" collapsed="false">
      <c r="A627" s="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="2" customFormat="true" ht="25.5" hidden="false" customHeight="false" outlineLevel="0" collapsed="false">
      <c r="A628" s="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="2" customFormat="true" ht="25.5" hidden="false" customHeight="false" outlineLevel="0" collapsed="false">
      <c r="A629" s="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="2" customFormat="true" ht="25.5" hidden="false" customHeight="false" outlineLevel="0" collapsed="false">
      <c r="A630" s="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="2" customFormat="true" ht="25.5" hidden="false" customHeight="false" outlineLevel="0" collapsed="false">
      <c r="A631" s="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="2" customFormat="true" ht="25.5" hidden="false" customHeight="false" outlineLevel="0" collapsed="false">
      <c r="A632" s="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="2" customFormat="true" ht="25.5" hidden="false" customHeight="false" outlineLevel="0" collapsed="false">
      <c r="A633" s="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="2" customFormat="true" ht="25.5" hidden="false" customHeight="false" outlineLevel="0" collapsed="false">
      <c r="A634" s="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="2" customFormat="true" ht="25.5" hidden="false" customHeight="false" outlineLevel="0" collapsed="false">
      <c r="A635" s="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="2" customFormat="true" ht="25.5" hidden="false" customHeight="false" outlineLevel="0" collapsed="false">
      <c r="A636" s="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="2" customFormat="true" ht="25.5" hidden="false" customHeight="false" outlineLevel="0" collapsed="false">
      <c r="A637" s="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="2" customFormat="true" ht="25.5" hidden="false" customHeight="false" outlineLevel="0" collapsed="false">
      <c r="A638" s="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="2" customFormat="true" ht="25.5" hidden="false" customHeight="false" outlineLevel="0" collapsed="false">
      <c r="A639" s="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="2" customFormat="true" ht="25.5" hidden="false" customHeight="false" outlineLevel="0" collapsed="false">
      <c r="A640" s="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="2" customFormat="true" ht="25.5" hidden="false" customHeight="false" outlineLevel="0" collapsed="false">
      <c r="A641" s="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="2" customFormat="true" ht="25.5" hidden="false" customHeight="false" outlineLevel="0" collapsed="false">
      <c r="A642" s="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="2" customFormat="true" ht="25.5" hidden="false" customHeight="false" outlineLevel="0" collapsed="false">
      <c r="A643" s="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="2" customFormat="true" ht="25.5" hidden="false" customHeight="false" outlineLevel="0" collapsed="false">
      <c r="A644" s="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="2" customFormat="true" ht="25.5" hidden="false" customHeight="false" outlineLevel="0" collapsed="false">
      <c r="A645" s="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="2" customFormat="true" ht="25.5" hidden="false" customHeight="false" outlineLevel="0" collapsed="false">
      <c r="A646" s="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="2" customFormat="true" ht="25.5" hidden="false" customHeight="false" outlineLevel="0" collapsed="false">
      <c r="A647" s="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="2" customFormat="true" ht="25.5" hidden="false" customHeight="false" outlineLevel="0" collapsed="false">
      <c r="A648" s="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="2" customFormat="true" ht="25.5" hidden="false" customHeight="false" outlineLevel="0" collapsed="false">
      <c r="A649" s="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="2" customFormat="true" ht="25.5" hidden="false" customHeight="false" outlineLevel="0" collapsed="false">
      <c r="A650" s="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="2" customFormat="true" ht="25.5" hidden="false" customHeight="false" outlineLevel="0" collapsed="false">
      <c r="A651" s="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="2" customFormat="true" ht="25.5" hidden="false" customHeight="false" outlineLevel="0" collapsed="false">
      <c r="A652" s="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="2" customFormat="true" ht="25.5" hidden="false" customHeight="false" outlineLevel="0" collapsed="false">
      <c r="A653" s="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="2" customFormat="true" ht="25.5" hidden="false" customHeight="false" outlineLevel="0" collapsed="false">
      <c r="A654" s="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="2" customFormat="true" ht="25.5" hidden="false" customHeight="false" outlineLevel="0" collapsed="false">
      <c r="A655" s="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="2" customFormat="true" ht="25.5" hidden="false" customHeight="false" outlineLevel="0" collapsed="false">
      <c r="A656" s="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="2" customFormat="true" ht="25.5" hidden="false" customHeight="false" outlineLevel="0" collapsed="false">
      <c r="A657" s="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="2" customFormat="true" ht="25.5" hidden="false" customHeight="false" outlineLevel="0" collapsed="false">
      <c r="A658" s="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="2" customFormat="true" ht="25.5" hidden="false" customHeight="false" outlineLevel="0" collapsed="false">
      <c r="A659" s="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="2" customFormat="true" ht="25.5" hidden="false" customHeight="false" outlineLevel="0" collapsed="false">
      <c r="A660" s="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="2" customFormat="true" ht="25.5" hidden="false" customHeight="false" outlineLevel="0" collapsed="false">
      <c r="A661" s="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="2" customFormat="true" ht="25.5" hidden="false" customHeight="false" outlineLevel="0" collapsed="false">
      <c r="A662" s="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="2" customFormat="true" ht="25.5" hidden="false" customHeight="false" outlineLevel="0" collapsed="false">
      <c r="A663" s="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="2" customFormat="true" ht="25.5" hidden="false" customHeight="false" outlineLevel="0" collapsed="false">
      <c r="A664" s="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="2" customFormat="true" ht="25.5" hidden="false" customHeight="false" outlineLevel="0" collapsed="false">
      <c r="A665" s="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="2" customFormat="true" ht="25.5" hidden="false" customHeight="false" outlineLevel="0" collapsed="false">
      <c r="A666" s="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="2" customFormat="true" ht="25.5" hidden="false" customHeight="false" outlineLevel="0" collapsed="false">
      <c r="A667" s="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="2" customFormat="true" ht="25.5" hidden="false" customHeight="false" outlineLevel="0" collapsed="false">
      <c r="A668" s="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="2" customFormat="true" ht="25.5" hidden="false" customHeight="false" outlineLevel="0" collapsed="false">
      <c r="A669" s="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="2" customFormat="true" ht="25.5" hidden="false" customHeight="false" outlineLevel="0" collapsed="false">
      <c r="A670" s="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="2" customFormat="true" ht="25.5" hidden="false" customHeight="false" outlineLevel="0" collapsed="false">
      <c r="A671" s="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="2" customFormat="true" ht="25.5" hidden="false" customHeight="false" outlineLevel="0" collapsed="false">
      <c r="A672" s="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="2" customFormat="true" ht="25.5" hidden="false" customHeight="false" outlineLevel="0" collapsed="false">
      <c r="A673" s="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="2" customFormat="true" ht="25.5" hidden="false" customHeight="false" outlineLevel="0" collapsed="false">
      <c r="A674" s="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="2" customFormat="true" ht="25.5" hidden="false" customHeight="false" outlineLevel="0" collapsed="false">
      <c r="A675" s="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="2" customFormat="true" ht="25.5" hidden="false" customHeight="false" outlineLevel="0" collapsed="false">
      <c r="A676" s="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="2" customFormat="true" ht="25.5" hidden="false" customHeight="false" outlineLevel="0" collapsed="false">
      <c r="A677" s="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="2" customFormat="true" ht="25.5" hidden="false" customHeight="false" outlineLevel="0" collapsed="false">
      <c r="A678" s="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="2" customFormat="true" ht="25.5" hidden="false" customHeight="false" outlineLevel="0" collapsed="false">
      <c r="A679" s="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="2" customFormat="true" ht="25.5" hidden="false" customHeight="false" outlineLevel="0" collapsed="false">
      <c r="A680" s="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="2" customFormat="true" ht="25.5" hidden="false" customHeight="false" outlineLevel="0" collapsed="false">
      <c r="A681" s="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="2" customFormat="true" ht="25.5" hidden="false" customHeight="false" outlineLevel="0" collapsed="false">
      <c r="A682" s="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="2" customFormat="true" ht="25.5" hidden="false" customHeight="false" outlineLevel="0" collapsed="false">
      <c r="A683" s="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="2" customFormat="true" ht="25.5" hidden="false" customHeight="false" outlineLevel="0" collapsed="false">
      <c r="A684" s="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="2" customFormat="true" ht="25.5" hidden="false" customHeight="false" outlineLevel="0" collapsed="false">
      <c r="A685" s="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="2" customFormat="true" ht="25.5" hidden="false" customHeight="false" outlineLevel="0" collapsed="false">
      <c r="A686" s="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="2" customFormat="true" ht="25.5" hidden="false" customHeight="false" outlineLevel="0" collapsed="false">
      <c r="A687" s="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="2" customFormat="true" ht="25.5" hidden="false" customHeight="false" outlineLevel="0" collapsed="false">
      <c r="A688" s="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="2" customFormat="true" ht="25.5" hidden="false" customHeight="false" outlineLevel="0" collapsed="false">
      <c r="A689" s="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="2" customFormat="true" ht="25.5" hidden="false" customHeight="false" outlineLevel="0" collapsed="false">
      <c r="A690" s="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="2" customFormat="true" ht="25.5" hidden="false" customHeight="false" outlineLevel="0" collapsed="false">
      <c r="A691" s="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="2" customFormat="true" ht="25.5" hidden="false" customHeight="false" outlineLevel="0" collapsed="false">
      <c r="A692" s="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="2" customFormat="true" ht="25.5" hidden="false" customHeight="false" outlineLevel="0" collapsed="false">
      <c r="A693" s="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="2" customFormat="true" ht="25.5" hidden="false" customHeight="false" outlineLevel="0" collapsed="false">
      <c r="A694" s="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="2" customFormat="true" ht="25.5" hidden="false" customHeight="false" outlineLevel="0" collapsed="false">
      <c r="A695" s="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="2" customFormat="true" ht="25.5" hidden="false" customHeight="false" outlineLevel="0" collapsed="false">
      <c r="A696" s="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="2" customFormat="true" ht="25.5" hidden="false" customHeight="false" outlineLevel="0" collapsed="false">
      <c r="A697" s="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="2" customFormat="true" ht="25.5" hidden="false" customHeight="false" outlineLevel="0" collapsed="false">
      <c r="A698" s="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="2" customFormat="true" ht="25.5" hidden="false" customHeight="false" outlineLevel="0" collapsed="false">
      <c r="A699" s="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="2" customFormat="true" ht="25.5" hidden="false" customHeight="false" outlineLevel="0" collapsed="false">
      <c r="A700" s="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="2" customFormat="true" ht="25.5" hidden="false" customHeight="false" outlineLevel="0" collapsed="false">
      <c r="A701" s="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="2" customFormat="true" ht="25.5" hidden="false" customHeight="false" outlineLevel="0" collapsed="false">
      <c r="A702" s="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="2" customFormat="true" ht="25.5" hidden="false" customHeight="false" outlineLevel="0" collapsed="false">
      <c r="A703" s="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="2" customFormat="true" ht="25.5" hidden="false" customHeight="false" outlineLevel="0" collapsed="false">
      <c r="A704" s="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="2" customFormat="true" ht="25.5" hidden="false" customHeight="false" outlineLevel="0" collapsed="false">
      <c r="A705" s="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="2" customFormat="true" ht="25.5" hidden="false" customHeight="false" outlineLevel="0" collapsed="false">
      <c r="A706" s="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="2" customFormat="true" ht="25.5" hidden="false" customHeight="false" outlineLevel="0" collapsed="false">
      <c r="A707" s="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="2" customFormat="true" ht="25.5" hidden="false" customHeight="false" outlineLevel="0" collapsed="false">
      <c r="A708" s="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="2" customFormat="true" ht="25.5" hidden="false" customHeight="false" outlineLevel="0" collapsed="false">
      <c r="A709" s="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="2" customFormat="true" ht="25.5" hidden="false" customHeight="false" outlineLevel="0" collapsed="false">
      <c r="A710" s="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="2" customFormat="true" ht="25.5" hidden="false" customHeight="false" outlineLevel="0" collapsed="false">
      <c r="A711" s="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="2" customFormat="true" ht="25.5" hidden="false" customHeight="false" outlineLevel="0" collapsed="false">
      <c r="A712" s="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="2" customFormat="true" ht="25.5" hidden="false" customHeight="false" outlineLevel="0" collapsed="false">
      <c r="A713" s="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="2" customFormat="true" ht="25.5" hidden="false" customHeight="false" outlineLevel="0" collapsed="false">
      <c r="A714" s="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="2" customFormat="true" ht="25.5" hidden="false" customHeight="false" outlineLevel="0" collapsed="false">
      <c r="A715" s="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="2" customFormat="true" ht="25.5" hidden="false" customHeight="false" outlineLevel="0" collapsed="false">
      <c r="A716" s="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="2" customFormat="true" ht="25.5" hidden="false" customHeight="false" outlineLevel="0" collapsed="false">
      <c r="A717" s="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="2" customFormat="true" ht="25.5" hidden="false" customHeight="false" outlineLevel="0" collapsed="false">
      <c r="A718" s="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="2" customFormat="true" ht="25.5" hidden="false" customHeight="false" outlineLevel="0" collapsed="false">
      <c r="A719" s="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="2" customFormat="true" ht="25.5" hidden="false" customHeight="false" outlineLevel="0" collapsed="false">
      <c r="A720" s="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="2" customFormat="true" ht="25.5" hidden="false" customHeight="false" outlineLevel="0" collapsed="false">
      <c r="A721" s="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="2" customFormat="true" ht="25.5" hidden="false" customHeight="false" outlineLevel="0" collapsed="false">
      <c r="A722" s="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="2" customFormat="true" ht="25.5" hidden="false" customHeight="false" outlineLevel="0" collapsed="false">
      <c r="A723" s="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="2" customFormat="true" ht="25.5" hidden="false" customHeight="false" outlineLevel="0" collapsed="false">
      <c r="A724" s="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="2" customFormat="true" ht="25.5" hidden="false" customHeight="false" outlineLevel="0" collapsed="false">
      <c r="A725" s="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="2" customFormat="true" ht="25.5" hidden="false" customHeight="false" outlineLevel="0" collapsed="false">
      <c r="A726" s="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="2" customFormat="true" ht="25.5" hidden="false" customHeight="false" outlineLevel="0" collapsed="false">
      <c r="A727" s="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="2" customFormat="true" ht="25.5" hidden="false" customHeight="false" outlineLevel="0" collapsed="false">
      <c r="A728" s="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="2" customFormat="true" ht="25.5" hidden="false" customHeight="false" outlineLevel="0" collapsed="false">
      <c r="A729" s="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="2" customFormat="true" ht="25.5" hidden="false" customHeight="false" outlineLevel="0" collapsed="false">
      <c r="A730" s="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="2" customFormat="true" ht="25.5" hidden="false" customHeight="false" outlineLevel="0" collapsed="false">
      <c r="A731" s="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="2" customFormat="true" ht="25.5" hidden="false" customHeight="false" outlineLevel="0" collapsed="false">
      <c r="A732" s="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="2" customFormat="true" ht="25.5" hidden="false" customHeight="false" outlineLevel="0" collapsed="false">
      <c r="A733" s="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="2" customFormat="true" ht="25.5" hidden="false" customHeight="false" outlineLevel="0" collapsed="false">
      <c r="A734" s="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="2" customFormat="true" ht="25.5" hidden="false" customHeight="false" outlineLevel="0" collapsed="false">
      <c r="A735" s="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="2" customFormat="true" ht="25.5" hidden="false" customHeight="false" outlineLevel="0" collapsed="false">
      <c r="A736" s="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="2" customFormat="true" ht="25.5" hidden="false" customHeight="false" outlineLevel="0" collapsed="false">
      <c r="A737" s="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="2" customFormat="true" ht="25.5" hidden="false" customHeight="false" outlineLevel="0" collapsed="false">
      <c r="A738" s="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="2" customFormat="true" ht="25.5" hidden="false" customHeight="false" outlineLevel="0" collapsed="false">
      <c r="A739" s="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="2" customFormat="true" ht="25.5" hidden="false" customHeight="false" outlineLevel="0" collapsed="false">
      <c r="A740" s="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="2" customFormat="true" ht="25.5" hidden="false" customHeight="false" outlineLevel="0" collapsed="false">
      <c r="A741" s="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="2" customFormat="true" ht="25.5" hidden="false" customHeight="false" outlineLevel="0" collapsed="false">
      <c r="A742" s="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="2" customFormat="true" ht="25.5" hidden="false" customHeight="false" outlineLevel="0" collapsed="false">
      <c r="A743" s="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="2" customFormat="true" ht="25.5" hidden="false" customHeight="false" outlineLevel="0" collapsed="false">
      <c r="A744" s="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="2" customFormat="true" ht="25.5" hidden="false" customHeight="false" outlineLevel="0" collapsed="false">
      <c r="A745" s="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="2" customFormat="true" ht="25.5" hidden="false" customHeight="false" outlineLevel="0" collapsed="false">
      <c r="A746" s="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="2" customFormat="true" ht="25.5" hidden="false" customHeight="false" outlineLevel="0" collapsed="false">
      <c r="A747" s="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="2" customFormat="true" ht="25.5" hidden="false" customHeight="false" outlineLevel="0" collapsed="false">
      <c r="A748" s="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="2" customFormat="true" ht="25.5" hidden="false" customHeight="false" outlineLevel="0" collapsed="false">
      <c r="A749" s="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="2" customFormat="true" ht="25.5" hidden="false" customHeight="false" outlineLevel="0" collapsed="false">
      <c r="A750" s="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="2" customFormat="true" ht="25.5" hidden="false" customHeight="false" outlineLevel="0" collapsed="false">
      <c r="A751" s="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="2" customFormat="true" ht="25.5" hidden="false" customHeight="false" outlineLevel="0" collapsed="false">
      <c r="A752" s="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="2" customFormat="true" ht="25.5" hidden="false" customHeight="false" outlineLevel="0" collapsed="false">
      <c r="A753" s="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="2" customFormat="true" ht="25.5" hidden="false" customHeight="false" outlineLevel="0" collapsed="false">
      <c r="A754" s="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="2" customFormat="true" ht="25.5" hidden="false" customHeight="false" outlineLevel="0" collapsed="false">
      <c r="A755" s="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="2" customFormat="true" ht="25.5" hidden="false" customHeight="false" outlineLevel="0" collapsed="false">
      <c r="A756" s="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="2" customFormat="true" ht="25.5" hidden="false" customHeight="false" outlineLevel="0" collapsed="false">
      <c r="A757" s="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="2" customFormat="true" ht="25.5" hidden="false" customHeight="false" outlineLevel="0" collapsed="false">
      <c r="A758" s="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="2" customFormat="true" ht="25.5" hidden="false" customHeight="false" outlineLevel="0" collapsed="false">
      <c r="A759" s="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="2" customFormat="true" ht="25.5" hidden="false" customHeight="false" outlineLevel="0" collapsed="false">
      <c r="A760" s="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="2" customFormat="true" ht="25.5" hidden="false" customHeight="false" outlineLevel="0" collapsed="false">
      <c r="A761" s="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="2" customFormat="true" ht="25.5" hidden="false" customHeight="false" outlineLevel="0" collapsed="false">
      <c r="A762" s="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="2" customFormat="true" ht="25.5" hidden="false" customHeight="false" outlineLevel="0" collapsed="false">
      <c r="A763" s="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="2" customFormat="true" ht="25.5" hidden="false" customHeight="false" outlineLevel="0" collapsed="false">
      <c r="A764" s="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="2" customFormat="true" ht="25.5" hidden="false" customHeight="false" outlineLevel="0" collapsed="false">
      <c r="A765" s="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="2" customFormat="true" ht="25.5" hidden="false" customHeight="false" outlineLevel="0" collapsed="false">
      <c r="A766" s="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="2" customFormat="true" ht="25.5" hidden="false" customHeight="false" outlineLevel="0" collapsed="false">
      <c r="A767" s="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="2" customFormat="true" ht="25.5" hidden="false" customHeight="false" outlineLevel="0" collapsed="false">
      <c r="A768" s="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="2" customFormat="true" ht="25.5" hidden="false" customHeight="false" outlineLevel="0" collapsed="false">
      <c r="A769" s="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="2" customFormat="true" ht="25.5" hidden="false" customHeight="false" outlineLevel="0" collapsed="false">
      <c r="A770" s="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="2" customFormat="true" ht="25.5" hidden="false" customHeight="false" outlineLevel="0" collapsed="false">
      <c r="A771" s="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="2" customFormat="true" ht="25.5" hidden="false" customHeight="false" outlineLevel="0" collapsed="false">
      <c r="A772" s="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="2" customFormat="true" ht="25.5" hidden="false" customHeight="false" outlineLevel="0" collapsed="false">
      <c r="A773" s="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="2" customFormat="true" ht="25.5" hidden="false" customHeight="false" outlineLevel="0" collapsed="false">
      <c r="A774" s="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="2" customFormat="true" ht="25.5" hidden="false" customHeight="false" outlineLevel="0" collapsed="false">
      <c r="A775" s="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="2" customFormat="true" ht="25.5" hidden="false" customHeight="false" outlineLevel="0" collapsed="false">
      <c r="A776" s="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="2" customFormat="true" ht="25.5" hidden="false" customHeight="false" outlineLevel="0" collapsed="false">
      <c r="A777" s="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="2" customFormat="true" ht="25.5" hidden="false" customHeight="false" outlineLevel="0" collapsed="false">
      <c r="A778" s="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="2" customFormat="true" ht="25.5" hidden="false" customHeight="false" outlineLevel="0" collapsed="false">
      <c r="A779" s="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="2" customFormat="true" ht="25.5" hidden="false" customHeight="false" outlineLevel="0" collapsed="false">
      <c r="A780" s="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="2" customFormat="true" ht="25.5" hidden="false" customHeight="false" outlineLevel="0" collapsed="false">
      <c r="A781" s="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="2" customFormat="true" ht="25.5" hidden="false" customHeight="false" outlineLevel="0" collapsed="false">
      <c r="A782" s="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="2" customFormat="true" ht="25.5" hidden="false" customHeight="false" outlineLevel="0" collapsed="false">
      <c r="A783" s="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="2" customFormat="true" ht="25.5" hidden="false" customHeight="false" outlineLevel="0" collapsed="false">
      <c r="A784" s="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="2" customFormat="true" ht="25.5" hidden="false" customHeight="false" outlineLevel="0" collapsed="false">
      <c r="A785" s="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="2" customFormat="true" ht="25.5" hidden="false" customHeight="false" outlineLevel="0" collapsed="false">
      <c r="A786" s="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="2" customFormat="true" ht="25.5" hidden="false" customHeight="false" outlineLevel="0" collapsed="false">
      <c r="A787" s="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="2" customFormat="true" ht="25.5" hidden="false" customHeight="false" outlineLevel="0" collapsed="false">
      <c r="A788" s="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="2" customFormat="true" ht="25.5" hidden="false" customHeight="false" outlineLevel="0" collapsed="false">
      <c r="A789" s="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="2" customFormat="true" ht="25.5" hidden="false" customHeight="false" outlineLevel="0" collapsed="false">
      <c r="A790" s="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="2" customFormat="true" ht="25.5" hidden="false" customHeight="false" outlineLevel="0" collapsed="false">
      <c r="A791" s="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="2" customFormat="true" ht="25.5" hidden="false" customHeight="false" outlineLevel="0" collapsed="false">
      <c r="A792" s="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="2" customFormat="true" ht="25.5" hidden="false" customHeight="false" outlineLevel="0" collapsed="false">
      <c r="A793" s="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="2" customFormat="true" ht="25.5" hidden="false" customHeight="false" outlineLevel="0" collapsed="false">
      <c r="A794" s="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="2" customFormat="true" ht="25.5" hidden="false" customHeight="false" outlineLevel="0" collapsed="false">
      <c r="A795" s="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="2" customFormat="true" ht="25.5" hidden="false" customHeight="false" outlineLevel="0" collapsed="false">
      <c r="A796" s="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="2" customFormat="true" ht="25.5" hidden="false" customHeight="false" outlineLevel="0" collapsed="false">
      <c r="A797" s="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="2" customFormat="true" ht="25.5" hidden="false" customHeight="false" outlineLevel="0" collapsed="false">
      <c r="A798" s="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="2" customFormat="true" ht="25.5" hidden="false" customHeight="false" outlineLevel="0" collapsed="false">
      <c r="A799" s="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="2" customFormat="true" ht="25.5" hidden="false" customHeight="false" outlineLevel="0" collapsed="false">
      <c r="A800" s="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="2" customFormat="true" ht="25.5" hidden="false" customHeight="false" outlineLevel="0" collapsed="false">
      <c r="A801" s="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="2" customFormat="true" ht="25.5" hidden="false" customHeight="false" outlineLevel="0" collapsed="false">
      <c r="A802" s="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="2" customFormat="true" ht="25.5" hidden="false" customHeight="false" outlineLevel="0" collapsed="false">
      <c r="A803" s="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="2" customFormat="true" ht="25.5" hidden="false" customHeight="false" outlineLevel="0" collapsed="false">
      <c r="A804" s="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="2" customFormat="true" ht="25.5" hidden="false" customHeight="false" outlineLevel="0" collapsed="false">
      <c r="A805" s="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="2" customFormat="true" ht="25.5" hidden="false" customHeight="false" outlineLevel="0" collapsed="false">
      <c r="A806" s="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="2" customFormat="true" ht="25.5" hidden="false" customHeight="false" outlineLevel="0" collapsed="false">
      <c r="A807" s="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="2" customFormat="true" ht="25.5" hidden="false" customHeight="false" outlineLevel="0" collapsed="false">
      <c r="A808" s="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="2" customFormat="true" ht="25.5" hidden="false" customHeight="false" outlineLevel="0" collapsed="false">
      <c r="A809" s="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="2" customFormat="true" ht="25.5" hidden="false" customHeight="false" outlineLevel="0" collapsed="false">
      <c r="A810" s="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="2" customFormat="true" ht="25.5" hidden="false" customHeight="false" outlineLevel="0" collapsed="false">
      <c r="A811" s="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="2" customFormat="true" ht="25.5" hidden="false" customHeight="false" outlineLevel="0" collapsed="false">
      <c r="A812" s="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="2" customFormat="true" ht="25.5" hidden="false" customHeight="false" outlineLevel="0" collapsed="false">
      <c r="A813" s="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="2" customFormat="true" ht="25.5" hidden="false" customHeight="false" outlineLevel="0" collapsed="false">
      <c r="A814" s="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="2" customFormat="true" ht="25.5" hidden="false" customHeight="false" outlineLevel="0" collapsed="false">
      <c r="A815" s="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="2" customFormat="true" ht="25.5" hidden="false" customHeight="false" outlineLevel="0" collapsed="false">
      <c r="A816" s="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="2" customFormat="true" ht="25.5" hidden="false" customHeight="false" outlineLevel="0" collapsed="false">
      <c r="A817" s="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="2" customFormat="true" ht="25.5" hidden="false" customHeight="false" outlineLevel="0" collapsed="false">
      <c r="A818" s="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="2" customFormat="true" ht="25.5" hidden="false" customHeight="false" outlineLevel="0" collapsed="false">
      <c r="A819" s="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="2" customFormat="true" ht="25.5" hidden="false" customHeight="false" outlineLevel="0" collapsed="false">
      <c r="A820" s="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="2" customFormat="true" ht="25.5" hidden="false" customHeight="false" outlineLevel="0" collapsed="false">
      <c r="A821" s="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="2" customFormat="true" ht="25.5" hidden="false" customHeight="false" outlineLevel="0" collapsed="false">
      <c r="A822" s="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="2" customFormat="true" ht="25.5" hidden="false" customHeight="false" outlineLevel="0" collapsed="false">
      <c r="A823" s="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="2" customFormat="true" ht="25.5" hidden="false" customHeight="false" outlineLevel="0" collapsed="false">
      <c r="A824" s="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="2" customFormat="true" ht="25.5" hidden="false" customHeight="false" outlineLevel="0" collapsed="false">
      <c r="A825" s="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="2" customFormat="true" ht="25.5" hidden="false" customHeight="false" outlineLevel="0" collapsed="false">
      <c r="A826" s="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="2" customFormat="true" ht="25.5" hidden="false" customHeight="false" outlineLevel="0" collapsed="false">
      <c r="A827" s="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="2" customFormat="true" ht="25.5" hidden="false" customHeight="false" outlineLevel="0" collapsed="false">
      <c r="A828" s="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="2" customFormat="true" ht="25.5" hidden="false" customHeight="false" outlineLevel="0" collapsed="false">
      <c r="A829" s="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="2" customFormat="true" ht="25.5" hidden="false" customHeight="false" outlineLevel="0" collapsed="false">
      <c r="A830" s="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="2" customFormat="true" ht="25.5" hidden="false" customHeight="false" outlineLevel="0" collapsed="false">
      <c r="A831" s="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="2" customFormat="true" ht="25.5" hidden="false" customHeight="false" outlineLevel="0" collapsed="false">
      <c r="A832" s="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="2" customFormat="true" ht="25.5" hidden="false" customHeight="false" outlineLevel="0" collapsed="false">
      <c r="A833" s="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="2" customFormat="true" ht="25.5" hidden="false" customHeight="false" outlineLevel="0" collapsed="false">
      <c r="A834" s="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="2" customFormat="true" ht="25.5" hidden="false" customHeight="false" outlineLevel="0" collapsed="false">
      <c r="A835" s="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="2" customFormat="true" ht="25.5" hidden="false" customHeight="false" outlineLevel="0" collapsed="false">
      <c r="A836" s="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="2" customFormat="true" ht="25.5" hidden="false" customHeight="false" outlineLevel="0" collapsed="false">
      <c r="A837" s="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="2" customFormat="true" ht="25.5" hidden="false" customHeight="false" outlineLevel="0" collapsed="false">
      <c r="A838" s="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="2" customFormat="true" ht="25.5" hidden="false" customHeight="false" outlineLevel="0" collapsed="false">
      <c r="A839" s="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="2" customFormat="true" ht="25.5" hidden="false" customHeight="false" outlineLevel="0" collapsed="false">
      <c r="A840" s="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="2" customFormat="true" ht="25.5" hidden="false" customHeight="false" outlineLevel="0" collapsed="false">
      <c r="A841" s="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="2" customFormat="true" ht="25.5" hidden="false" customHeight="false" outlineLevel="0" collapsed="false">
      <c r="A842" s="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="2" customFormat="true" ht="25.5" hidden="false" customHeight="false" outlineLevel="0" collapsed="false">
      <c r="A843" s="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="2" customFormat="true" ht="25.5" hidden="false" customHeight="false" outlineLevel="0" collapsed="false">
      <c r="A844" s="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="2" customFormat="true" ht="25.5" hidden="false" customHeight="false" outlineLevel="0" collapsed="false">
      <c r="A845" s="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="2" customFormat="true" ht="25.5" hidden="false" customHeight="false" outlineLevel="0" collapsed="false">
      <c r="A846" s="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="2" customFormat="true" ht="25.5" hidden="false" customHeight="false" outlineLevel="0" collapsed="false">
      <c r="A847" s="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="2" customFormat="true" ht="25.5" hidden="false" customHeight="false" outlineLevel="0" collapsed="false">
      <c r="A848" s="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="2" customFormat="true" ht="25.5" hidden="false" customHeight="false" outlineLevel="0" collapsed="false">
      <c r="A849" s="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="2" customFormat="true" ht="25.5" hidden="false" customHeight="false" outlineLevel="0" collapsed="false">
      <c r="A850" s="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="2" customFormat="true" ht="25.5" hidden="false" customHeight="false" outlineLevel="0" collapsed="false">
      <c r="A851" s="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="2" customFormat="true" ht="25.5" hidden="false" customHeight="false" outlineLevel="0" collapsed="false">
      <c r="A852" s="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="2" customFormat="true" ht="25.5" hidden="false" customHeight="false" outlineLevel="0" collapsed="false">
      <c r="A853" s="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="2" customFormat="true" ht="25.5" hidden="false" customHeight="false" outlineLevel="0" collapsed="false">
      <c r="A854" s="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="2" customFormat="true" ht="25.5" hidden="false" customHeight="false" outlineLevel="0" collapsed="false">
      <c r="A855" s="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="2" customFormat="true" ht="25.5" hidden="false" customHeight="false" outlineLevel="0" collapsed="false">
      <c r="A856" s="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="2" customFormat="true" ht="25.5" hidden="false" customHeight="false" outlineLevel="0" collapsed="false">
      <c r="A857" s="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="2" customFormat="true" ht="25.5" hidden="false" customHeight="false" outlineLevel="0" collapsed="false">
      <c r="A858" s="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="2" customFormat="true" ht="25.5" hidden="false" customHeight="false" outlineLevel="0" collapsed="false">
      <c r="A859" s="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="2" customFormat="true" ht="25.5" hidden="false" customHeight="false" outlineLevel="0" collapsed="false">
      <c r="A860" s="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="2" customFormat="true" ht="25.5" hidden="false" customHeight="false" outlineLevel="0" collapsed="false">
      <c r="A861" s="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="2" customFormat="true" ht="25.5" hidden="false" customHeight="false" outlineLevel="0" collapsed="false">
      <c r="A862" s="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="2" customFormat="true" ht="25.5" hidden="false" customHeight="false" outlineLevel="0" collapsed="false">
      <c r="A863" s="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="2" customFormat="true" ht="25.5" hidden="false" customHeight="false" outlineLevel="0" collapsed="false">
      <c r="A864" s="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="2" customFormat="true" ht="25.5" hidden="false" customHeight="false" outlineLevel="0" collapsed="false">
      <c r="A865" s="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="2" customFormat="true" ht="25.5" hidden="false" customHeight="false" outlineLevel="0" collapsed="false">
      <c r="A866" s="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="2" customFormat="true" ht="25.5" hidden="false" customHeight="false" outlineLevel="0" collapsed="false">
      <c r="A867" s="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="2" customFormat="true" ht="25.5" hidden="false" customHeight="false" outlineLevel="0" collapsed="false">
      <c r="A868" s="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="2" customFormat="true" ht="25.5" hidden="false" customHeight="false" outlineLevel="0" collapsed="false">
      <c r="A869" s="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="2" customFormat="true" ht="25.5" hidden="false" customHeight="false" outlineLevel="0" collapsed="false">
      <c r="A870" s="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="2" customFormat="true" ht="25.5" hidden="false" customHeight="false" outlineLevel="0" collapsed="false">
      <c r="A871" s="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="2" customFormat="true" ht="25.5" hidden="false" customHeight="false" outlineLevel="0" collapsed="false">
      <c r="A872" s="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="2" customFormat="true" ht="25.5" hidden="false" customHeight="false" outlineLevel="0" collapsed="false">
      <c r="A873" s="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="2" customFormat="true" ht="25.5" hidden="false" customHeight="false" outlineLevel="0" collapsed="false">
      <c r="A874" s="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="2" customFormat="true" ht="25.5" hidden="false" customHeight="false" outlineLevel="0" collapsed="false">
      <c r="A875" s="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="2" customFormat="true" ht="25.5" hidden="false" customHeight="false" outlineLevel="0" collapsed="false">
      <c r="A876" s="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="2" customFormat="true" ht="25.5" hidden="false" customHeight="false" outlineLevel="0" collapsed="false">
      <c r="A877" s="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="2" customFormat="true" ht="25.5" hidden="false" customHeight="false" outlineLevel="0" collapsed="false">
      <c r="A878" s="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="2" customFormat="true" ht="25.5" hidden="false" customHeight="false" outlineLevel="0" collapsed="false">
      <c r="A879" s="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="2" customFormat="true" ht="25.5" hidden="false" customHeight="false" outlineLevel="0" collapsed="false">
      <c r="A880" s="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="2" customFormat="true" ht="25.5" hidden="false" customHeight="false" outlineLevel="0" collapsed="false">
      <c r="A881" s="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="2" customFormat="true" ht="25.5" hidden="false" customHeight="false" outlineLevel="0" collapsed="false">
      <c r="A882" s="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="2" customFormat="true" ht="25.5" hidden="false" customHeight="false" outlineLevel="0" collapsed="false">
      <c r="A883" s="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="2" customFormat="true" ht="25.5" hidden="false" customHeight="false" outlineLevel="0" collapsed="false">
      <c r="A884" s="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="2" customFormat="true" ht="25.5" hidden="false" customHeight="false" outlineLevel="0" collapsed="false">
      <c r="A885" s="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="2" customFormat="true" ht="25.5" hidden="false" customHeight="false" outlineLevel="0" collapsed="false">
      <c r="A886" s="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="2" customFormat="true" ht="25.5" hidden="false" customHeight="false" outlineLevel="0" collapsed="false">
      <c r="A887" s="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="2" customFormat="true" ht="25.5" hidden="false" customHeight="false" outlineLevel="0" collapsed="false">
      <c r="A888" s="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="2" customFormat="true" ht="25.5" hidden="false" customHeight="false" outlineLevel="0" collapsed="false">
      <c r="A889" s="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="2" customFormat="true" ht="25.5" hidden="false" customHeight="false" outlineLevel="0" collapsed="false">
      <c r="A890" s="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="2" customFormat="true" ht="25.5" hidden="false" customHeight="false" outlineLevel="0" collapsed="false">
      <c r="A891" s="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="2" customFormat="true" ht="25.5" hidden="false" customHeight="false" outlineLevel="0" collapsed="false">
      <c r="A892" s="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="2" customFormat="true" ht="25.5" hidden="false" customHeight="false" outlineLevel="0" collapsed="false">
      <c r="A893" s="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="2" customFormat="true" ht="25.5" hidden="false" customHeight="false" outlineLevel="0" collapsed="false">
      <c r="A894" s="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="2" customFormat="true" ht="25.5" hidden="false" customHeight="false" outlineLevel="0" collapsed="false">
      <c r="A895" s="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="2" customFormat="true" ht="25.5" hidden="false" customHeight="false" outlineLevel="0" collapsed="false">
      <c r="A896" s="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="2" customFormat="true" ht="25.5" hidden="false" customHeight="false" outlineLevel="0" collapsed="false">
      <c r="A897" s="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="2" customFormat="true" ht="25.5" hidden="false" customHeight="false" outlineLevel="0" collapsed="false">
      <c r="A898" s="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="2" customFormat="true" ht="25.5" hidden="false" customHeight="false" outlineLevel="0" collapsed="false">
      <c r="A899" s="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="2" customFormat="true" ht="25.5" hidden="false" customHeight="false" outlineLevel="0" collapsed="false">
      <c r="A900" s="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="2" customFormat="true" ht="25.5" hidden="false" customHeight="false" outlineLevel="0" collapsed="false">
      <c r="A901" s="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="2" customFormat="true" ht="25.5" hidden="false" customHeight="false" outlineLevel="0" collapsed="false">
      <c r="A902" s="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="2" customFormat="true" ht="25.5" hidden="false" customHeight="false" outlineLevel="0" collapsed="false">
      <c r="A903" s="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="2" customFormat="true" ht="25.5" hidden="false" customHeight="false" outlineLevel="0" collapsed="false">
      <c r="A904" s="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="2" customFormat="true" ht="25.5" hidden="false" customHeight="false" outlineLevel="0" collapsed="false">
      <c r="A905" s="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="2" customFormat="true" ht="25.5" hidden="false" customHeight="false" outlineLevel="0" collapsed="false">
      <c r="A906" s="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="2" customFormat="true" ht="25.5" hidden="false" customHeight="false" outlineLevel="0" collapsed="false">
      <c r="A907" s="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="2" customFormat="true" ht="25.5" hidden="false" customHeight="false" outlineLevel="0" collapsed="false">
      <c r="A908" s="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="2" customFormat="true" ht="25.5" hidden="false" customHeight="false" outlineLevel="0" collapsed="false">
      <c r="A909" s="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="2" customFormat="true" ht="25.5" hidden="false" customHeight="false" outlineLevel="0" collapsed="false">
      <c r="A910" s="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="2" customFormat="true" ht="25.5" hidden="false" customHeight="false" outlineLevel="0" collapsed="false">
      <c r="A911" s="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="2" customFormat="true" ht="25.5" hidden="false" customHeight="false" outlineLevel="0" collapsed="false">
      <c r="A912" s="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="2" customFormat="true" ht="25.5" hidden="false" customHeight="false" outlineLevel="0" collapsed="false">
      <c r="A913" s="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="2" customFormat="true" ht="25.5" hidden="false" customHeight="false" outlineLevel="0" collapsed="false">
      <c r="A914" s="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="2" customFormat="true" ht="25.5" hidden="false" customHeight="false" outlineLevel="0" collapsed="false">
      <c r="A915" s="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="2" customFormat="true" ht="25.5" hidden="false" customHeight="false" outlineLevel="0" collapsed="false">
      <c r="A916" s="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="2" customFormat="true" ht="25.5" hidden="false" customHeight="false" outlineLevel="0" collapsed="false">
      <c r="A917" s="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="2" customFormat="true" ht="25.5" hidden="false" customHeight="false" outlineLevel="0" collapsed="false">
      <c r="A918" s="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="2" customFormat="true" ht="25.5" hidden="false" customHeight="false" outlineLevel="0" collapsed="false">
      <c r="A919" s="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="2" customFormat="true" ht="25.5" hidden="false" customHeight="false" outlineLevel="0" collapsed="false">
      <c r="A920" s="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="2" customFormat="true" ht="25.5" hidden="false" customHeight="false" outlineLevel="0" collapsed="false">
      <c r="A921" s="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="2" customFormat="true" ht="25.5" hidden="false" customHeight="false" outlineLevel="0" collapsed="false">
      <c r="A922" s="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="2" customFormat="true" ht="25.5" hidden="false" customHeight="false" outlineLevel="0" collapsed="false">
      <c r="A923" s="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="2" customFormat="true" ht="25.5" hidden="false" customHeight="false" outlineLevel="0" collapsed="false">
      <c r="A924" s="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="2" customFormat="true" ht="25.5" hidden="false" customHeight="false" outlineLevel="0" collapsed="false">
      <c r="A925" s="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="2" customFormat="true" ht="25.5" hidden="false" customHeight="false" outlineLevel="0" collapsed="false">
      <c r="A926" s="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="2" customFormat="true" ht="25.5" hidden="false" customHeight="false" outlineLevel="0" collapsed="false">
      <c r="A927" s="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="2" customFormat="true" ht="25.5" hidden="false" customHeight="false" outlineLevel="0" collapsed="false">
      <c r="A928" s="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="2" customFormat="true" ht="25.5" hidden="false" customHeight="false" outlineLevel="0" collapsed="false">
      <c r="A929" s="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="2" customFormat="true" ht="25.5" hidden="false" customHeight="false" outlineLevel="0" collapsed="false">
      <c r="A930" s="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="2" customFormat="true" ht="25.5" hidden="false" customHeight="false" outlineLevel="0" collapsed="false">
      <c r="A931" s="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="2" customFormat="true" ht="25.5" hidden="false" customHeight="false" outlineLevel="0" collapsed="false">
      <c r="A932" s="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="2" customFormat="true" ht="25.5" hidden="false" customHeight="false" outlineLevel="0" collapsed="false">
      <c r="A933" s="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="2" customFormat="true" ht="25.5" hidden="false" customHeight="false" outlineLevel="0" collapsed="false">
      <c r="A934" s="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="2" customFormat="true" ht="25.5" hidden="false" customHeight="false" outlineLevel="0" collapsed="false">
      <c r="A935" s="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="2" customFormat="true" ht="25.5" hidden="false" customHeight="false" outlineLevel="0" collapsed="false">
      <c r="A936" s="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="2" customFormat="true" ht="25.5" hidden="false" customHeight="false" outlineLevel="0" collapsed="false">
      <c r="A937" s="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="2" customFormat="true" ht="25.5" hidden="false" customHeight="false" outlineLevel="0" collapsed="false">
      <c r="A938" s="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="2" customFormat="true" ht="25.5" hidden="false" customHeight="false" outlineLevel="0" collapsed="false">
      <c r="A939" s="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="2" customFormat="true" ht="25.5" hidden="false" customHeight="false" outlineLevel="0" collapsed="false">
      <c r="A940" s="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="2" customFormat="true" ht="25.5" hidden="false" customHeight="false" outlineLevel="0" collapsed="false">
      <c r="A941" s="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="2" customFormat="true" ht="25.5" hidden="false" customHeight="false" outlineLevel="0" collapsed="false">
      <c r="A942" s="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="2" customFormat="true" ht="25.5" hidden="false" customHeight="false" outlineLevel="0" collapsed="false">
      <c r="A943" s="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="2" customFormat="true" ht="25.5" hidden="false" customHeight="false" outlineLevel="0" collapsed="false">
      <c r="A944" s="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="2" customFormat="true" ht="25.5" hidden="false" customHeight="false" outlineLevel="0" collapsed="false">
      <c r="A945" s="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="2" customFormat="true" ht="25.5" hidden="false" customHeight="false" outlineLevel="0" collapsed="false">
      <c r="A946" s="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="2" customFormat="true" ht="25.5" hidden="false" customHeight="false" outlineLevel="0" collapsed="false">
      <c r="A947" s="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="2" customFormat="true" ht="25.5" hidden="false" customHeight="false" outlineLevel="0" collapsed="false">
      <c r="A948" s="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="2" customFormat="true" ht="25.5" hidden="false" customHeight="false" outlineLevel="0" collapsed="false">
      <c r="A949" s="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="2" customFormat="true" ht="25.5" hidden="false" customHeight="false" outlineLevel="0" collapsed="false">
      <c r="A950" s="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="2" customFormat="true" ht="25.5" hidden="false" customHeight="false" outlineLevel="0" collapsed="false">
      <c r="A951" s="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="2" customFormat="true" ht="25.5" hidden="false" customHeight="false" outlineLevel="0" collapsed="false">
      <c r="A952" s="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="2" customFormat="true" ht="25.5" hidden="false" customHeight="false" outlineLevel="0" collapsed="false">
      <c r="A953" s="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="2" customFormat="true" ht="25.5" hidden="false" customHeight="false" outlineLevel="0" collapsed="false">
      <c r="A954" s="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="2" customFormat="true" ht="25.5" hidden="false" customHeight="false" outlineLevel="0" collapsed="false">
      <c r="A955" s="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="2" customFormat="true" ht="25.5" hidden="false" customHeight="false" outlineLevel="0" collapsed="false">
      <c r="A956" s="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="2" customFormat="true" ht="25.5" hidden="false" customHeight="false" outlineLevel="0" collapsed="false">
      <c r="A957" s="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="2" customFormat="true" ht="25.5" hidden="false" customHeight="false" outlineLevel="0" collapsed="false">
      <c r="A958" s="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="2" customFormat="true" ht="25.5" hidden="false" customHeight="false" outlineLevel="0" collapsed="false">
      <c r="A959" s="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="2" customFormat="true" ht="25.5" hidden="false" customHeight="false" outlineLevel="0" collapsed="false">
      <c r="A960" s="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="2" customFormat="true" ht="25.5" hidden="false" customHeight="false" outlineLevel="0" collapsed="false">
      <c r="A961" s="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="2" customFormat="true" ht="25.5" hidden="false" customHeight="false" outlineLevel="0" collapsed="false">
      <c r="A962" s="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="2" customFormat="true" ht="25.5" hidden="false" customHeight="false" outlineLevel="0" collapsed="false">
      <c r="A963" s="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="2" customFormat="true" ht="25.5" hidden="false" customHeight="false" outlineLevel="0" collapsed="false">
      <c r="A964" s="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="2" customFormat="true" ht="25.5" hidden="false" customHeight="false" outlineLevel="0" collapsed="false">
      <c r="A965" s="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="2" customFormat="true" ht="25.5" hidden="false" customHeight="false" outlineLevel="0" collapsed="false">
      <c r="A966" s="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="2" customFormat="true" ht="25.5" hidden="false" customHeight="false" outlineLevel="0" collapsed="false">
      <c r="A967" s="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="2" customFormat="true" ht="25.5" hidden="false" customHeight="false" outlineLevel="0" collapsed="false">
      <c r="A968" s="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="2" customFormat="true" ht="25.5" hidden="false" customHeight="false" outlineLevel="0" collapsed="false">
      <c r="A969" s="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="2" customFormat="true" ht="25.5" hidden="false" customHeight="false" outlineLevel="0" collapsed="false">
      <c r="A970" s="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="2" customFormat="true" ht="25.5" hidden="false" customHeight="false" outlineLevel="0" collapsed="false">
      <c r="A971" s="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="2" customFormat="true" ht="25.5" hidden="false" customHeight="false" outlineLevel="0" collapsed="false">
      <c r="A972" s="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="2" customFormat="true" ht="25.5" hidden="false" customHeight="false" outlineLevel="0" collapsed="false">
      <c r="A973" s="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="2" customFormat="true" ht="25.5" hidden="false" customHeight="false" outlineLevel="0" collapsed="false">
      <c r="A974" s="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="2" customFormat="true" ht="25.5" hidden="false" customHeight="false" outlineLevel="0" collapsed="false">
      <c r="A975" s="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="2" customFormat="true" ht="25.5" hidden="false" customHeight="false" outlineLevel="0" collapsed="false">
      <c r="A976" s="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="2" customFormat="true" ht="25.5" hidden="false" customHeight="false" outlineLevel="0" collapsed="false">
      <c r="A977" s="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="2" customFormat="true" ht="25.5" hidden="false" customHeight="false" outlineLevel="0" collapsed="false">
      <c r="A978" s="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="2" customFormat="true" ht="25.5" hidden="false" customHeight="false" outlineLevel="0" collapsed="false">
      <c r="A979" s="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="2" customFormat="true" ht="25.5" hidden="false" customHeight="false" outlineLevel="0" collapsed="false">
      <c r="A980" s="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="2" customFormat="true" ht="25.5" hidden="false" customHeight="false" outlineLevel="0" collapsed="false">
      <c r="A981" s="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="2" customFormat="true" ht="25.5" hidden="false" customHeight="false" outlineLevel="0" collapsed="false">
      <c r="A982" s="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="2" customFormat="true" ht="25.5" hidden="false" customHeight="false" outlineLevel="0" collapsed="false">
      <c r="A983" s="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="2" customFormat="true" ht="25.5" hidden="false" customHeight="false" outlineLevel="0" collapsed="false">
      <c r="A984" s="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="2" customFormat="true" ht="25.5" hidden="false" customHeight="false" outlineLevel="0" collapsed="false">
      <c r="A985" s="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="2" customFormat="true" ht="25.5" hidden="false" customHeight="false" outlineLevel="0" collapsed="false">
      <c r="A986" s="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="2" customFormat="true" ht="25.5" hidden="false" customHeight="false" outlineLevel="0" collapsed="false">
      <c r="A987" s="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="2" customFormat="true" ht="25.5" hidden="false" customHeight="false" outlineLevel="0" collapsed="false">
      <c r="A988" s="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="2" customFormat="true" ht="25.5" hidden="false" customHeight="false" outlineLevel="0" collapsed="false">
      <c r="A989" s="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="2" customFormat="true" ht="25.5" hidden="false" customHeight="false" outlineLevel="0" collapsed="false">
      <c r="A990" s="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="2" customFormat="true" ht="25.5" hidden="false" customHeight="false" outlineLevel="0" collapsed="false">
      <c r="A991" s="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="2" customFormat="true" ht="25.5" hidden="false" customHeight="false" outlineLevel="0" collapsed="false">
      <c r="A992" s="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="2" customFormat="true" ht="25.5" hidden="false" customHeight="false" outlineLevel="0" collapsed="false">
      <c r="A993" s="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="2" customFormat="true" ht="25.5" hidden="false" customHeight="false" outlineLevel="0" collapsed="false">
      <c r="A994" s="1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="2" customFormat="true" ht="25.5" hidden="false" customHeight="false" outlineLevel="0" collapsed="false">
      <c r="A995" s="1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="2" customFormat="true" ht="25.5" hidden="false" customHeight="false" outlineLevel="0" collapsed="false">
      <c r="A996" s="1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="2" customFormat="true" ht="25.5" hidden="false" customHeight="false" outlineLevel="0" collapsed="false">
      <c r="A997" s="1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="2" customFormat="true" ht="25.5" hidden="false" customHeight="false" outlineLevel="0" collapsed="false">
      <c r="A998" s="1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="2" customFormat="true" ht="25.5" hidden="false" customHeight="false" outlineLevel="0" collapsed="false">
      <c r="A999" s="1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="2" customFormat="true" ht="25.5" hidden="false" customHeight="false" outlineLevel="0" collapsed="false">
      <c r="A1000" s="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="2" customFormat="true" ht="25.5" hidden="false" customHeight="false" outlineLevel="0" collapsed="false">
      <c r="A1001" s="1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="2" customFormat="true" ht="25.5" hidden="false" customHeight="false" outlineLevel="0" collapsed="false">
      <c r="A1002" s="1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="2" customFormat="true" ht="25.5" hidden="false" customHeight="false" outlineLevel="0" collapsed="false">
      <c r="A1003" s="1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="2" customFormat="true" ht="25.5" hidden="false" customHeight="false" outlineLevel="0" collapsed="false">
      <c r="A1004" s="1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="2" customFormat="true" ht="25.5" hidden="false" customHeight="false" outlineLevel="0" collapsed="false">
      <c r="A1005" s="1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="2" customFormat="true" ht="25.5" hidden="false" customHeight="false" outlineLevel="0" collapsed="false">
      <c r="A1006" s="1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="2" customFormat="true" ht="25.5" hidden="false" customHeight="false" outlineLevel="0" collapsed="false">
      <c r="A1007" s="1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  <row r="1008" s="2" customFormat="true" ht="25.5" hidden="false" customHeight="false" outlineLevel="0" collapsed="false">
      <c r="A1008" s="1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</row>
    <row r="1009" s="2" customFormat="true" ht="25.5" hidden="false" customHeight="false" outlineLevel="0" collapsed="false">
      <c r="A1009" s="1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</row>
    <row r="1010" s="2" customFormat="true" ht="25.5" hidden="false" customHeight="false" outlineLevel="0" collapsed="false">
      <c r="A1010" s="1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</row>
    <row r="1011" s="2" customFormat="true" ht="25.5" hidden="false" customHeight="false" outlineLevel="0" collapsed="false">
      <c r="A1011" s="1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</row>
    <row r="1012" s="2" customFormat="true" ht="25.5" hidden="false" customHeight="false" outlineLevel="0" collapsed="false">
      <c r="A1012" s="1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</row>
    <row r="1013" s="2" customFormat="true" ht="25.5" hidden="false" customHeight="false" outlineLevel="0" collapsed="false">
      <c r="A1013" s="1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</row>
    <row r="1014" s="2" customFormat="true" ht="25.5" hidden="false" customHeight="false" outlineLevel="0" collapsed="false">
      <c r="A1014" s="1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</row>
    <row r="1015" s="2" customFormat="true" ht="25.5" hidden="false" customHeight="false" outlineLevel="0" collapsed="false">
      <c r="A1015" s="1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</row>
    <row r="1016" s="2" customFormat="true" ht="25.5" hidden="false" customHeight="false" outlineLevel="0" collapsed="false">
      <c r="A1016" s="1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</row>
    <row r="1017" s="2" customFormat="true" ht="25.5" hidden="false" customHeight="false" outlineLevel="0" collapsed="false">
      <c r="A1017" s="1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</row>
    <row r="1018" s="2" customFormat="true" ht="25.5" hidden="false" customHeight="false" outlineLevel="0" collapsed="false">
      <c r="A1018" s="1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</row>
    <row r="1019" s="2" customFormat="true" ht="25.5" hidden="false" customHeight="false" outlineLevel="0" collapsed="false">
      <c r="A1019" s="1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</row>
    <row r="1020" s="2" customFormat="true" ht="25.5" hidden="false" customHeight="false" outlineLevel="0" collapsed="false">
      <c r="A1020" s="1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</row>
    <row r="1021" s="2" customFormat="true" ht="25.5" hidden="false" customHeight="false" outlineLevel="0" collapsed="false">
      <c r="A1021" s="1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</row>
    <row r="1022" s="2" customFormat="true" ht="25.5" hidden="false" customHeight="false" outlineLevel="0" collapsed="false">
      <c r="A1022" s="1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</row>
    <row r="1023" s="2" customFormat="true" ht="25.5" hidden="false" customHeight="false" outlineLevel="0" collapsed="false">
      <c r="A1023" s="1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</row>
    <row r="1024" s="2" customFormat="true" ht="25.5" hidden="false" customHeight="false" outlineLevel="0" collapsed="false">
      <c r="A1024" s="1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</row>
    <row r="1025" s="2" customFormat="true" ht="25.5" hidden="false" customHeight="false" outlineLevel="0" collapsed="false">
      <c r="A1025" s="1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</row>
    <row r="1026" s="2" customFormat="true" ht="25.5" hidden="false" customHeight="false" outlineLevel="0" collapsed="false">
      <c r="A1026" s="1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</row>
    <row r="1027" s="2" customFormat="true" ht="25.5" hidden="false" customHeight="false" outlineLevel="0" collapsed="false">
      <c r="A1027" s="1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</row>
    <row r="1028" s="2" customFormat="true" ht="25.5" hidden="false" customHeight="false" outlineLevel="0" collapsed="false">
      <c r="A1028" s="1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</row>
    <row r="1029" s="2" customFormat="true" ht="25.5" hidden="false" customHeight="false" outlineLevel="0" collapsed="false">
      <c r="A1029" s="1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</row>
    <row r="1030" s="2" customFormat="true" ht="25.5" hidden="false" customHeight="false" outlineLevel="0" collapsed="false">
      <c r="A1030" s="1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</row>
    <row r="1031" s="2" customFormat="true" ht="25.5" hidden="false" customHeight="false" outlineLevel="0" collapsed="false">
      <c r="A1031" s="1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</row>
    <row r="1032" s="2" customFormat="true" ht="25.5" hidden="false" customHeight="false" outlineLevel="0" collapsed="false">
      <c r="A1032" s="1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</row>
    <row r="1033" s="2" customFormat="true" ht="25.5" hidden="false" customHeight="false" outlineLevel="0" collapsed="false">
      <c r="A1033" s="1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</row>
    <row r="1034" s="2" customFormat="true" ht="25.5" hidden="false" customHeight="false" outlineLevel="0" collapsed="false">
      <c r="A1034" s="1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</row>
    <row r="1035" s="2" customFormat="true" ht="25.5" hidden="false" customHeight="false" outlineLevel="0" collapsed="false">
      <c r="A1035" s="1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</row>
    <row r="1036" s="2" customFormat="true" ht="25.5" hidden="false" customHeight="false" outlineLevel="0" collapsed="false">
      <c r="A1036" s="1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</row>
    <row r="1037" s="2" customFormat="true" ht="25.5" hidden="false" customHeight="false" outlineLevel="0" collapsed="false">
      <c r="A1037" s="1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</row>
    <row r="1038" s="2" customFormat="true" ht="25.5" hidden="false" customHeight="false" outlineLevel="0" collapsed="false">
      <c r="A1038" s="1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</row>
    <row r="1039" s="2" customFormat="true" ht="25.5" hidden="false" customHeight="false" outlineLevel="0" collapsed="false">
      <c r="A1039" s="1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</row>
    <row r="1040" s="2" customFormat="true" ht="25.5" hidden="false" customHeight="false" outlineLevel="0" collapsed="false">
      <c r="A1040" s="1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</row>
    <row r="1041" s="2" customFormat="true" ht="25.5" hidden="false" customHeight="false" outlineLevel="0" collapsed="false">
      <c r="A1041" s="1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</row>
    <row r="1042" s="2" customFormat="true" ht="25.5" hidden="false" customHeight="false" outlineLevel="0" collapsed="false">
      <c r="A1042" s="1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</row>
    <row r="1043" s="2" customFormat="true" ht="25.5" hidden="false" customHeight="false" outlineLevel="0" collapsed="false">
      <c r="A1043" s="1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</row>
    <row r="1044" s="2" customFormat="true" ht="25.5" hidden="false" customHeight="false" outlineLevel="0" collapsed="false">
      <c r="A1044" s="1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</row>
    <row r="1045" s="2" customFormat="true" ht="25.5" hidden="false" customHeight="false" outlineLevel="0" collapsed="false">
      <c r="A1045" s="1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</row>
    <row r="1046" s="2" customFormat="true" ht="25.5" hidden="false" customHeight="false" outlineLevel="0" collapsed="false">
      <c r="A1046" s="1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</row>
    <row r="1047" s="2" customFormat="true" ht="25.5" hidden="false" customHeight="false" outlineLevel="0" collapsed="false">
      <c r="A1047" s="1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</row>
    <row r="1048" s="2" customFormat="true" ht="25.5" hidden="false" customHeight="false" outlineLevel="0" collapsed="false">
      <c r="A1048" s="1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</row>
    <row r="1049" s="2" customFormat="true" ht="25.5" hidden="false" customHeight="false" outlineLevel="0" collapsed="false">
      <c r="A1049" s="1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</row>
    <row r="1050" s="2" customFormat="true" ht="25.5" hidden="false" customHeight="false" outlineLevel="0" collapsed="false">
      <c r="A1050" s="1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</row>
    <row r="1051" s="2" customFormat="true" ht="25.5" hidden="false" customHeight="false" outlineLevel="0" collapsed="false">
      <c r="A1051" s="1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</row>
    <row r="1052" s="2" customFormat="true" ht="25.5" hidden="false" customHeight="false" outlineLevel="0" collapsed="false">
      <c r="A1052" s="1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</row>
    <row r="1053" s="2" customFormat="true" ht="25.5" hidden="false" customHeight="false" outlineLevel="0" collapsed="false">
      <c r="A1053" s="1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</row>
    <row r="1054" s="2" customFormat="true" ht="25.5" hidden="false" customHeight="false" outlineLevel="0" collapsed="false">
      <c r="A1054" s="1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</row>
    <row r="1055" s="2" customFormat="true" ht="25.5" hidden="false" customHeight="false" outlineLevel="0" collapsed="false">
      <c r="A1055" s="1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</row>
    <row r="1056" s="2" customFormat="true" ht="25.5" hidden="false" customHeight="false" outlineLevel="0" collapsed="false">
      <c r="A1056" s="1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</row>
    <row r="1057" s="2" customFormat="true" ht="25.5" hidden="false" customHeight="false" outlineLevel="0" collapsed="false">
      <c r="A1057" s="1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</row>
    <row r="1058" s="2" customFormat="true" ht="25.5" hidden="false" customHeight="false" outlineLevel="0" collapsed="false">
      <c r="A1058" s="1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</row>
    <row r="1059" s="2" customFormat="true" ht="25.5" hidden="false" customHeight="false" outlineLevel="0" collapsed="false">
      <c r="A1059" s="1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</row>
    <row r="1060" s="2" customFormat="true" ht="25.5" hidden="false" customHeight="false" outlineLevel="0" collapsed="false">
      <c r="A1060" s="1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</row>
    <row r="1061" s="2" customFormat="true" ht="25.5" hidden="false" customHeight="false" outlineLevel="0" collapsed="false">
      <c r="A1061" s="1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</row>
    <row r="1062" s="2" customFormat="true" ht="25.5" hidden="false" customHeight="false" outlineLevel="0" collapsed="false">
      <c r="A1062" s="1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</row>
    <row r="1063" s="2" customFormat="true" ht="25.5" hidden="false" customHeight="false" outlineLevel="0" collapsed="false">
      <c r="A1063" s="1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</row>
    <row r="1064" s="2" customFormat="true" ht="25.5" hidden="false" customHeight="false" outlineLevel="0" collapsed="false">
      <c r="A1064" s="1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</row>
    <row r="1065" s="2" customFormat="true" ht="25.5" hidden="false" customHeight="false" outlineLevel="0" collapsed="false">
      <c r="A1065" s="1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</row>
    <row r="1066" s="2" customFormat="true" ht="25.5" hidden="false" customHeight="false" outlineLevel="0" collapsed="false">
      <c r="A1066" s="1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</row>
    <row r="1067" s="2" customFormat="true" ht="25.5" hidden="false" customHeight="false" outlineLevel="0" collapsed="false">
      <c r="A1067" s="1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</row>
    <row r="1068" s="2" customFormat="true" ht="25.5" hidden="false" customHeight="false" outlineLevel="0" collapsed="false">
      <c r="A1068" s="1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</row>
    <row r="1069" s="2" customFormat="true" ht="25.5" hidden="false" customHeight="false" outlineLevel="0" collapsed="false">
      <c r="A1069" s="1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</row>
    <row r="1070" s="2" customFormat="true" ht="25.5" hidden="false" customHeight="false" outlineLevel="0" collapsed="false">
      <c r="A1070" s="1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</row>
    <row r="1071" s="2" customFormat="true" ht="25.5" hidden="false" customHeight="false" outlineLevel="0" collapsed="false">
      <c r="A1071" s="1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</row>
    <row r="1072" s="2" customFormat="true" ht="25.5" hidden="false" customHeight="false" outlineLevel="0" collapsed="false">
      <c r="A1072" s="1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</row>
    <row r="1073" s="2" customFormat="true" ht="25.5" hidden="false" customHeight="false" outlineLevel="0" collapsed="false">
      <c r="A1073" s="1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</row>
    <row r="1074" s="2" customFormat="true" ht="25.5" hidden="false" customHeight="false" outlineLevel="0" collapsed="false">
      <c r="A1074" s="1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</row>
    <row r="1075" s="2" customFormat="true" ht="25.5" hidden="false" customHeight="false" outlineLevel="0" collapsed="false">
      <c r="A1075" s="1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</row>
    <row r="1076" s="2" customFormat="true" ht="25.5" hidden="false" customHeight="false" outlineLevel="0" collapsed="false">
      <c r="A1076" s="1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</row>
    <row r="1077" s="2" customFormat="true" ht="25.5" hidden="false" customHeight="false" outlineLevel="0" collapsed="false">
      <c r="A1077" s="1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</row>
    <row r="1078" s="2" customFormat="true" ht="25.5" hidden="false" customHeight="false" outlineLevel="0" collapsed="false">
      <c r="A1078" s="1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</row>
    <row r="1079" s="2" customFormat="true" ht="25.5" hidden="false" customHeight="false" outlineLevel="0" collapsed="false">
      <c r="A1079" s="1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</row>
    <row r="1080" s="2" customFormat="true" ht="25.5" hidden="false" customHeight="false" outlineLevel="0" collapsed="false">
      <c r="A1080" s="1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</row>
    <row r="1081" s="2" customFormat="true" ht="25.5" hidden="false" customHeight="false" outlineLevel="0" collapsed="false">
      <c r="A1081" s="1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</row>
    <row r="1082" s="2" customFormat="true" ht="25.5" hidden="false" customHeight="false" outlineLevel="0" collapsed="false">
      <c r="A1082" s="1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</row>
    <row r="1083" s="2" customFormat="true" ht="25.5" hidden="false" customHeight="false" outlineLevel="0" collapsed="false">
      <c r="A1083" s="1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</row>
    <row r="1084" s="2" customFormat="true" ht="25.5" hidden="false" customHeight="false" outlineLevel="0" collapsed="false">
      <c r="A1084" s="1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</row>
    <row r="1085" s="2" customFormat="true" ht="25.5" hidden="false" customHeight="false" outlineLevel="0" collapsed="false">
      <c r="A1085" s="1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</row>
    <row r="1086" s="2" customFormat="true" ht="25.5" hidden="false" customHeight="false" outlineLevel="0" collapsed="false">
      <c r="A1086" s="1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</row>
    <row r="1087" s="2" customFormat="true" ht="25.5" hidden="false" customHeight="false" outlineLevel="0" collapsed="false">
      <c r="A1087" s="1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</row>
    <row r="1088" s="2" customFormat="true" ht="25.5" hidden="false" customHeight="false" outlineLevel="0" collapsed="false">
      <c r="A1088" s="1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</row>
    <row r="1089" s="2" customFormat="true" ht="25.5" hidden="false" customHeight="false" outlineLevel="0" collapsed="false">
      <c r="A1089" s="1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</row>
    <row r="1090" s="2" customFormat="true" ht="25.5" hidden="false" customHeight="false" outlineLevel="0" collapsed="false">
      <c r="A1090" s="1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</row>
    <row r="1091" s="2" customFormat="true" ht="25.5" hidden="false" customHeight="false" outlineLevel="0" collapsed="false">
      <c r="A1091" s="1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</row>
    <row r="1092" s="2" customFormat="true" ht="25.5" hidden="false" customHeight="false" outlineLevel="0" collapsed="false">
      <c r="A1092" s="1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</row>
    <row r="1093" s="2" customFormat="true" ht="25.5" hidden="false" customHeight="false" outlineLevel="0" collapsed="false">
      <c r="A1093" s="1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</row>
    <row r="1094" s="2" customFormat="true" ht="25.5" hidden="false" customHeight="false" outlineLevel="0" collapsed="false">
      <c r="A1094" s="1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</row>
    <row r="1095" s="2" customFormat="true" ht="25.5" hidden="false" customHeight="false" outlineLevel="0" collapsed="false">
      <c r="A1095" s="1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</row>
    <row r="1096" s="2" customFormat="true" ht="25.5" hidden="false" customHeight="false" outlineLevel="0" collapsed="false">
      <c r="A1096" s="1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</row>
    <row r="1097" s="2" customFormat="true" ht="25.5" hidden="false" customHeight="false" outlineLevel="0" collapsed="false">
      <c r="A1097" s="1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</row>
    <row r="1098" s="2" customFormat="true" ht="25.5" hidden="false" customHeight="false" outlineLevel="0" collapsed="false">
      <c r="A1098" s="1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</row>
    <row r="1099" s="2" customFormat="true" ht="25.5" hidden="false" customHeight="false" outlineLevel="0" collapsed="false">
      <c r="A1099" s="1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</row>
    <row r="1100" s="2" customFormat="true" ht="25.5" hidden="false" customHeight="false" outlineLevel="0" collapsed="false">
      <c r="A1100" s="1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</row>
    <row r="1101" s="2" customFormat="true" ht="25.5" hidden="false" customHeight="false" outlineLevel="0" collapsed="false">
      <c r="A1101" s="1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</row>
    <row r="1102" s="2" customFormat="true" ht="25.5" hidden="false" customHeight="false" outlineLevel="0" collapsed="false">
      <c r="A1102" s="1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</row>
    <row r="1103" s="2" customFormat="true" ht="25.5" hidden="false" customHeight="false" outlineLevel="0" collapsed="false">
      <c r="A1103" s="1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</row>
    <row r="1104" s="2" customFormat="true" ht="25.5" hidden="false" customHeight="false" outlineLevel="0" collapsed="false">
      <c r="A1104" s="1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</row>
    <row r="1105" s="2" customFormat="true" ht="25.5" hidden="false" customHeight="false" outlineLevel="0" collapsed="false">
      <c r="A1105" s="1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</row>
    <row r="1106" s="2" customFormat="true" ht="25.5" hidden="false" customHeight="false" outlineLevel="0" collapsed="false">
      <c r="A1106" s="1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</row>
    <row r="1107" s="2" customFormat="true" ht="25.5" hidden="false" customHeight="false" outlineLevel="0" collapsed="false">
      <c r="A1107" s="1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</row>
    <row r="1108" s="2" customFormat="true" ht="25.5" hidden="false" customHeight="false" outlineLevel="0" collapsed="false">
      <c r="A1108" s="1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</row>
    <row r="1109" s="2" customFormat="true" ht="25.5" hidden="false" customHeight="false" outlineLevel="0" collapsed="false">
      <c r="A1109" s="1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</row>
    <row r="1110" s="2" customFormat="true" ht="25.5" hidden="false" customHeight="false" outlineLevel="0" collapsed="false">
      <c r="A1110" s="1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</row>
    <row r="1111" s="2" customFormat="true" ht="25.5" hidden="false" customHeight="false" outlineLevel="0" collapsed="false">
      <c r="A1111" s="1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</row>
    <row r="1112" s="2" customFormat="true" ht="25.5" hidden="false" customHeight="false" outlineLevel="0" collapsed="false">
      <c r="A1112" s="1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</row>
    <row r="1113" s="2" customFormat="true" ht="25.5" hidden="false" customHeight="false" outlineLevel="0" collapsed="false">
      <c r="A1113" s="1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</row>
    <row r="1114" s="2" customFormat="true" ht="25.5" hidden="false" customHeight="false" outlineLevel="0" collapsed="false">
      <c r="A1114" s="1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</row>
    <row r="1115" s="2" customFormat="true" ht="25.5" hidden="false" customHeight="false" outlineLevel="0" collapsed="false">
      <c r="A1115" s="1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</row>
    <row r="1116" s="2" customFormat="true" ht="25.5" hidden="false" customHeight="false" outlineLevel="0" collapsed="false">
      <c r="A1116" s="1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</row>
    <row r="1117" s="2" customFormat="true" ht="25.5" hidden="false" customHeight="false" outlineLevel="0" collapsed="false">
      <c r="A1117" s="1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</row>
    <row r="1118" s="2" customFormat="true" ht="25.5" hidden="false" customHeight="false" outlineLevel="0" collapsed="false">
      <c r="A1118" s="1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</row>
    <row r="1119" s="2" customFormat="true" ht="25.5" hidden="false" customHeight="false" outlineLevel="0" collapsed="false">
      <c r="A1119" s="1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</row>
    <row r="1120" s="2" customFormat="true" ht="25.5" hidden="false" customHeight="false" outlineLevel="0" collapsed="false">
      <c r="A1120" s="1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</row>
    <row r="1121" s="2" customFormat="true" ht="25.5" hidden="false" customHeight="false" outlineLevel="0" collapsed="false">
      <c r="A1121" s="1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</row>
    <row r="1122" s="2" customFormat="true" ht="25.5" hidden="false" customHeight="false" outlineLevel="0" collapsed="false">
      <c r="A1122" s="1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</row>
    <row r="1123" s="2" customFormat="true" ht="25.5" hidden="false" customHeight="false" outlineLevel="0" collapsed="false">
      <c r="A1123" s="1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</row>
    <row r="1124" s="2" customFormat="true" ht="25.5" hidden="false" customHeight="false" outlineLevel="0" collapsed="false">
      <c r="A1124" s="1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</row>
    <row r="1125" s="2" customFormat="true" ht="25.5" hidden="false" customHeight="false" outlineLevel="0" collapsed="false">
      <c r="A1125" s="1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</row>
    <row r="1126" s="2" customFormat="true" ht="25.5" hidden="false" customHeight="false" outlineLevel="0" collapsed="false">
      <c r="A1126" s="1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</row>
    <row r="1127" s="2" customFormat="true" ht="25.5" hidden="false" customHeight="false" outlineLevel="0" collapsed="false">
      <c r="A1127" s="1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</row>
    <row r="1128" s="2" customFormat="true" ht="25.5" hidden="false" customHeight="false" outlineLevel="0" collapsed="false">
      <c r="A1128" s="1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</row>
    <row r="1129" s="2" customFormat="true" ht="25.5" hidden="false" customHeight="false" outlineLevel="0" collapsed="false">
      <c r="A1129" s="1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</row>
    <row r="1130" s="2" customFormat="true" ht="25.5" hidden="false" customHeight="false" outlineLevel="0" collapsed="false">
      <c r="A1130" s="1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</row>
    <row r="1131" s="2" customFormat="true" ht="25.5" hidden="false" customHeight="false" outlineLevel="0" collapsed="false">
      <c r="A1131" s="1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</row>
    <row r="1132" s="2" customFormat="true" ht="25.5" hidden="false" customHeight="false" outlineLevel="0" collapsed="false">
      <c r="A1132" s="1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</row>
    <row r="1133" s="2" customFormat="true" ht="25.5" hidden="false" customHeight="false" outlineLevel="0" collapsed="false">
      <c r="A1133" s="1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</row>
    <row r="1134" s="2" customFormat="true" ht="25.5" hidden="false" customHeight="false" outlineLevel="0" collapsed="false">
      <c r="A1134" s="1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</row>
    <row r="1135" s="2" customFormat="true" ht="25.5" hidden="false" customHeight="false" outlineLevel="0" collapsed="false">
      <c r="A1135" s="1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</row>
    <row r="1136" s="2" customFormat="true" ht="25.5" hidden="false" customHeight="false" outlineLevel="0" collapsed="false">
      <c r="A1136" s="1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</row>
    <row r="1137" s="2" customFormat="true" ht="25.5" hidden="false" customHeight="false" outlineLevel="0" collapsed="false">
      <c r="A1137" s="1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</row>
    <row r="1138" s="2" customFormat="true" ht="25.5" hidden="false" customHeight="false" outlineLevel="0" collapsed="false">
      <c r="A1138" s="1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</row>
    <row r="1139" s="2" customFormat="true" ht="25.5" hidden="false" customHeight="false" outlineLevel="0" collapsed="false">
      <c r="A1139" s="1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</row>
    <row r="1140" s="2" customFormat="true" ht="25.5" hidden="false" customHeight="false" outlineLevel="0" collapsed="false">
      <c r="A1140" s="1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</row>
    <row r="1141" s="2" customFormat="true" ht="25.5" hidden="false" customHeight="false" outlineLevel="0" collapsed="false">
      <c r="A1141" s="1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</row>
    <row r="1142" s="2" customFormat="true" ht="25.5" hidden="false" customHeight="false" outlineLevel="0" collapsed="false">
      <c r="A1142" s="1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</row>
    <row r="1143" s="2" customFormat="true" ht="25.5" hidden="false" customHeight="false" outlineLevel="0" collapsed="false">
      <c r="A1143" s="1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</row>
    <row r="1144" s="2" customFormat="true" ht="25.5" hidden="false" customHeight="false" outlineLevel="0" collapsed="false">
      <c r="A1144" s="1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</row>
    <row r="1145" s="2" customFormat="true" ht="25.5" hidden="false" customHeight="false" outlineLevel="0" collapsed="false">
      <c r="A1145" s="1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</row>
    <row r="1146" s="2" customFormat="true" ht="25.5" hidden="false" customHeight="false" outlineLevel="0" collapsed="false">
      <c r="A1146" s="1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</row>
    <row r="1147" s="2" customFormat="true" ht="25.5" hidden="false" customHeight="false" outlineLevel="0" collapsed="false">
      <c r="A1147" s="1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</row>
    <row r="1148" s="2" customFormat="true" ht="25.5" hidden="false" customHeight="false" outlineLevel="0" collapsed="false">
      <c r="A1148" s="1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</row>
    <row r="1149" s="2" customFormat="true" ht="25.5" hidden="false" customHeight="false" outlineLevel="0" collapsed="false">
      <c r="A1149" s="1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</row>
    <row r="1150" s="2" customFormat="true" ht="25.5" hidden="false" customHeight="false" outlineLevel="0" collapsed="false">
      <c r="A1150" s="1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</row>
    <row r="1151" s="2" customFormat="true" ht="25.5" hidden="false" customHeight="false" outlineLevel="0" collapsed="false">
      <c r="A1151" s="1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</row>
    <row r="1152" s="2" customFormat="true" ht="25.5" hidden="false" customHeight="false" outlineLevel="0" collapsed="false">
      <c r="A1152" s="1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</row>
    <row r="1153" s="2" customFormat="true" ht="25.5" hidden="false" customHeight="false" outlineLevel="0" collapsed="false">
      <c r="A1153" s="1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</row>
    <row r="1154" s="2" customFormat="true" ht="25.5" hidden="false" customHeight="false" outlineLevel="0" collapsed="false">
      <c r="A1154" s="1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</row>
    <row r="1155" s="2" customFormat="true" ht="25.5" hidden="false" customHeight="false" outlineLevel="0" collapsed="false">
      <c r="A1155" s="1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</row>
    <row r="1156" s="2" customFormat="true" ht="25.5" hidden="false" customHeight="false" outlineLevel="0" collapsed="false">
      <c r="A1156" s="1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</row>
    <row r="1157" s="2" customFormat="true" ht="25.5" hidden="false" customHeight="false" outlineLevel="0" collapsed="false">
      <c r="A1157" s="1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</row>
    <row r="1158" s="2" customFormat="true" ht="25.5" hidden="false" customHeight="false" outlineLevel="0" collapsed="false">
      <c r="A1158" s="1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</row>
    <row r="1159" s="2" customFormat="true" ht="25.5" hidden="false" customHeight="false" outlineLevel="0" collapsed="false">
      <c r="A1159" s="1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</row>
    <row r="1160" s="2" customFormat="true" ht="25.5" hidden="false" customHeight="false" outlineLevel="0" collapsed="false">
      <c r="A1160" s="1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</row>
    <row r="1161" s="2" customFormat="true" ht="25.5" hidden="false" customHeight="false" outlineLevel="0" collapsed="false">
      <c r="A1161" s="1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</row>
    <row r="1162" s="2" customFormat="true" ht="25.5" hidden="false" customHeight="false" outlineLevel="0" collapsed="false">
      <c r="A1162" s="1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</row>
    <row r="1163" s="2" customFormat="true" ht="25.5" hidden="false" customHeight="false" outlineLevel="0" collapsed="false">
      <c r="A1163" s="1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</row>
    <row r="1164" s="2" customFormat="true" ht="25.5" hidden="false" customHeight="false" outlineLevel="0" collapsed="false">
      <c r="A1164" s="1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</row>
    <row r="1165" s="2" customFormat="true" ht="25.5" hidden="false" customHeight="false" outlineLevel="0" collapsed="false">
      <c r="A1165" s="1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</row>
    <row r="1166" s="2" customFormat="true" ht="25.5" hidden="false" customHeight="false" outlineLevel="0" collapsed="false">
      <c r="A1166" s="1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</row>
    <row r="1167" s="2" customFormat="true" ht="25.5" hidden="false" customHeight="false" outlineLevel="0" collapsed="false">
      <c r="A1167" s="1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</row>
    <row r="1168" s="2" customFormat="true" ht="25.5" hidden="false" customHeight="false" outlineLevel="0" collapsed="false">
      <c r="A1168" s="1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</row>
    <row r="1169" s="2" customFormat="true" ht="25.5" hidden="false" customHeight="false" outlineLevel="0" collapsed="false">
      <c r="A1169" s="1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</row>
    <row r="1170" s="2" customFormat="true" ht="25.5" hidden="false" customHeight="false" outlineLevel="0" collapsed="false">
      <c r="A1170" s="1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</row>
    <row r="1171" s="2" customFormat="true" ht="25.5" hidden="false" customHeight="false" outlineLevel="0" collapsed="false">
      <c r="A1171" s="1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</row>
    <row r="1172" s="2" customFormat="true" ht="25.5" hidden="false" customHeight="false" outlineLevel="0" collapsed="false">
      <c r="A1172" s="1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</row>
    <row r="1173" s="2" customFormat="true" ht="25.5" hidden="false" customHeight="false" outlineLevel="0" collapsed="false">
      <c r="A1173" s="1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</row>
    <row r="1174" s="2" customFormat="true" ht="25.5" hidden="false" customHeight="false" outlineLevel="0" collapsed="false">
      <c r="A1174" s="1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</row>
    <row r="1175" s="2" customFormat="true" ht="25.5" hidden="false" customHeight="false" outlineLevel="0" collapsed="false">
      <c r="A1175" s="1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</row>
    <row r="1176" s="2" customFormat="true" ht="25.5" hidden="false" customHeight="false" outlineLevel="0" collapsed="false">
      <c r="A1176" s="1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</row>
    <row r="1177" s="2" customFormat="true" ht="25.5" hidden="false" customHeight="false" outlineLevel="0" collapsed="false">
      <c r="A1177" s="1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</row>
    <row r="1178" s="2" customFormat="true" ht="25.5" hidden="false" customHeight="false" outlineLevel="0" collapsed="false">
      <c r="A1178" s="1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</row>
    <row r="1179" s="2" customFormat="true" ht="25.5" hidden="false" customHeight="false" outlineLevel="0" collapsed="false">
      <c r="A1179" s="1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</row>
    <row r="1180" s="2" customFormat="true" ht="25.5" hidden="false" customHeight="false" outlineLevel="0" collapsed="false">
      <c r="A1180" s="1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</row>
    <row r="1181" s="2" customFormat="true" ht="25.5" hidden="false" customHeight="false" outlineLevel="0" collapsed="false">
      <c r="A1181" s="1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</row>
    <row r="1182" s="2" customFormat="true" ht="25.5" hidden="false" customHeight="false" outlineLevel="0" collapsed="false">
      <c r="A1182" s="1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</row>
    <row r="1183" s="2" customFormat="true" ht="25.5" hidden="false" customHeight="false" outlineLevel="0" collapsed="false">
      <c r="A1183" s="1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</row>
    <row r="1184" s="2" customFormat="true" ht="25.5" hidden="false" customHeight="false" outlineLevel="0" collapsed="false">
      <c r="A1184" s="1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</row>
    <row r="1185" s="2" customFormat="true" ht="25.5" hidden="false" customHeight="false" outlineLevel="0" collapsed="false">
      <c r="A1185" s="1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</row>
    <row r="1186" s="2" customFormat="true" ht="25.5" hidden="false" customHeight="false" outlineLevel="0" collapsed="false">
      <c r="A1186" s="1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</row>
    <row r="1187" s="2" customFormat="true" ht="25.5" hidden="false" customHeight="false" outlineLevel="0" collapsed="false">
      <c r="A1187" s="1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</row>
    <row r="1188" s="2" customFormat="true" ht="25.5" hidden="false" customHeight="false" outlineLevel="0" collapsed="false">
      <c r="A1188" s="1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</row>
    <row r="1189" s="2" customFormat="true" ht="25.5" hidden="false" customHeight="false" outlineLevel="0" collapsed="false">
      <c r="A1189" s="1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</row>
    <row r="1190" s="2" customFormat="true" ht="25.5" hidden="false" customHeight="false" outlineLevel="0" collapsed="false">
      <c r="A1190" s="1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</row>
    <row r="1191" s="2" customFormat="true" ht="25.5" hidden="false" customHeight="false" outlineLevel="0" collapsed="false">
      <c r="A1191" s="1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</row>
    <row r="1192" s="2" customFormat="true" ht="25.5" hidden="false" customHeight="false" outlineLevel="0" collapsed="false">
      <c r="A1192" s="1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</row>
    <row r="1193" s="2" customFormat="true" ht="25.5" hidden="false" customHeight="false" outlineLevel="0" collapsed="false">
      <c r="A1193" s="1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</row>
    <row r="1194" s="2" customFormat="true" ht="25.5" hidden="false" customHeight="false" outlineLevel="0" collapsed="false">
      <c r="A1194" s="1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</row>
    <row r="1195" s="2" customFormat="true" ht="25.5" hidden="false" customHeight="false" outlineLevel="0" collapsed="false">
      <c r="A1195" s="1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</row>
    <row r="1196" s="2" customFormat="true" ht="25.5" hidden="false" customHeight="false" outlineLevel="0" collapsed="false">
      <c r="A1196" s="1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</row>
    <row r="1197" s="2" customFormat="true" ht="25.5" hidden="false" customHeight="false" outlineLevel="0" collapsed="false">
      <c r="A1197" s="1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</row>
    <row r="1198" s="2" customFormat="true" ht="25.5" hidden="false" customHeight="false" outlineLevel="0" collapsed="false">
      <c r="A1198" s="1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</row>
    <row r="1199" s="2" customFormat="true" ht="25.5" hidden="false" customHeight="false" outlineLevel="0" collapsed="false">
      <c r="A1199" s="1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</row>
    <row r="1200" s="2" customFormat="true" ht="25.5" hidden="false" customHeight="false" outlineLevel="0" collapsed="false">
      <c r="A1200" s="1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</row>
    <row r="1201" s="2" customFormat="true" ht="25.5" hidden="false" customHeight="false" outlineLevel="0" collapsed="false">
      <c r="A1201" s="1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</row>
    <row r="1202" s="2" customFormat="true" ht="25.5" hidden="false" customHeight="false" outlineLevel="0" collapsed="false">
      <c r="A1202" s="1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</row>
    <row r="1203" s="2" customFormat="true" ht="25.5" hidden="false" customHeight="false" outlineLevel="0" collapsed="false">
      <c r="A1203" s="1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</row>
    <row r="1204" s="2" customFormat="true" ht="25.5" hidden="false" customHeight="false" outlineLevel="0" collapsed="false">
      <c r="A1204" s="1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</row>
    <row r="1205" s="2" customFormat="true" ht="25.5" hidden="false" customHeight="false" outlineLevel="0" collapsed="false">
      <c r="A1205" s="1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</row>
    <row r="1206" s="2" customFormat="true" ht="25.5" hidden="false" customHeight="false" outlineLevel="0" collapsed="false">
      <c r="A1206" s="1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</row>
    <row r="1207" s="2" customFormat="true" ht="25.5" hidden="false" customHeight="false" outlineLevel="0" collapsed="false">
      <c r="A1207" s="1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</row>
    <row r="1208" s="2" customFormat="true" ht="25.5" hidden="false" customHeight="false" outlineLevel="0" collapsed="false">
      <c r="A1208" s="1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</row>
    <row r="1209" s="2" customFormat="true" ht="25.5" hidden="false" customHeight="false" outlineLevel="0" collapsed="false">
      <c r="A1209" s="1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</row>
    <row r="1210" s="2" customFormat="true" ht="25.5" hidden="false" customHeight="false" outlineLevel="0" collapsed="false">
      <c r="A1210" s="1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</row>
    <row r="1211" s="2" customFormat="true" ht="25.5" hidden="false" customHeight="false" outlineLevel="0" collapsed="false">
      <c r="A1211" s="1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</row>
    <row r="1212" s="2" customFormat="true" ht="25.5" hidden="false" customHeight="false" outlineLevel="0" collapsed="false">
      <c r="A1212" s="1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</row>
    <row r="1213" s="2" customFormat="true" ht="25.5" hidden="false" customHeight="false" outlineLevel="0" collapsed="false">
      <c r="A1213" s="1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</row>
    <row r="1214" s="2" customFormat="true" ht="25.5" hidden="false" customHeight="false" outlineLevel="0" collapsed="false">
      <c r="A1214" s="1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</row>
    <row r="1215" s="2" customFormat="true" ht="25.5" hidden="false" customHeight="false" outlineLevel="0" collapsed="false">
      <c r="A1215" s="1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</row>
    <row r="1216" s="2" customFormat="true" ht="25.5" hidden="false" customHeight="false" outlineLevel="0" collapsed="false">
      <c r="A1216" s="1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</row>
    <row r="1217" s="2" customFormat="true" ht="25.5" hidden="false" customHeight="false" outlineLevel="0" collapsed="false">
      <c r="A1217" s="1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</row>
    <row r="1218" s="2" customFormat="true" ht="25.5" hidden="false" customHeight="false" outlineLevel="0" collapsed="false">
      <c r="A1218" s="1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</row>
    <row r="1219" s="2" customFormat="true" ht="25.5" hidden="false" customHeight="false" outlineLevel="0" collapsed="false">
      <c r="A1219" s="1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</row>
    <row r="1220" s="2" customFormat="true" ht="25.5" hidden="false" customHeight="false" outlineLevel="0" collapsed="false">
      <c r="A1220" s="1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</row>
    <row r="1221" s="2" customFormat="true" ht="25.5" hidden="false" customHeight="false" outlineLevel="0" collapsed="false">
      <c r="A1221" s="1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</row>
    <row r="1222" s="2" customFormat="true" ht="25.5" hidden="false" customHeight="false" outlineLevel="0" collapsed="false">
      <c r="A1222" s="1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</row>
    <row r="1223" s="2" customFormat="true" ht="25.5" hidden="false" customHeight="false" outlineLevel="0" collapsed="false">
      <c r="A1223" s="1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</row>
    <row r="1224" s="2" customFormat="true" ht="25.5" hidden="false" customHeight="false" outlineLevel="0" collapsed="false">
      <c r="A1224" s="1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</row>
    <row r="1225" s="2" customFormat="true" ht="25.5" hidden="false" customHeight="false" outlineLevel="0" collapsed="false">
      <c r="A1225" s="1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</row>
    <row r="1226" s="2" customFormat="true" ht="25.5" hidden="false" customHeight="false" outlineLevel="0" collapsed="false">
      <c r="A1226" s="1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</row>
    <row r="1227" s="2" customFormat="true" ht="25.5" hidden="false" customHeight="false" outlineLevel="0" collapsed="false">
      <c r="A1227" s="1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</row>
    <row r="1228" s="2" customFormat="true" ht="25.5" hidden="false" customHeight="false" outlineLevel="0" collapsed="false">
      <c r="A1228" s="1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</row>
    <row r="1229" s="2" customFormat="true" ht="25.5" hidden="false" customHeight="false" outlineLevel="0" collapsed="false">
      <c r="A1229" s="1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</row>
    <row r="1230" s="2" customFormat="true" ht="25.5" hidden="false" customHeight="false" outlineLevel="0" collapsed="false">
      <c r="A1230" s="1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</row>
    <row r="1231" s="2" customFormat="true" ht="25.5" hidden="false" customHeight="false" outlineLevel="0" collapsed="false">
      <c r="A1231" s="1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</row>
    <row r="1232" s="2" customFormat="true" ht="25.5" hidden="false" customHeight="false" outlineLevel="0" collapsed="false">
      <c r="A1232" s="1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</row>
    <row r="1233" s="2" customFormat="true" ht="25.5" hidden="false" customHeight="false" outlineLevel="0" collapsed="false">
      <c r="A1233" s="1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</row>
    <row r="1234" s="2" customFormat="true" ht="25.5" hidden="false" customHeight="false" outlineLevel="0" collapsed="false">
      <c r="A1234" s="1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</row>
    <row r="1235" s="2" customFormat="true" ht="25.5" hidden="false" customHeight="false" outlineLevel="0" collapsed="false">
      <c r="A1235" s="1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</row>
    <row r="1236" s="2" customFormat="true" ht="25.5" hidden="false" customHeight="false" outlineLevel="0" collapsed="false">
      <c r="A1236" s="1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</row>
    <row r="1237" s="2" customFormat="true" ht="25.5" hidden="false" customHeight="false" outlineLevel="0" collapsed="false">
      <c r="A1237" s="1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</row>
    <row r="1238" s="2" customFormat="true" ht="25.5" hidden="false" customHeight="false" outlineLevel="0" collapsed="false">
      <c r="A1238" s="1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</row>
    <row r="1239" s="2" customFormat="true" ht="25.5" hidden="false" customHeight="false" outlineLevel="0" collapsed="false">
      <c r="A1239" s="1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</row>
    <row r="1240" s="2" customFormat="true" ht="25.5" hidden="false" customHeight="false" outlineLevel="0" collapsed="false">
      <c r="A1240" s="1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</row>
    <row r="1241" s="2" customFormat="true" ht="25.5" hidden="false" customHeight="false" outlineLevel="0" collapsed="false">
      <c r="A1241" s="1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</row>
    <row r="1242" s="2" customFormat="true" ht="25.5" hidden="false" customHeight="false" outlineLevel="0" collapsed="false">
      <c r="A1242" s="1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</row>
    <row r="1243" s="2" customFormat="true" ht="25.5" hidden="false" customHeight="false" outlineLevel="0" collapsed="false">
      <c r="A1243" s="1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</row>
    <row r="1244" s="2" customFormat="true" ht="25.5" hidden="false" customHeight="false" outlineLevel="0" collapsed="false">
      <c r="A1244" s="1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</row>
    <row r="1245" s="2" customFormat="true" ht="25.5" hidden="false" customHeight="false" outlineLevel="0" collapsed="false">
      <c r="A1245" s="1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</row>
    <row r="1246" s="2" customFormat="true" ht="25.5" hidden="false" customHeight="false" outlineLevel="0" collapsed="false">
      <c r="A1246" s="1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</row>
    <row r="1247" s="2" customFormat="true" ht="25.5" hidden="false" customHeight="false" outlineLevel="0" collapsed="false">
      <c r="A1247" s="1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</row>
    <row r="1248" s="2" customFormat="true" ht="25.5" hidden="false" customHeight="false" outlineLevel="0" collapsed="false">
      <c r="A1248" s="1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</row>
    <row r="1249" s="2" customFormat="true" ht="25.5" hidden="false" customHeight="false" outlineLevel="0" collapsed="false">
      <c r="A1249" s="1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</row>
    <row r="1250" s="2" customFormat="true" ht="25.5" hidden="false" customHeight="false" outlineLevel="0" collapsed="false">
      <c r="A1250" s="1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</row>
    <row r="1251" s="2" customFormat="true" ht="25.5" hidden="false" customHeight="false" outlineLevel="0" collapsed="false">
      <c r="A1251" s="1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</row>
    <row r="1252" s="2" customFormat="true" ht="25.5" hidden="false" customHeight="false" outlineLevel="0" collapsed="false">
      <c r="A1252" s="1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</row>
    <row r="1253" s="2" customFormat="true" ht="25.5" hidden="false" customHeight="false" outlineLevel="0" collapsed="false">
      <c r="A1253" s="1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</row>
    <row r="1254" s="2" customFormat="true" ht="25.5" hidden="false" customHeight="false" outlineLevel="0" collapsed="false">
      <c r="A1254" s="1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</row>
    <row r="1255" s="2" customFormat="true" ht="25.5" hidden="false" customHeight="false" outlineLevel="0" collapsed="false">
      <c r="A1255" s="1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</row>
  </sheetData>
  <mergeCells count="15">
    <mergeCell ref="A1:A2"/>
    <mergeCell ref="B1:O1"/>
    <mergeCell ref="Q1:AP1"/>
    <mergeCell ref="A236:B236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32" activePane="bottomRight" state="frozen"/>
      <selection pane="topLeft" activeCell="A1" activeCellId="0" sqref="A1"/>
      <selection pane="topRight" activeCell="B1" activeCellId="0" sqref="B1"/>
      <selection pane="bottomLeft" activeCell="A32" activeCellId="0" sqref="A32"/>
      <selection pane="bottomRight" activeCell="F24" activeCellId="0" sqref="F24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8" min="8" style="0" width="11"/>
  </cols>
  <sheetData>
    <row r="1" customFormat="false" ht="57.45" hidden="false" customHeight="false" outlineLevel="0" collapsed="false">
      <c r="A1" s="185" t="s">
        <v>99</v>
      </c>
      <c r="B1" s="186" t="s">
        <v>3</v>
      </c>
      <c r="C1" s="54" t="s">
        <v>4</v>
      </c>
      <c r="D1" s="54" t="s">
        <v>5</v>
      </c>
      <c r="E1" s="54" t="s">
        <v>6</v>
      </c>
      <c r="F1" s="54" t="s">
        <v>7</v>
      </c>
      <c r="G1" s="54" t="s">
        <v>8</v>
      </c>
      <c r="H1" s="54" t="s">
        <v>9</v>
      </c>
      <c r="I1" s="54" t="s">
        <v>10</v>
      </c>
      <c r="J1" s="54" t="s">
        <v>11</v>
      </c>
      <c r="K1" s="187" t="s">
        <v>185</v>
      </c>
    </row>
    <row r="2" customFormat="false" ht="23.85" hidden="false" customHeight="false" outlineLevel="0" collapsed="false">
      <c r="A2" s="188" t="s">
        <v>100</v>
      </c>
      <c r="B2" s="189"/>
      <c r="E2" s="189"/>
      <c r="I2" s="47" t="s">
        <v>38</v>
      </c>
      <c r="J2" s="47" t="s">
        <v>38</v>
      </c>
    </row>
    <row r="3" customFormat="false" ht="23.85" hidden="false" customHeight="false" outlineLevel="0" collapsed="false">
      <c r="A3" s="47" t="s">
        <v>101</v>
      </c>
      <c r="B3" s="190" t="s">
        <v>186</v>
      </c>
      <c r="C3" s="191" t="n">
        <v>3138</v>
      </c>
      <c r="D3" s="191" t="n">
        <v>3808</v>
      </c>
      <c r="E3" s="191" t="s">
        <v>187</v>
      </c>
      <c r="F3" s="191" t="n">
        <v>4466</v>
      </c>
      <c r="G3" s="191" t="n">
        <v>8348</v>
      </c>
      <c r="H3" s="191" t="n">
        <v>9889</v>
      </c>
      <c r="I3" s="191" t="n">
        <v>8574</v>
      </c>
      <c r="J3" s="191" t="n">
        <v>7441</v>
      </c>
      <c r="K3" s="0" t="n">
        <v>9860</v>
      </c>
    </row>
    <row r="4" customFormat="false" ht="23.85" hidden="false" customHeight="false" outlineLevel="0" collapsed="false">
      <c r="A4" s="47" t="s">
        <v>102</v>
      </c>
      <c r="B4" s="192" t="n">
        <v>2072</v>
      </c>
      <c r="C4" s="193" t="n">
        <v>2319</v>
      </c>
      <c r="D4" s="193" t="n">
        <v>2371</v>
      </c>
      <c r="E4" s="193" t="n">
        <v>996</v>
      </c>
      <c r="F4" s="193" t="n">
        <v>197</v>
      </c>
      <c r="G4" s="193" t="n">
        <v>439</v>
      </c>
      <c r="H4" s="193" t="n">
        <v>3587</v>
      </c>
      <c r="I4" s="193" t="n">
        <v>4423</v>
      </c>
      <c r="J4" s="193" t="n">
        <v>3234</v>
      </c>
      <c r="K4" s="0" t="n">
        <v>1722</v>
      </c>
    </row>
    <row r="5" customFormat="false" ht="35.05" hidden="false" customHeight="false" outlineLevel="0" collapsed="false">
      <c r="A5" s="47" t="s">
        <v>103</v>
      </c>
      <c r="B5" s="192" t="n">
        <v>3358</v>
      </c>
      <c r="C5" s="193" t="n">
        <v>3241</v>
      </c>
      <c r="D5" s="193" t="n">
        <v>3677</v>
      </c>
      <c r="E5" s="193" t="n">
        <v>3498</v>
      </c>
      <c r="F5" s="193" t="n">
        <v>4272</v>
      </c>
      <c r="G5" s="193" t="n">
        <v>2749</v>
      </c>
      <c r="H5" s="193" t="n">
        <v>4463</v>
      </c>
      <c r="I5" s="193" t="n">
        <v>4667</v>
      </c>
      <c r="J5" s="193" t="n">
        <v>4131</v>
      </c>
      <c r="K5" s="0" t="n">
        <v>4427</v>
      </c>
    </row>
    <row r="6" customFormat="false" ht="15.75" hidden="false" customHeight="false" outlineLevel="0" collapsed="false">
      <c r="A6" s="47" t="s">
        <v>104</v>
      </c>
      <c r="B6" s="192" t="n">
        <v>4337</v>
      </c>
      <c r="C6" s="193" t="n">
        <v>4838</v>
      </c>
      <c r="D6" s="193" t="n">
        <v>5055</v>
      </c>
      <c r="E6" s="193" t="n">
        <v>5261</v>
      </c>
      <c r="F6" s="193" t="n">
        <v>5622</v>
      </c>
      <c r="G6" s="193" t="n">
        <v>7367</v>
      </c>
      <c r="H6" s="193" t="n">
        <v>6854</v>
      </c>
      <c r="I6" s="193" t="n">
        <v>8420</v>
      </c>
      <c r="J6" s="193" t="n">
        <v>8454</v>
      </c>
      <c r="K6" s="0" t="n">
        <v>7519</v>
      </c>
    </row>
    <row r="7" customFormat="false" ht="57.45" hidden="false" customHeight="false" outlineLevel="0" collapsed="false">
      <c r="A7" s="47" t="s">
        <v>105</v>
      </c>
      <c r="B7" s="192" t="n">
        <v>1968</v>
      </c>
      <c r="C7" s="193" t="n">
        <v>1489</v>
      </c>
      <c r="D7" s="193" t="n">
        <v>1150</v>
      </c>
      <c r="E7" s="193" t="n">
        <v>1130</v>
      </c>
      <c r="F7" s="193" t="n">
        <v>1968</v>
      </c>
      <c r="G7" s="193" t="n">
        <v>1653</v>
      </c>
      <c r="H7" s="193" t="n">
        <v>1498</v>
      </c>
      <c r="I7" s="193" t="n">
        <v>2129</v>
      </c>
      <c r="J7" s="193" t="n">
        <v>1942</v>
      </c>
      <c r="K7" s="0" t="n">
        <v>1854</v>
      </c>
    </row>
    <row r="8" customFormat="false" ht="23.85" hidden="false" customHeight="false" outlineLevel="0" collapsed="false">
      <c r="A8" s="47" t="s">
        <v>106</v>
      </c>
      <c r="B8" s="192" t="n">
        <v>15587</v>
      </c>
      <c r="C8" s="193" t="n">
        <v>15025</v>
      </c>
      <c r="D8" s="193" t="n">
        <v>16061</v>
      </c>
      <c r="E8" s="193" t="n">
        <v>15134</v>
      </c>
      <c r="F8" s="193" t="n">
        <v>16525</v>
      </c>
      <c r="G8" s="193" t="n">
        <v>20556</v>
      </c>
      <c r="H8" s="193" t="n">
        <v>26291</v>
      </c>
      <c r="I8" s="193" t="n">
        <v>28213</v>
      </c>
      <c r="J8" s="193" t="n">
        <v>25202</v>
      </c>
      <c r="K8" s="0" t="n">
        <v>25382</v>
      </c>
    </row>
    <row r="9" customFormat="false" ht="46.25" hidden="false" customHeight="false" outlineLevel="0" collapsed="false">
      <c r="A9" s="47" t="s">
        <v>107</v>
      </c>
      <c r="B9" s="192" t="n">
        <v>3011</v>
      </c>
      <c r="C9" s="193" t="n">
        <v>3520</v>
      </c>
      <c r="D9" s="193" t="n">
        <v>3989</v>
      </c>
      <c r="E9" s="193" t="n">
        <v>4454</v>
      </c>
      <c r="F9" s="193" t="n">
        <v>4744</v>
      </c>
      <c r="G9" s="193" t="n">
        <v>4866</v>
      </c>
      <c r="H9" s="193" t="n">
        <v>4904</v>
      </c>
      <c r="I9" s="193" t="n">
        <v>4791</v>
      </c>
      <c r="J9" s="193" t="n">
        <v>5081</v>
      </c>
      <c r="K9" s="0" t="n">
        <v>5000</v>
      </c>
    </row>
    <row r="10" customFormat="false" ht="46.25" hidden="false" customHeight="false" outlineLevel="0" collapsed="false">
      <c r="A10" s="47" t="s">
        <v>108</v>
      </c>
      <c r="B10" s="192" t="n">
        <v>0</v>
      </c>
      <c r="C10" s="193" t="n">
        <v>0</v>
      </c>
      <c r="D10" s="193" t="n">
        <v>0</v>
      </c>
      <c r="E10" s="193" t="n">
        <v>0</v>
      </c>
      <c r="F10" s="193" t="n">
        <v>0</v>
      </c>
      <c r="G10" s="193" t="n">
        <v>3097</v>
      </c>
      <c r="H10" s="193" t="n">
        <v>3113</v>
      </c>
      <c r="I10" s="193" t="n">
        <v>2926</v>
      </c>
      <c r="J10" s="193" t="n">
        <v>2923</v>
      </c>
      <c r="K10" s="0" t="n">
        <v>2718</v>
      </c>
    </row>
    <row r="11" customFormat="false" ht="35.05" hidden="false" customHeight="false" outlineLevel="0" collapsed="false">
      <c r="A11" s="47" t="s">
        <v>109</v>
      </c>
      <c r="B11" s="192" t="n">
        <v>281</v>
      </c>
      <c r="C11" s="193" t="n">
        <v>281</v>
      </c>
      <c r="D11" s="193" t="n">
        <v>283</v>
      </c>
      <c r="E11" s="193" t="n">
        <v>285</v>
      </c>
      <c r="F11" s="193" t="n">
        <v>283</v>
      </c>
      <c r="G11" s="193" t="n">
        <v>274</v>
      </c>
      <c r="H11" s="193" t="n">
        <v>269</v>
      </c>
      <c r="I11" s="193" t="n">
        <v>286</v>
      </c>
      <c r="J11" s="193" t="n">
        <v>274</v>
      </c>
      <c r="K11" s="0" t="n">
        <v>259</v>
      </c>
    </row>
    <row r="12" customFormat="false" ht="15.75" hidden="false" customHeight="false" outlineLevel="0" collapsed="false">
      <c r="A12" s="47" t="s">
        <v>110</v>
      </c>
      <c r="B12" s="192" t="n">
        <v>131</v>
      </c>
      <c r="C12" s="193" t="n">
        <v>131</v>
      </c>
      <c r="D12" s="193" t="n">
        <v>139</v>
      </c>
      <c r="E12" s="193" t="n">
        <v>154</v>
      </c>
      <c r="F12" s="193" t="n">
        <v>154</v>
      </c>
      <c r="G12" s="193" t="n">
        <v>223</v>
      </c>
      <c r="H12" s="193" t="n">
        <v>242</v>
      </c>
      <c r="I12" s="193" t="n">
        <v>284</v>
      </c>
      <c r="J12" s="193" t="n">
        <v>281</v>
      </c>
      <c r="K12" s="0" t="n">
        <v>240</v>
      </c>
    </row>
    <row r="13" customFormat="false" ht="46.25" hidden="false" customHeight="false" outlineLevel="0" collapsed="false">
      <c r="A13" s="47" t="s">
        <v>111</v>
      </c>
      <c r="B13" s="192" t="n">
        <v>2587</v>
      </c>
      <c r="C13" s="193" t="n">
        <v>2422</v>
      </c>
      <c r="D13" s="193" t="n">
        <v>2787</v>
      </c>
      <c r="E13" s="193" t="n">
        <v>2509</v>
      </c>
      <c r="F13" s="193" t="n">
        <v>2011</v>
      </c>
      <c r="G13" s="193" t="n">
        <v>2326</v>
      </c>
      <c r="H13" s="193" t="n">
        <v>2921</v>
      </c>
      <c r="I13" s="193" t="n">
        <v>3821</v>
      </c>
      <c r="J13" s="193" t="n">
        <v>3770</v>
      </c>
      <c r="K13" s="0" t="n">
        <v>4511</v>
      </c>
    </row>
    <row r="14" customFormat="false" ht="23.85" hidden="false" customHeight="false" outlineLevel="0" collapsed="false">
      <c r="A14" s="47" t="s">
        <v>112</v>
      </c>
      <c r="B14" s="192" t="n">
        <v>21597</v>
      </c>
      <c r="C14" s="193" t="n">
        <v>21379</v>
      </c>
      <c r="D14" s="193" t="n">
        <v>23259</v>
      </c>
      <c r="E14" s="193" t="n">
        <v>22536</v>
      </c>
      <c r="F14" s="193" t="n">
        <v>23717</v>
      </c>
      <c r="G14" s="193" t="n">
        <v>31342</v>
      </c>
      <c r="H14" s="193" t="n">
        <v>37740</v>
      </c>
      <c r="I14" s="193" t="n">
        <v>40321</v>
      </c>
      <c r="J14" s="193" t="n">
        <v>37531</v>
      </c>
      <c r="K14" s="0" t="n">
        <v>38110</v>
      </c>
    </row>
    <row r="15" customFormat="false" ht="23.85" hidden="false" customHeight="false" outlineLevel="0" collapsed="false">
      <c r="A15" s="188" t="s">
        <v>113</v>
      </c>
      <c r="B15" s="189"/>
      <c r="E15" s="189"/>
      <c r="I15" s="47" t="s">
        <v>38</v>
      </c>
      <c r="J15" s="47" t="s">
        <v>38</v>
      </c>
    </row>
    <row r="16" customFormat="false" ht="46.25" hidden="false" customHeight="false" outlineLevel="0" collapsed="false">
      <c r="A16" s="47" t="s">
        <v>114</v>
      </c>
      <c r="B16" s="192" t="n">
        <v>107</v>
      </c>
      <c r="C16" s="193" t="n">
        <v>44</v>
      </c>
      <c r="D16" s="193" t="n">
        <v>6</v>
      </c>
      <c r="E16" s="193" t="n">
        <v>6</v>
      </c>
      <c r="F16" s="193" t="n">
        <v>6</v>
      </c>
      <c r="G16" s="193" t="n">
        <v>3</v>
      </c>
      <c r="H16" s="193" t="n">
        <v>0</v>
      </c>
      <c r="I16" s="193" t="n">
        <v>500</v>
      </c>
      <c r="J16" s="193" t="n">
        <v>0</v>
      </c>
      <c r="K16" s="0" t="n">
        <v>1000</v>
      </c>
    </row>
    <row r="17" customFormat="false" ht="23.85" hidden="false" customHeight="false" outlineLevel="0" collapsed="false">
      <c r="A17" s="47" t="s">
        <v>115</v>
      </c>
      <c r="B17" s="192" t="n">
        <v>74</v>
      </c>
      <c r="C17" s="193" t="n">
        <v>1</v>
      </c>
      <c r="D17" s="193" t="n">
        <v>325</v>
      </c>
      <c r="E17" s="193" t="n">
        <v>336</v>
      </c>
      <c r="F17" s="193" t="n">
        <v>9</v>
      </c>
      <c r="G17" s="193" t="n">
        <v>248</v>
      </c>
      <c r="H17" s="193" t="n">
        <v>2</v>
      </c>
      <c r="I17" s="193" t="n">
        <v>10</v>
      </c>
      <c r="J17" s="193" t="n">
        <v>6</v>
      </c>
      <c r="K17" s="0" t="n">
        <v>6</v>
      </c>
    </row>
    <row r="18" customFormat="false" ht="23.85" hidden="false" customHeight="false" outlineLevel="0" collapsed="false">
      <c r="A18" s="47" t="s">
        <v>116</v>
      </c>
      <c r="B18" s="192" t="n">
        <v>2131</v>
      </c>
      <c r="C18" s="193" t="n">
        <v>2191</v>
      </c>
      <c r="D18" s="193" t="n">
        <v>2048</v>
      </c>
      <c r="E18" s="193" t="n">
        <v>2279</v>
      </c>
      <c r="F18" s="193" t="n">
        <v>2612</v>
      </c>
      <c r="G18" s="193" t="n">
        <v>2248</v>
      </c>
      <c r="H18" s="193" t="n">
        <v>2836</v>
      </c>
      <c r="I18" s="193" t="n">
        <v>3358</v>
      </c>
      <c r="J18" s="193" t="n">
        <v>2862</v>
      </c>
      <c r="K18" s="0" t="n">
        <v>2851</v>
      </c>
    </row>
    <row r="19" customFormat="false" ht="57.45" hidden="false" customHeight="false" outlineLevel="0" collapsed="false">
      <c r="A19" s="47" t="s">
        <v>117</v>
      </c>
      <c r="B19" s="193" t="n">
        <v>0</v>
      </c>
      <c r="C19" s="193" t="n">
        <v>0</v>
      </c>
      <c r="D19" s="193" t="n">
        <v>0</v>
      </c>
      <c r="E19" s="193" t="n">
        <v>0</v>
      </c>
      <c r="F19" s="193" t="n">
        <v>0</v>
      </c>
      <c r="G19" s="193" t="n">
        <v>445</v>
      </c>
      <c r="H19" s="193" t="n">
        <v>467</v>
      </c>
      <c r="I19" s="193" t="n">
        <v>420</v>
      </c>
      <c r="J19" s="193" t="n">
        <v>425</v>
      </c>
      <c r="K19" s="0" t="n">
        <v>477</v>
      </c>
    </row>
    <row r="20" customFormat="false" ht="23.85" hidden="false" customHeight="false" outlineLevel="0" collapsed="false">
      <c r="A20" s="47" t="s">
        <v>118</v>
      </c>
      <c r="B20" s="192" t="n">
        <v>3949</v>
      </c>
      <c r="C20" s="193" t="n">
        <v>3037</v>
      </c>
      <c r="D20" s="193" t="n">
        <v>3011</v>
      </c>
      <c r="E20" s="193" t="n">
        <v>3269</v>
      </c>
      <c r="F20" s="193" t="n">
        <v>5010</v>
      </c>
      <c r="G20" s="193" t="n">
        <v>5184</v>
      </c>
      <c r="H20" s="193" t="n">
        <v>6063</v>
      </c>
      <c r="I20" s="193" t="n">
        <v>6220</v>
      </c>
      <c r="J20" s="193" t="n">
        <v>5723</v>
      </c>
      <c r="K20" s="0" t="n">
        <v>5725</v>
      </c>
    </row>
    <row r="21" customFormat="false" ht="35.05" hidden="false" customHeight="false" outlineLevel="0" collapsed="false">
      <c r="A21" s="47" t="s">
        <v>119</v>
      </c>
      <c r="B21" s="192" t="n">
        <v>71</v>
      </c>
      <c r="C21" s="193" t="n">
        <v>85</v>
      </c>
      <c r="D21" s="193" t="n">
        <v>84</v>
      </c>
      <c r="E21" s="193" t="n">
        <v>150</v>
      </c>
      <c r="F21" s="193" t="n">
        <v>229</v>
      </c>
      <c r="G21" s="193" t="n">
        <v>156</v>
      </c>
      <c r="H21" s="193" t="n">
        <v>306</v>
      </c>
      <c r="I21" s="193" t="n">
        <v>222</v>
      </c>
      <c r="J21" s="193" t="n">
        <v>240</v>
      </c>
      <c r="K21" s="0" t="n">
        <v>534</v>
      </c>
    </row>
    <row r="22" customFormat="false" ht="23.85" hidden="false" customHeight="false" outlineLevel="0" collapsed="false">
      <c r="A22" s="47" t="s">
        <v>120</v>
      </c>
      <c r="B22" s="192" t="n">
        <v>6332</v>
      </c>
      <c r="C22" s="193" t="n">
        <v>5358</v>
      </c>
      <c r="D22" s="193" t="n">
        <v>5474</v>
      </c>
      <c r="E22" s="193" t="n">
        <v>6040</v>
      </c>
      <c r="F22" s="193" t="n">
        <v>7866</v>
      </c>
      <c r="G22" s="193" t="n">
        <v>8284</v>
      </c>
      <c r="H22" s="193" t="n">
        <v>9674</v>
      </c>
      <c r="I22" s="193" t="n">
        <v>10730</v>
      </c>
      <c r="J22" s="193" t="n">
        <v>9256</v>
      </c>
      <c r="K22" s="0" t="n">
        <v>10593</v>
      </c>
    </row>
    <row r="23" customFormat="false" ht="23.85" hidden="false" customHeight="false" outlineLevel="0" collapsed="false">
      <c r="A23" s="47" t="s">
        <v>121</v>
      </c>
      <c r="B23" s="192" t="n">
        <v>1079</v>
      </c>
      <c r="C23" s="193" t="n">
        <v>1993</v>
      </c>
      <c r="D23" s="193" t="n">
        <v>3471</v>
      </c>
      <c r="E23" s="193" t="n">
        <v>3468</v>
      </c>
      <c r="F23" s="193" t="n">
        <v>3464</v>
      </c>
      <c r="G23" s="193" t="n">
        <v>9406</v>
      </c>
      <c r="H23" s="193" t="n">
        <v>9413</v>
      </c>
      <c r="I23" s="193" t="n">
        <v>8920</v>
      </c>
      <c r="J23" s="193" t="n">
        <v>8927</v>
      </c>
      <c r="K23" s="0" t="n">
        <v>7903</v>
      </c>
    </row>
    <row r="24" customFormat="false" ht="35.05" hidden="false" customHeight="false" outlineLevel="0" collapsed="false">
      <c r="A24" s="47" t="s">
        <v>122</v>
      </c>
      <c r="B24" s="192" t="n">
        <v>0</v>
      </c>
      <c r="C24" s="193" t="n">
        <v>0</v>
      </c>
      <c r="D24" s="193" t="n">
        <v>0</v>
      </c>
      <c r="E24" s="193" t="n">
        <v>0</v>
      </c>
      <c r="F24" s="193" t="n">
        <v>0</v>
      </c>
      <c r="G24" s="193" t="n">
        <v>2913</v>
      </c>
      <c r="H24" s="193" t="n">
        <v>2931</v>
      </c>
      <c r="I24" s="193" t="n">
        <v>2777</v>
      </c>
      <c r="J24" s="193" t="n">
        <v>2786</v>
      </c>
      <c r="K24" s="0" t="n">
        <v>2566</v>
      </c>
    </row>
    <row r="25" customFormat="false" ht="57.45" hidden="false" customHeight="false" outlineLevel="0" collapsed="false">
      <c r="A25" s="47" t="s">
        <v>123</v>
      </c>
      <c r="B25" s="192" t="n">
        <v>1479</v>
      </c>
      <c r="C25" s="193" t="n">
        <v>1770</v>
      </c>
      <c r="D25" s="193" t="n">
        <v>1907</v>
      </c>
      <c r="E25" s="193" t="n">
        <v>3216</v>
      </c>
      <c r="F25" s="193" t="n">
        <v>3347</v>
      </c>
      <c r="G25" s="193" t="n">
        <v>2684</v>
      </c>
      <c r="H25" s="193" t="n">
        <v>2955</v>
      </c>
      <c r="I25" s="193" t="n">
        <v>2613</v>
      </c>
      <c r="J25" s="193" t="n">
        <v>2558</v>
      </c>
      <c r="K25" s="0" t="n">
        <v>2618</v>
      </c>
    </row>
    <row r="26" customFormat="false" ht="46.25" hidden="false" customHeight="false" outlineLevel="0" collapsed="false">
      <c r="A26" s="47" t="s">
        <v>125</v>
      </c>
      <c r="B26" s="194" t="s">
        <v>126</v>
      </c>
      <c r="C26" s="47" t="s">
        <v>126</v>
      </c>
      <c r="D26" s="47" t="s">
        <v>126</v>
      </c>
      <c r="E26" s="47" t="s">
        <v>126</v>
      </c>
      <c r="F26" s="47" t="s">
        <v>126</v>
      </c>
      <c r="G26" s="47" t="s">
        <v>126</v>
      </c>
      <c r="H26" s="47" t="s">
        <v>126</v>
      </c>
      <c r="I26" s="47" t="s">
        <v>126</v>
      </c>
      <c r="J26" s="47" t="s">
        <v>126</v>
      </c>
    </row>
    <row r="27" customFormat="false" ht="35.05" hidden="false" customHeight="false" outlineLevel="0" collapsed="false">
      <c r="A27" s="47" t="s">
        <v>127</v>
      </c>
      <c r="B27" s="192" t="n">
        <v>0</v>
      </c>
      <c r="C27" s="193" t="n">
        <v>0</v>
      </c>
      <c r="D27" s="193" t="n">
        <v>0</v>
      </c>
      <c r="E27" s="193" t="n">
        <v>0</v>
      </c>
      <c r="F27" s="193" t="n">
        <v>0</v>
      </c>
      <c r="G27" s="193" t="n">
        <v>0</v>
      </c>
      <c r="H27" s="193" t="n">
        <v>0</v>
      </c>
      <c r="I27" s="193" t="n">
        <v>0</v>
      </c>
      <c r="J27" s="193" t="n">
        <v>0</v>
      </c>
      <c r="K27" s="0" t="n">
        <v>0</v>
      </c>
    </row>
    <row r="28" customFormat="false" ht="23.85" hidden="false" customHeight="false" outlineLevel="0" collapsed="false">
      <c r="A28" s="188" t="s">
        <v>128</v>
      </c>
      <c r="B28" s="189"/>
      <c r="E28" s="189"/>
      <c r="I28" s="47" t="s">
        <v>38</v>
      </c>
      <c r="J28" s="47" t="s">
        <v>38</v>
      </c>
    </row>
    <row r="29" customFormat="false" ht="35.05" hidden="false" customHeight="false" outlineLevel="0" collapsed="false">
      <c r="A29" s="47" t="s">
        <v>129</v>
      </c>
      <c r="B29" s="192" t="n">
        <v>6773</v>
      </c>
      <c r="C29" s="193" t="n">
        <v>7786</v>
      </c>
      <c r="D29" s="193" t="n">
        <v>8638</v>
      </c>
      <c r="E29" s="193" t="n">
        <v>6384</v>
      </c>
      <c r="F29" s="193" t="n">
        <v>7163</v>
      </c>
      <c r="G29" s="193" t="n">
        <v>8299</v>
      </c>
      <c r="H29" s="193" t="n">
        <v>9965</v>
      </c>
      <c r="I29" s="193" t="n">
        <v>11484</v>
      </c>
      <c r="J29" s="193" t="n">
        <v>12412</v>
      </c>
      <c r="K29" s="0" t="n">
        <v>13409</v>
      </c>
    </row>
    <row r="30" customFormat="false" ht="57.45" hidden="false" customHeight="false" outlineLevel="0" collapsed="false">
      <c r="A30" s="47" t="s">
        <v>130</v>
      </c>
      <c r="B30" s="192" t="n">
        <v>1246</v>
      </c>
      <c r="C30" s="193" t="n">
        <v>318</v>
      </c>
      <c r="D30" s="193" t="n">
        <v>-213</v>
      </c>
      <c r="E30" s="193" t="n">
        <v>-92</v>
      </c>
      <c r="F30" s="193" t="n">
        <v>231</v>
      </c>
      <c r="G30" s="193" t="n">
        <v>-56</v>
      </c>
      <c r="H30" s="193" t="n">
        <v>-380</v>
      </c>
      <c r="I30" s="193" t="n">
        <v>318</v>
      </c>
      <c r="J30" s="193" t="n">
        <v>231</v>
      </c>
      <c r="K30" s="0" t="n">
        <v>53</v>
      </c>
    </row>
    <row r="31" customFormat="false" ht="35.05" hidden="false" customHeight="false" outlineLevel="0" collapsed="false">
      <c r="A31" s="47" t="s">
        <v>131</v>
      </c>
      <c r="B31" s="192" t="n">
        <v>4685</v>
      </c>
      <c r="C31" s="193" t="n">
        <v>4151</v>
      </c>
      <c r="D31" s="193" t="n">
        <v>3979</v>
      </c>
      <c r="E31" s="193" t="n">
        <v>3517</v>
      </c>
      <c r="F31" s="193" t="n">
        <v>1643</v>
      </c>
      <c r="G31" s="193" t="n">
        <v>-191</v>
      </c>
      <c r="H31" s="193" t="n">
        <v>3179</v>
      </c>
      <c r="I31" s="193" t="n">
        <v>3476</v>
      </c>
      <c r="J31" s="193" t="n">
        <v>1358</v>
      </c>
      <c r="K31" s="0" t="n">
        <v>965</v>
      </c>
    </row>
    <row r="32" customFormat="false" ht="35.05" hidden="false" customHeight="false" outlineLevel="0" collapsed="false">
      <c r="A32" s="47" t="s">
        <v>132</v>
      </c>
      <c r="B32" s="192" t="n">
        <v>12707</v>
      </c>
      <c r="C32" s="193" t="n">
        <v>12258</v>
      </c>
      <c r="D32" s="193" t="n">
        <v>12407</v>
      </c>
      <c r="E32" s="193" t="n">
        <v>9812</v>
      </c>
      <c r="F32" s="193" t="n">
        <v>9040</v>
      </c>
      <c r="G32" s="193" t="n">
        <v>8055</v>
      </c>
      <c r="H32" s="193" t="n">
        <v>12767</v>
      </c>
      <c r="I32" s="193" t="n">
        <v>15281</v>
      </c>
      <c r="J32" s="193" t="n">
        <v>14004</v>
      </c>
      <c r="K32" s="0" t="n">
        <v>14430</v>
      </c>
    </row>
    <row r="33" customFormat="false" ht="57.45" hidden="false" customHeight="false" outlineLevel="0" collapsed="false">
      <c r="A33" s="47" t="s">
        <v>133</v>
      </c>
      <c r="B33" s="192" t="n">
        <v>21597</v>
      </c>
      <c r="C33" s="193" t="n">
        <v>21379</v>
      </c>
      <c r="D33" s="193" t="n">
        <v>23259</v>
      </c>
      <c r="E33" s="193" t="n">
        <v>22536</v>
      </c>
      <c r="F33" s="193" t="n">
        <v>23717</v>
      </c>
      <c r="G33" s="193" t="n">
        <v>31342</v>
      </c>
      <c r="H33" s="193" t="n">
        <v>37740</v>
      </c>
      <c r="I33" s="193" t="n">
        <v>40321</v>
      </c>
      <c r="J33" s="193" t="n">
        <v>37531</v>
      </c>
      <c r="K33" s="0" t="n">
        <v>38110</v>
      </c>
    </row>
    <row r="34" customFormat="false" ht="46.25" hidden="false" customHeight="false" outlineLevel="0" collapsed="false">
      <c r="A34" s="47" t="s">
        <v>134</v>
      </c>
      <c r="B34" s="189"/>
      <c r="E34" s="189"/>
      <c r="I34" s="47" t="s">
        <v>38</v>
      </c>
      <c r="J34" s="47" t="s">
        <v>38</v>
      </c>
    </row>
    <row r="35" customFormat="false" ht="23.85" hidden="false" customHeight="false" outlineLevel="0" collapsed="false">
      <c r="A35" s="188" t="s">
        <v>128</v>
      </c>
      <c r="B35" s="189"/>
      <c r="E35" s="189"/>
      <c r="I35" s="47" t="s">
        <v>38</v>
      </c>
      <c r="J35" s="47" t="s">
        <v>38</v>
      </c>
    </row>
    <row r="36" customFormat="false" ht="35.05" hidden="false" customHeight="false" outlineLevel="0" collapsed="false">
      <c r="A36" s="47" t="s">
        <v>135</v>
      </c>
      <c r="B36" s="192" t="n">
        <v>0</v>
      </c>
      <c r="C36" s="193" t="n">
        <v>0</v>
      </c>
      <c r="D36" s="193" t="n">
        <v>0</v>
      </c>
      <c r="E36" s="193" t="n">
        <v>0</v>
      </c>
      <c r="F36" s="193" t="n">
        <v>0</v>
      </c>
      <c r="G36" s="193" t="n">
        <v>0</v>
      </c>
      <c r="H36" s="193" t="n">
        <v>0</v>
      </c>
      <c r="I36" s="193" t="n">
        <v>0</v>
      </c>
      <c r="J36" s="193" t="n">
        <v>0</v>
      </c>
      <c r="K36" s="0" t="n">
        <v>0</v>
      </c>
    </row>
    <row r="37" customFormat="false" ht="35.05" hidden="false" customHeight="false" outlineLevel="0" collapsed="false">
      <c r="A37" s="47" t="s">
        <v>136</v>
      </c>
      <c r="B37" s="189"/>
      <c r="E37" s="189"/>
      <c r="I37" s="47" t="s">
        <v>38</v>
      </c>
      <c r="J37" s="47" t="s">
        <v>38</v>
      </c>
    </row>
    <row r="38" customFormat="false" ht="23.85" hidden="false" customHeight="false" outlineLevel="0" collapsed="false">
      <c r="A38" s="188" t="s">
        <v>128</v>
      </c>
      <c r="B38" s="189"/>
      <c r="E38" s="189"/>
      <c r="I38" s="47" t="s">
        <v>38</v>
      </c>
      <c r="J38" s="47" t="s">
        <v>38</v>
      </c>
    </row>
    <row r="39" customFormat="false" ht="35.05" hidden="false" customHeight="false" outlineLevel="0" collapsed="false">
      <c r="A39" s="47" t="s">
        <v>135</v>
      </c>
      <c r="B39" s="190" t="s">
        <v>137</v>
      </c>
      <c r="C39" s="191" t="n">
        <v>3</v>
      </c>
      <c r="D39" s="191" t="n">
        <v>3</v>
      </c>
      <c r="E39" s="191" t="s">
        <v>137</v>
      </c>
      <c r="F39" s="191" t="n">
        <v>3</v>
      </c>
      <c r="G39" s="191" t="n">
        <v>3</v>
      </c>
      <c r="H39" s="191" t="n">
        <v>3</v>
      </c>
      <c r="I39" s="191" t="n">
        <v>3</v>
      </c>
      <c r="J39" s="191" t="n">
        <v>3</v>
      </c>
      <c r="K39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N3" activePane="bottomRight" state="frozen"/>
      <selection pane="topLeft" activeCell="A1" activeCellId="0" sqref="A1"/>
      <selection pane="topRight" activeCell="N1" activeCellId="0" sqref="N1"/>
      <selection pane="bottomLeft" activeCell="A3" activeCellId="0" sqref="A3"/>
      <selection pane="bottomRight" activeCell="A1" activeCellId="0" sqref="A1"/>
    </sheetView>
  </sheetViews>
  <sheetFormatPr defaultColWidth="10.6171875" defaultRowHeight="15.75" customHeight="false" zeroHeight="false" outlineLevelRow="0" outlineLevelCol="1"/>
  <cols>
    <col collapsed="false" customWidth="true" hidden="false" outlineLevel="0" max="1" min="1" style="0" width="29.84"/>
    <col collapsed="false" customWidth="true" hidden="false" outlineLevel="0" max="2" min="2" style="0" width="11.66"/>
    <col collapsed="false" customWidth="true" hidden="false" outlineLevel="1" max="16" min="13" style="0" width="10.84"/>
  </cols>
  <sheetData>
    <row r="1" customFormat="false" ht="31.5" hidden="false" customHeight="true" outlineLevel="0" collapsed="false">
      <c r="A1" s="195" t="s">
        <v>0</v>
      </c>
      <c r="B1" s="196" t="s">
        <v>1</v>
      </c>
      <c r="C1" s="196"/>
      <c r="D1" s="196"/>
      <c r="E1" s="196"/>
      <c r="F1" s="196"/>
      <c r="G1" s="196"/>
      <c r="H1" s="196"/>
      <c r="I1" s="196"/>
      <c r="J1" s="196"/>
      <c r="K1" s="54"/>
      <c r="M1" s="196" t="n">
        <v>2021</v>
      </c>
      <c r="N1" s="196"/>
      <c r="O1" s="196"/>
      <c r="P1" s="196"/>
      <c r="R1" s="196" t="n">
        <v>2022</v>
      </c>
      <c r="S1" s="196"/>
      <c r="T1" s="196"/>
      <c r="U1" s="196"/>
      <c r="V1" s="197"/>
      <c r="W1" s="196" t="n">
        <v>2023</v>
      </c>
      <c r="X1" s="196"/>
      <c r="Y1" s="196"/>
      <c r="Z1" s="196"/>
      <c r="AA1" s="197"/>
      <c r="AB1" s="198" t="s">
        <v>188</v>
      </c>
      <c r="AC1" s="198"/>
      <c r="AD1" s="198"/>
      <c r="AE1" s="198"/>
    </row>
    <row r="2" customFormat="false" ht="23.85" hidden="false" customHeight="false" outlineLevel="0" collapsed="false">
      <c r="A2" s="195"/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4" t="s">
        <v>9</v>
      </c>
      <c r="I2" s="54" t="s">
        <v>10</v>
      </c>
      <c r="J2" s="54" t="s">
        <v>11</v>
      </c>
      <c r="K2" s="199" t="s">
        <v>185</v>
      </c>
      <c r="M2" s="54" t="s">
        <v>16</v>
      </c>
      <c r="N2" s="54" t="s">
        <v>17</v>
      </c>
      <c r="O2" s="54" t="s">
        <v>18</v>
      </c>
      <c r="P2" s="54" t="s">
        <v>19</v>
      </c>
      <c r="Q2" s="54"/>
      <c r="R2" s="54" t="s">
        <v>20</v>
      </c>
      <c r="S2" s="54" t="s">
        <v>21</v>
      </c>
      <c r="T2" s="54" t="s">
        <v>22</v>
      </c>
      <c r="U2" s="54" t="s">
        <v>23</v>
      </c>
      <c r="V2" s="54"/>
      <c r="W2" s="54" t="s">
        <v>24</v>
      </c>
      <c r="X2" s="54" t="s">
        <v>25</v>
      </c>
      <c r="Y2" s="54" t="s">
        <v>26</v>
      </c>
      <c r="Z2" s="54" t="s">
        <v>27</v>
      </c>
      <c r="AA2" s="54"/>
      <c r="AB2" s="54" t="s">
        <v>28</v>
      </c>
      <c r="AC2" s="54" t="s">
        <v>29</v>
      </c>
      <c r="AD2" s="54" t="s">
        <v>30</v>
      </c>
      <c r="AE2" s="54" t="s">
        <v>189</v>
      </c>
    </row>
    <row r="3" customFormat="false" ht="15.75" hidden="false" customHeight="false" outlineLevel="0" collapsed="false">
      <c r="A3" s="188" t="s">
        <v>37</v>
      </c>
      <c r="H3" s="47" t="s">
        <v>38</v>
      </c>
      <c r="I3" s="47" t="s">
        <v>38</v>
      </c>
      <c r="J3" s="47" t="s">
        <v>38</v>
      </c>
      <c r="K3" s="47"/>
      <c r="O3" s="189"/>
      <c r="P3" s="189"/>
      <c r="Q3" s="189"/>
      <c r="T3" s="189"/>
      <c r="U3" s="188"/>
      <c r="V3" s="188"/>
      <c r="W3" s="47" t="s">
        <v>38</v>
      </c>
      <c r="X3" s="47" t="s">
        <v>38</v>
      </c>
      <c r="Y3" s="47" t="s">
        <v>38</v>
      </c>
      <c r="Z3" s="47"/>
      <c r="AA3" s="47"/>
      <c r="AB3" s="47" t="s">
        <v>38</v>
      </c>
      <c r="AC3" s="47" t="s">
        <v>38</v>
      </c>
      <c r="AD3" s="47" t="s">
        <v>38</v>
      </c>
    </row>
    <row r="4" customFormat="false" ht="15.75" hidden="false" customHeight="false" outlineLevel="0" collapsed="false">
      <c r="A4" s="47" t="s">
        <v>53</v>
      </c>
      <c r="B4" s="191" t="n">
        <v>30601</v>
      </c>
      <c r="C4" s="191" t="n">
        <v>32376</v>
      </c>
      <c r="D4" s="191" t="n">
        <v>34350</v>
      </c>
      <c r="E4" s="191" t="n">
        <v>36397</v>
      </c>
      <c r="F4" s="191" t="n">
        <v>39117</v>
      </c>
      <c r="G4" s="191" t="n">
        <v>37403</v>
      </c>
      <c r="H4" s="191" t="n">
        <v>44538</v>
      </c>
      <c r="I4" s="191" t="n">
        <v>46710</v>
      </c>
      <c r="J4" s="191" t="n">
        <v>51217</v>
      </c>
      <c r="K4" s="191" t="n">
        <v>51362</v>
      </c>
      <c r="M4" s="191" t="n">
        <v>10594</v>
      </c>
      <c r="N4" s="191" t="n">
        <v>11243</v>
      </c>
      <c r="O4" s="191" t="n">
        <v>10357</v>
      </c>
      <c r="P4" s="191" t="n">
        <v>12344</v>
      </c>
      <c r="Q4" s="191"/>
      <c r="R4" s="191" t="n">
        <v>12248</v>
      </c>
      <c r="S4" s="191" t="n">
        <v>11357</v>
      </c>
      <c r="T4" s="191" t="n">
        <v>10871</v>
      </c>
      <c r="U4" s="47" t="n">
        <v>12234</v>
      </c>
      <c r="V4" s="47"/>
      <c r="W4" s="191" t="n">
        <v>12687</v>
      </c>
      <c r="X4" s="191" t="n">
        <v>13315</v>
      </c>
      <c r="Y4" s="191" t="n">
        <v>12390</v>
      </c>
      <c r="Z4" s="191" t="n">
        <v>12825</v>
      </c>
      <c r="AA4" s="191"/>
      <c r="AB4" s="191" t="n">
        <v>12939</v>
      </c>
      <c r="AC4" s="191" t="n">
        <v>13388</v>
      </c>
      <c r="AD4" s="191" t="n">
        <v>12429</v>
      </c>
      <c r="AE4" s="0" t="n">
        <f aca="false">K4-SUM(AB4:AD4)</f>
        <v>12606</v>
      </c>
    </row>
    <row r="5" customFormat="false" ht="15.75" hidden="false" customHeight="false" outlineLevel="0" collapsed="false">
      <c r="A5" s="47" t="s">
        <v>54</v>
      </c>
      <c r="B5" s="193" t="n">
        <v>16534</v>
      </c>
      <c r="C5" s="193" t="n">
        <v>17405</v>
      </c>
      <c r="D5" s="193" t="n">
        <v>19038</v>
      </c>
      <c r="E5" s="193" t="n">
        <v>20441</v>
      </c>
      <c r="F5" s="193" t="n">
        <v>21643</v>
      </c>
      <c r="G5" s="193" t="n">
        <v>21162</v>
      </c>
      <c r="H5" s="193" t="n">
        <v>24576</v>
      </c>
      <c r="I5" s="193" t="n">
        <v>25231</v>
      </c>
      <c r="J5" s="193" t="n">
        <v>28925</v>
      </c>
      <c r="K5" s="193" t="n">
        <v>28475</v>
      </c>
      <c r="M5" s="193" t="n">
        <v>5853</v>
      </c>
      <c r="N5" s="193" t="n">
        <v>6396</v>
      </c>
      <c r="O5" s="193" t="n">
        <v>5638</v>
      </c>
      <c r="P5" s="193" t="n">
        <v>6689</v>
      </c>
      <c r="Q5" s="193"/>
      <c r="R5" s="193" t="n">
        <v>6552</v>
      </c>
      <c r="S5" s="193" t="n">
        <v>6144</v>
      </c>
      <c r="T5" s="193" t="n">
        <v>5804</v>
      </c>
      <c r="U5" s="47" t="n">
        <v>6731</v>
      </c>
      <c r="V5" s="47"/>
      <c r="W5" s="193" t="n">
        <v>7072</v>
      </c>
      <c r="X5" s="193" t="n">
        <v>7604</v>
      </c>
      <c r="Y5" s="193" t="n">
        <v>7019</v>
      </c>
      <c r="Z5" s="193" t="n">
        <v>7230</v>
      </c>
      <c r="AA5" s="193"/>
      <c r="AB5" s="193" t="n">
        <v>7219</v>
      </c>
      <c r="AC5" s="193" t="n">
        <v>7417</v>
      </c>
      <c r="AD5" s="193" t="n">
        <v>6867</v>
      </c>
      <c r="AE5" s="0" t="n">
        <f aca="false">K5-SUM(AB5:AD5)</f>
        <v>6972</v>
      </c>
    </row>
    <row r="6" customFormat="false" ht="15.75" hidden="false" customHeight="false" outlineLevel="0" collapsed="false">
      <c r="A6" s="47" t="s">
        <v>55</v>
      </c>
      <c r="B6" s="193" t="n">
        <f aca="false">B4-B5</f>
        <v>14067</v>
      </c>
      <c r="C6" s="193" t="n">
        <f aca="false">C4-C5</f>
        <v>14971</v>
      </c>
      <c r="D6" s="193" t="n">
        <f aca="false">D4-D5</f>
        <v>15312</v>
      </c>
      <c r="E6" s="193" t="n">
        <f aca="false">E4-E5</f>
        <v>15956</v>
      </c>
      <c r="F6" s="193" t="n">
        <f aca="false">F4-F5</f>
        <v>17474</v>
      </c>
      <c r="G6" s="193" t="n">
        <f aca="false">G4-G5</f>
        <v>16241</v>
      </c>
      <c r="H6" s="193" t="n">
        <f aca="false">H4-H5</f>
        <v>19962</v>
      </c>
      <c r="I6" s="193" t="n">
        <f aca="false">I4-I5</f>
        <v>21479</v>
      </c>
      <c r="J6" s="193" t="n">
        <f aca="false">J4-J5</f>
        <v>22292</v>
      </c>
      <c r="K6" s="193" t="n">
        <f aca="false">K4-K5</f>
        <v>22887</v>
      </c>
      <c r="L6" s="193"/>
      <c r="M6" s="193" t="n">
        <f aca="false">M4-M5</f>
        <v>4741</v>
      </c>
      <c r="N6" s="193" t="n">
        <f aca="false">N4-N5</f>
        <v>4847</v>
      </c>
      <c r="O6" s="193" t="n">
        <f aca="false">O4-O5</f>
        <v>4719</v>
      </c>
      <c r="P6" s="193" t="n">
        <f aca="false">P4-P5</f>
        <v>5655</v>
      </c>
      <c r="Q6" s="193"/>
      <c r="R6" s="193" t="n">
        <f aca="false">R4-R5</f>
        <v>5696</v>
      </c>
      <c r="S6" s="193" t="n">
        <f aca="false">S4-S5</f>
        <v>5213</v>
      </c>
      <c r="T6" s="193" t="n">
        <f aca="false">T4-T5</f>
        <v>5067</v>
      </c>
      <c r="U6" s="193" t="n">
        <f aca="false">U4-U5</f>
        <v>5503</v>
      </c>
      <c r="V6" s="193"/>
      <c r="W6" s="193" t="n">
        <f aca="false">W4-W5</f>
        <v>5615</v>
      </c>
      <c r="X6" s="193" t="n">
        <f aca="false">X4-X5</f>
        <v>5711</v>
      </c>
      <c r="Y6" s="193" t="n">
        <f aca="false">Y4-Y5</f>
        <v>5371</v>
      </c>
      <c r="Z6" s="193" t="n">
        <f aca="false">Z4-Z5</f>
        <v>5595</v>
      </c>
      <c r="AA6" s="193"/>
      <c r="AB6" s="193" t="n">
        <f aca="false">AB4-AB5</f>
        <v>5720</v>
      </c>
      <c r="AC6" s="193" t="n">
        <f aca="false">AC4-AC5</f>
        <v>5971</v>
      </c>
      <c r="AD6" s="193" t="n">
        <f aca="false">AD4-AD5</f>
        <v>5562</v>
      </c>
      <c r="AE6" s="193" t="n">
        <f aca="false">AE4-AE5</f>
        <v>5634</v>
      </c>
    </row>
    <row r="7" customFormat="false" ht="15.75" hidden="false" customHeight="false" outlineLevel="0" collapsed="false">
      <c r="A7" s="47" t="s">
        <v>56</v>
      </c>
      <c r="B7" s="193" t="n">
        <v>3213</v>
      </c>
      <c r="C7" s="193" t="n">
        <v>3278</v>
      </c>
      <c r="D7" s="193" t="n">
        <v>3341</v>
      </c>
      <c r="E7" s="193" t="n">
        <v>3577</v>
      </c>
      <c r="F7" s="193" t="n">
        <v>3753</v>
      </c>
      <c r="G7" s="193" t="n">
        <v>3592</v>
      </c>
      <c r="H7" s="193" t="n">
        <v>3114</v>
      </c>
      <c r="I7" s="193" t="n">
        <v>3850</v>
      </c>
      <c r="J7" s="193" t="n">
        <v>4060</v>
      </c>
      <c r="K7" s="193" t="n">
        <v>4285</v>
      </c>
      <c r="M7" s="193" t="n">
        <v>677</v>
      </c>
      <c r="N7" s="193" t="n">
        <v>729</v>
      </c>
      <c r="O7" s="193" t="n">
        <v>711</v>
      </c>
      <c r="P7" s="193" t="n">
        <v>997</v>
      </c>
      <c r="Q7" s="193"/>
      <c r="R7" s="193" t="n">
        <v>918</v>
      </c>
      <c r="S7" s="193" t="n">
        <v>1017</v>
      </c>
      <c r="T7" s="193" t="n">
        <v>854</v>
      </c>
      <c r="U7" s="47" t="n">
        <v>1061</v>
      </c>
      <c r="W7" s="193" t="n">
        <v>943</v>
      </c>
      <c r="X7" s="193" t="n">
        <v>1102</v>
      </c>
      <c r="Y7" s="193" t="n">
        <v>923</v>
      </c>
      <c r="Z7" s="193" t="n">
        <v>1092</v>
      </c>
      <c r="AA7" s="193"/>
      <c r="AB7" s="193" t="n">
        <v>1069</v>
      </c>
      <c r="AC7" s="193" t="n">
        <v>1114</v>
      </c>
      <c r="AD7" s="193" t="n">
        <v>1011</v>
      </c>
      <c r="AE7" s="0" t="n">
        <f aca="false">K7-SUM(AB7:AD7)</f>
        <v>1091</v>
      </c>
    </row>
    <row r="8" customFormat="false" ht="15.75" hidden="false" customHeight="false" outlineLevel="0" collapsed="false">
      <c r="A8" s="47" t="s">
        <v>57</v>
      </c>
      <c r="B8" s="193" t="n">
        <v>6679</v>
      </c>
      <c r="C8" s="193" t="n">
        <v>7191</v>
      </c>
      <c r="D8" s="193" t="n">
        <v>7222</v>
      </c>
      <c r="E8" s="193" t="n">
        <v>7934</v>
      </c>
      <c r="F8" s="193" t="n">
        <v>8949</v>
      </c>
      <c r="G8" s="193" t="n">
        <v>9534</v>
      </c>
      <c r="H8" s="193" t="n">
        <v>9911</v>
      </c>
      <c r="I8" s="193" t="n">
        <v>10954</v>
      </c>
      <c r="J8" s="193" t="n">
        <v>12317</v>
      </c>
      <c r="K8" s="193" t="n">
        <v>12291</v>
      </c>
      <c r="M8" s="193" t="n">
        <v>2298</v>
      </c>
      <c r="N8" s="193" t="n">
        <v>2538</v>
      </c>
      <c r="O8" s="193" t="n">
        <v>2330</v>
      </c>
      <c r="P8" s="193" t="n">
        <v>2745</v>
      </c>
      <c r="Q8" s="193"/>
      <c r="R8" s="193" t="n">
        <v>2654</v>
      </c>
      <c r="S8" s="193" t="n">
        <v>2742</v>
      </c>
      <c r="T8" s="193" t="n">
        <v>2584</v>
      </c>
      <c r="U8" s="47" t="n">
        <v>2974</v>
      </c>
      <c r="V8" s="47"/>
      <c r="W8" s="193" t="n">
        <v>2977</v>
      </c>
      <c r="X8" s="193" t="n">
        <v>3022</v>
      </c>
      <c r="Y8" s="193" t="n">
        <v>3036</v>
      </c>
      <c r="Z8" s="193" t="n">
        <v>3282</v>
      </c>
      <c r="AA8" s="193"/>
      <c r="AB8" s="193" t="n">
        <v>3047</v>
      </c>
      <c r="AC8" s="193" t="n">
        <v>3032</v>
      </c>
      <c r="AD8" s="193" t="n">
        <v>3215</v>
      </c>
      <c r="AE8" s="0" t="n">
        <f aca="false">K8-SUM(AB8:AD8)</f>
        <v>2997</v>
      </c>
    </row>
    <row r="9" customFormat="false" ht="23.85" hidden="false" customHeight="false" outlineLevel="0" collapsed="false">
      <c r="A9" s="47" t="s">
        <v>58</v>
      </c>
      <c r="B9" s="193" t="n">
        <v>9892</v>
      </c>
      <c r="C9" s="193" t="n">
        <v>10469</v>
      </c>
      <c r="D9" s="193" t="n">
        <v>10563</v>
      </c>
      <c r="E9" s="193" t="n">
        <v>11511</v>
      </c>
      <c r="F9" s="193" t="n">
        <v>12702</v>
      </c>
      <c r="G9" s="193" t="n">
        <v>13126</v>
      </c>
      <c r="H9" s="193" t="n">
        <v>13025</v>
      </c>
      <c r="I9" s="193" t="n">
        <v>14804</v>
      </c>
      <c r="J9" s="193" t="n">
        <v>16377</v>
      </c>
      <c r="K9" s="193" t="n">
        <v>16576</v>
      </c>
      <c r="M9" s="193" t="n">
        <v>2975</v>
      </c>
      <c r="N9" s="193" t="n">
        <v>3267</v>
      </c>
      <c r="O9" s="193" t="n">
        <v>3041</v>
      </c>
      <c r="P9" s="193" t="n">
        <v>3742</v>
      </c>
      <c r="Q9" s="193"/>
      <c r="R9" s="193" t="n">
        <v>3572</v>
      </c>
      <c r="S9" s="193" t="n">
        <v>3759</v>
      </c>
      <c r="T9" s="193" t="n">
        <v>3438</v>
      </c>
      <c r="U9" s="47" t="n">
        <v>4035</v>
      </c>
      <c r="V9" s="47"/>
      <c r="W9" s="193" t="n">
        <v>3920</v>
      </c>
      <c r="X9" s="193" t="n">
        <v>4124</v>
      </c>
      <c r="Y9" s="193" t="n">
        <v>3959</v>
      </c>
      <c r="Z9" s="193" t="n">
        <v>4374</v>
      </c>
      <c r="AA9" s="193"/>
      <c r="AB9" s="193" t="n">
        <v>4116</v>
      </c>
      <c r="AC9" s="193" t="n">
        <v>4146</v>
      </c>
      <c r="AD9" s="193" t="n">
        <v>4226</v>
      </c>
      <c r="AE9" s="0" t="n">
        <f aca="false">K9-SUM(AB9:AD9)</f>
        <v>4088</v>
      </c>
    </row>
    <row r="10" customFormat="false" ht="15.75" hidden="false" customHeight="false" outlineLevel="0" collapsed="false">
      <c r="A10" s="47" t="s">
        <v>60</v>
      </c>
      <c r="B10" s="193" t="n">
        <f aca="false">B6-B9</f>
        <v>4175</v>
      </c>
      <c r="C10" s="193" t="n">
        <f aca="false">C6-C9</f>
        <v>4502</v>
      </c>
      <c r="D10" s="193" t="n">
        <f aca="false">D6-D9</f>
        <v>4749</v>
      </c>
      <c r="E10" s="193" t="n">
        <f aca="false">E6-E9</f>
        <v>4445</v>
      </c>
      <c r="F10" s="193" t="n">
        <f aca="false">F6-F9</f>
        <v>4772</v>
      </c>
      <c r="G10" s="193" t="n">
        <f aca="false">G6-G9</f>
        <v>3115</v>
      </c>
      <c r="H10" s="193" t="n">
        <f aca="false">H6-H9</f>
        <v>6937</v>
      </c>
      <c r="I10" s="193" t="n">
        <f aca="false">I6-I9</f>
        <v>6675</v>
      </c>
      <c r="J10" s="193" t="n">
        <f aca="false">J6-J9</f>
        <v>5915</v>
      </c>
      <c r="K10" s="193" t="n">
        <f aca="false">K6-K9</f>
        <v>6311</v>
      </c>
      <c r="L10" s="193"/>
      <c r="M10" s="193" t="n">
        <f aca="false">M6-M9</f>
        <v>1766</v>
      </c>
      <c r="N10" s="193" t="n">
        <f aca="false">N6-N9</f>
        <v>1580</v>
      </c>
      <c r="O10" s="193" t="n">
        <f aca="false">O6-O9</f>
        <v>1678</v>
      </c>
      <c r="P10" s="193" t="n">
        <f aca="false">P6-P9</f>
        <v>1913</v>
      </c>
      <c r="Q10" s="193"/>
      <c r="R10" s="193" t="n">
        <f aca="false">R6-R9</f>
        <v>2124</v>
      </c>
      <c r="S10" s="193" t="n">
        <f aca="false">S6-S9</f>
        <v>1454</v>
      </c>
      <c r="T10" s="193" t="n">
        <f aca="false">T6-T9</f>
        <v>1629</v>
      </c>
      <c r="U10" s="193" t="n">
        <f aca="false">U6-U9</f>
        <v>1468</v>
      </c>
      <c r="V10" s="193"/>
      <c r="W10" s="193" t="n">
        <f aca="false">W6-W9</f>
        <v>1695</v>
      </c>
      <c r="X10" s="193" t="n">
        <f aca="false">X6-X9</f>
        <v>1587</v>
      </c>
      <c r="Y10" s="193" t="n">
        <f aca="false">Y6-Y9</f>
        <v>1412</v>
      </c>
      <c r="Z10" s="193" t="n">
        <f aca="false">Z6-Z9</f>
        <v>1221</v>
      </c>
      <c r="AA10" s="193"/>
      <c r="AB10" s="193" t="n">
        <f aca="false">AB6-AB9</f>
        <v>1604</v>
      </c>
      <c r="AC10" s="193" t="n">
        <f aca="false">AC6-AC9</f>
        <v>1825</v>
      </c>
      <c r="AD10" s="193" t="n">
        <f aca="false">AD6-AD9</f>
        <v>1336</v>
      </c>
      <c r="AE10" s="193" t="n">
        <f aca="false">AE6-AE9</f>
        <v>1546</v>
      </c>
    </row>
    <row r="11" customFormat="false" ht="15.75" hidden="false" customHeight="false" outlineLevel="0" collapsed="false">
      <c r="A11" s="47" t="s">
        <v>61</v>
      </c>
      <c r="B11" s="193" t="n">
        <v>28</v>
      </c>
      <c r="C11" s="193" t="n">
        <v>19</v>
      </c>
      <c r="D11" s="193" t="n">
        <v>59</v>
      </c>
      <c r="E11" s="193" t="n">
        <v>54</v>
      </c>
      <c r="F11" s="193" t="n">
        <v>49</v>
      </c>
      <c r="G11" s="193" t="n">
        <v>89</v>
      </c>
      <c r="H11" s="193" t="n">
        <v>262</v>
      </c>
      <c r="I11" s="193" t="n">
        <v>205</v>
      </c>
      <c r="J11" s="193" t="n">
        <v>-6</v>
      </c>
      <c r="K11" s="193" t="n">
        <v>-161</v>
      </c>
      <c r="M11" s="193" t="n">
        <v>65</v>
      </c>
      <c r="N11" s="193" t="n">
        <v>70</v>
      </c>
      <c r="O11" s="193" t="n">
        <v>64</v>
      </c>
      <c r="P11" s="193" t="n">
        <v>63</v>
      </c>
      <c r="Q11" s="193"/>
      <c r="R11" s="193" t="n">
        <v>57</v>
      </c>
      <c r="S11" s="193" t="n">
        <v>55</v>
      </c>
      <c r="T11" s="193" t="n">
        <v>53</v>
      </c>
      <c r="U11" s="47" t="n">
        <v>40</v>
      </c>
      <c r="V11" s="47"/>
      <c r="W11" s="193" t="n">
        <v>13</v>
      </c>
      <c r="X11" s="193" t="n">
        <v>16</v>
      </c>
      <c r="Y11" s="193" t="n">
        <v>-7</v>
      </c>
      <c r="Z11" s="193" t="n">
        <v>-28</v>
      </c>
      <c r="AA11" s="193"/>
      <c r="AB11" s="193" t="n">
        <v>-34</v>
      </c>
      <c r="AC11" s="193" t="n">
        <v>-22</v>
      </c>
      <c r="AD11" s="193" t="n">
        <v>-52</v>
      </c>
      <c r="AE11" s="0" t="n">
        <f aca="false">K11-SUM(AB11:AD11)</f>
        <v>-53</v>
      </c>
    </row>
    <row r="12" customFormat="false" ht="15.75" hidden="false" customHeight="false" outlineLevel="0" collapsed="false">
      <c r="A12" s="47" t="s">
        <v>62</v>
      </c>
      <c r="B12" s="193" t="n">
        <v>-58</v>
      </c>
      <c r="C12" s="193" t="n">
        <v>-140</v>
      </c>
      <c r="D12" s="193" t="n">
        <v>-196</v>
      </c>
      <c r="E12" s="193" t="n">
        <v>66</v>
      </c>
      <c r="F12" s="193" t="n">
        <v>-78</v>
      </c>
      <c r="G12" s="193" t="n">
        <v>139</v>
      </c>
      <c r="H12" s="193" t="n">
        <v>14</v>
      </c>
      <c r="I12" s="193" t="n">
        <v>-181</v>
      </c>
      <c r="J12" s="193" t="n">
        <v>-280</v>
      </c>
      <c r="K12" s="193" t="n">
        <v>-228</v>
      </c>
      <c r="M12" s="193" t="n">
        <v>-14</v>
      </c>
      <c r="N12" s="193" t="n">
        <v>54</v>
      </c>
      <c r="O12" s="193" t="n">
        <v>-22</v>
      </c>
      <c r="P12" s="193" t="n">
        <v>-4</v>
      </c>
      <c r="Q12" s="193"/>
      <c r="R12" s="193" t="n">
        <v>-39</v>
      </c>
      <c r="S12" s="193" t="n">
        <v>-102</v>
      </c>
      <c r="T12" s="193" t="n">
        <v>-94</v>
      </c>
      <c r="U12" s="47" t="n">
        <v>54</v>
      </c>
      <c r="V12" s="47"/>
      <c r="W12" s="193" t="n">
        <v>-146</v>
      </c>
      <c r="X12" s="193" t="n">
        <v>-79</v>
      </c>
      <c r="Y12" s="193" t="n">
        <v>-58</v>
      </c>
      <c r="Z12" s="193" t="n">
        <v>3</v>
      </c>
      <c r="AA12" s="193"/>
      <c r="AB12" s="193" t="n">
        <v>-10</v>
      </c>
      <c r="AC12" s="193" t="n">
        <v>-75</v>
      </c>
      <c r="AD12" s="193" t="n">
        <v>-16</v>
      </c>
      <c r="AE12" s="0" t="n">
        <f aca="false">K12-SUM(AB12:AD12)</f>
        <v>-127</v>
      </c>
    </row>
    <row r="13" customFormat="false" ht="15.75" hidden="false" customHeight="false" outlineLevel="0" collapsed="false">
      <c r="A13" s="47" t="s">
        <v>75</v>
      </c>
      <c r="B13" s="193" t="n">
        <v>4205</v>
      </c>
      <c r="C13" s="193" t="n">
        <v>4623</v>
      </c>
      <c r="D13" s="193" t="n">
        <v>4886</v>
      </c>
      <c r="E13" s="193" t="n">
        <v>4325</v>
      </c>
      <c r="F13" s="193" t="n">
        <v>4801</v>
      </c>
      <c r="G13" s="193" t="n">
        <v>2887</v>
      </c>
      <c r="H13" s="193" t="n">
        <v>6661</v>
      </c>
      <c r="I13" s="193" t="n">
        <v>6651</v>
      </c>
      <c r="J13" s="193" t="n">
        <v>6201</v>
      </c>
      <c r="K13" s="193" t="n">
        <v>6700</v>
      </c>
      <c r="M13" s="193" t="n">
        <v>1715</v>
      </c>
      <c r="N13" s="193" t="n">
        <v>1456</v>
      </c>
      <c r="O13" s="193" t="n">
        <v>1636</v>
      </c>
      <c r="P13" s="200" t="n">
        <f aca="false">P10-P11-P12</f>
        <v>1854</v>
      </c>
      <c r="Q13" s="200"/>
      <c r="R13" s="200" t="n">
        <f aca="false">R10-R11-R12</f>
        <v>2106</v>
      </c>
      <c r="S13" s="200" t="n">
        <f aca="false">S10-S11-S12</f>
        <v>1501</v>
      </c>
      <c r="T13" s="200" t="n">
        <f aca="false">T10-T11-T12</f>
        <v>1670</v>
      </c>
      <c r="U13" s="200" t="n">
        <f aca="false">U10-U11-U12</f>
        <v>1374</v>
      </c>
      <c r="V13" s="47"/>
      <c r="W13" s="193" t="n">
        <v>1828</v>
      </c>
      <c r="X13" s="193" t="n">
        <v>1650</v>
      </c>
      <c r="Y13" s="193" t="n">
        <v>1477</v>
      </c>
      <c r="Z13" s="193" t="n">
        <v>1246</v>
      </c>
      <c r="AA13" s="193"/>
      <c r="AB13" s="193" t="n">
        <v>1648</v>
      </c>
      <c r="AC13" s="193" t="n">
        <v>1922</v>
      </c>
      <c r="AD13" s="193" t="n">
        <v>1404</v>
      </c>
      <c r="AE13" s="0" t="n">
        <f aca="false">K13-SUM(AB13:AD13)</f>
        <v>1726</v>
      </c>
    </row>
    <row r="14" customFormat="false" ht="15.75" hidden="false" customHeight="false" outlineLevel="0" collapsed="false">
      <c r="A14" s="47" t="s">
        <v>64</v>
      </c>
      <c r="B14" s="193" t="n">
        <v>932</v>
      </c>
      <c r="C14" s="193" t="n">
        <v>863</v>
      </c>
      <c r="D14" s="193" t="n">
        <v>646</v>
      </c>
      <c r="E14" s="193" t="n">
        <v>2392</v>
      </c>
      <c r="F14" s="193" t="n">
        <v>772</v>
      </c>
      <c r="G14" s="193" t="n">
        <v>348</v>
      </c>
      <c r="H14" s="193" t="n">
        <v>934</v>
      </c>
      <c r="I14" s="193" t="n">
        <v>605</v>
      </c>
      <c r="J14" s="193" t="n">
        <v>1131</v>
      </c>
      <c r="K14" s="193" t="n">
        <v>1000</v>
      </c>
      <c r="M14" s="193" t="n">
        <v>197</v>
      </c>
      <c r="N14" s="193" t="n">
        <v>205</v>
      </c>
      <c r="O14" s="193" t="n">
        <v>187</v>
      </c>
      <c r="P14" s="193" t="n">
        <v>345</v>
      </c>
      <c r="Q14" s="193"/>
      <c r="R14" s="193" t="n">
        <v>232</v>
      </c>
      <c r="S14" s="193" t="n">
        <v>164</v>
      </c>
      <c r="T14" s="193" t="n">
        <v>274</v>
      </c>
      <c r="U14" s="47" t="n">
        <v>-65</v>
      </c>
      <c r="V14" s="47"/>
      <c r="W14" s="193" t="n">
        <v>360</v>
      </c>
      <c r="X14" s="193" t="n">
        <v>319</v>
      </c>
      <c r="Y14" s="193" t="n">
        <v>237</v>
      </c>
      <c r="Z14" s="193" t="n">
        <v>215</v>
      </c>
      <c r="AA14" s="193"/>
      <c r="AB14" s="193" t="n">
        <v>198</v>
      </c>
      <c r="AC14" s="193" t="n">
        <v>344</v>
      </c>
      <c r="AD14" s="193" t="n">
        <v>232</v>
      </c>
      <c r="AE14" s="0" t="n">
        <f aca="false">K14-SUM(AB14:AD14)</f>
        <v>226</v>
      </c>
    </row>
    <row r="15" customFormat="false" ht="15.75" hidden="false" customHeight="false" outlineLevel="0" collapsed="false">
      <c r="A15" s="47" t="s">
        <v>66</v>
      </c>
      <c r="B15" s="191" t="n">
        <v>3273</v>
      </c>
      <c r="C15" s="191" t="n">
        <v>3760</v>
      </c>
      <c r="D15" s="191" t="n">
        <v>4240</v>
      </c>
      <c r="E15" s="191" t="n">
        <v>1933</v>
      </c>
      <c r="F15" s="191" t="n">
        <v>4029</v>
      </c>
      <c r="G15" s="191" t="n">
        <v>2539</v>
      </c>
      <c r="H15" s="191" t="n">
        <v>5727</v>
      </c>
      <c r="I15" s="191" t="n">
        <v>6046</v>
      </c>
      <c r="J15" s="191" t="n">
        <v>5070</v>
      </c>
      <c r="K15" s="191" t="n">
        <v>5700</v>
      </c>
      <c r="M15" s="191" t="n">
        <v>1518</v>
      </c>
      <c r="N15" s="191" t="n">
        <v>1251</v>
      </c>
      <c r="O15" s="191" t="n">
        <v>1449</v>
      </c>
      <c r="P15" s="200" t="n">
        <f aca="false">P13-P14</f>
        <v>1509</v>
      </c>
      <c r="Q15" s="200"/>
      <c r="R15" s="200" t="n">
        <f aca="false">R13-R14</f>
        <v>1874</v>
      </c>
      <c r="S15" s="200" t="n">
        <f aca="false">S13-S14</f>
        <v>1337</v>
      </c>
      <c r="T15" s="200" t="n">
        <f aca="false">T13-T14</f>
        <v>1396</v>
      </c>
      <c r="U15" s="200" t="n">
        <f aca="false">U13-U14</f>
        <v>1439</v>
      </c>
      <c r="V15" s="47"/>
      <c r="W15" s="191" t="n">
        <v>1468</v>
      </c>
      <c r="X15" s="191" t="n">
        <v>1331</v>
      </c>
      <c r="Y15" s="191" t="n">
        <v>1240</v>
      </c>
      <c r="Z15" s="191" t="n">
        <v>1031</v>
      </c>
      <c r="AA15" s="191"/>
      <c r="AB15" s="191" t="n">
        <v>1450</v>
      </c>
      <c r="AC15" s="191" t="n">
        <v>1578</v>
      </c>
      <c r="AD15" s="191" t="n">
        <v>1172</v>
      </c>
      <c r="AE15" s="0" t="n">
        <f aca="false">K15-SUM(AB15:AD15)</f>
        <v>1500</v>
      </c>
    </row>
    <row r="16" customFormat="false" ht="15.75" hidden="false" customHeight="false" outlineLevel="0" collapsed="false">
      <c r="A16" s="188" t="s">
        <v>67</v>
      </c>
      <c r="H16" s="47" t="s">
        <v>38</v>
      </c>
      <c r="I16" s="47" t="s">
        <v>38</v>
      </c>
      <c r="J16" s="47" t="s">
        <v>38</v>
      </c>
      <c r="K16" s="47" t="s">
        <v>38</v>
      </c>
      <c r="O16" s="189"/>
      <c r="P16" s="189"/>
      <c r="Q16" s="189"/>
      <c r="T16" s="189"/>
      <c r="U16" s="188"/>
      <c r="V16" s="188"/>
      <c r="W16" s="47" t="s">
        <v>38</v>
      </c>
      <c r="X16" s="47" t="s">
        <v>38</v>
      </c>
      <c r="Y16" s="47" t="s">
        <v>38</v>
      </c>
      <c r="Z16" s="47"/>
      <c r="AA16" s="47"/>
      <c r="AB16" s="47" t="s">
        <v>38</v>
      </c>
      <c r="AC16" s="47" t="s">
        <v>38</v>
      </c>
      <c r="AD16" s="47" t="s">
        <v>38</v>
      </c>
    </row>
    <row r="17" customFormat="false" ht="15.75" hidden="false" customHeight="false" outlineLevel="0" collapsed="false">
      <c r="A17" s="47" t="s">
        <v>68</v>
      </c>
      <c r="B17" s="201" t="n">
        <v>1.9</v>
      </c>
      <c r="C17" s="201" t="n">
        <v>2.21</v>
      </c>
      <c r="D17" s="201" t="n">
        <v>2.56</v>
      </c>
      <c r="E17" s="201" t="n">
        <v>1.19</v>
      </c>
      <c r="F17" s="201" t="n">
        <v>2.55</v>
      </c>
      <c r="G17" s="201" t="n">
        <v>1.63</v>
      </c>
      <c r="H17" s="201" t="n">
        <f aca="false">H15/H20</f>
        <v>3.64081373172282</v>
      </c>
      <c r="I17" s="201" t="n">
        <f aca="false">I15/I20</f>
        <v>3.82949075247023</v>
      </c>
      <c r="J17" s="201" t="n">
        <f aca="false">J15/J20</f>
        <v>3.26759474091261</v>
      </c>
      <c r="K17" s="201" t="n">
        <v>3.76</v>
      </c>
      <c r="M17" s="201" t="n">
        <v>0.97</v>
      </c>
      <c r="N17" s="201" t="n">
        <v>0.8</v>
      </c>
      <c r="O17" s="201" t="n">
        <v>0.92</v>
      </c>
      <c r="P17" s="201" t="n">
        <f aca="false">P$15/P20</f>
        <v>0.955668144395187</v>
      </c>
      <c r="Q17" s="201"/>
      <c r="R17" s="201" t="n">
        <v>1.18</v>
      </c>
      <c r="S17" s="201" t="n">
        <v>0.84</v>
      </c>
      <c r="T17" s="201" t="n">
        <v>0.88</v>
      </c>
      <c r="U17" s="201" t="n">
        <f aca="false">U15/U20</f>
        <v>0.915394402035623</v>
      </c>
      <c r="V17" s="201"/>
      <c r="W17" s="201" t="n">
        <v>0.94</v>
      </c>
      <c r="X17" s="201" t="n">
        <v>0.85</v>
      </c>
      <c r="Y17" s="201" t="n">
        <v>0.8</v>
      </c>
      <c r="Z17" s="201" t="n">
        <f aca="false">Z15/Z20</f>
        <v>0.671005532053368</v>
      </c>
      <c r="AA17" s="201"/>
      <c r="AB17" s="201" t="n">
        <v>0.95</v>
      </c>
      <c r="AC17" s="201" t="n">
        <v>1.04</v>
      </c>
      <c r="AD17" s="201" t="n">
        <v>0.77</v>
      </c>
    </row>
    <row r="18" customFormat="false" ht="15.75" hidden="false" customHeight="false" outlineLevel="0" collapsed="false">
      <c r="A18" s="47" t="s">
        <v>69</v>
      </c>
      <c r="B18" s="202" t="n">
        <v>1.85</v>
      </c>
      <c r="C18" s="202" t="n">
        <v>2.16</v>
      </c>
      <c r="D18" s="202" t="n">
        <v>2.51</v>
      </c>
      <c r="E18" s="201" t="n">
        <v>1.17</v>
      </c>
      <c r="F18" s="201" t="n">
        <v>2.49</v>
      </c>
      <c r="G18" s="201" t="n">
        <v>1.6</v>
      </c>
      <c r="H18" s="201" t="n">
        <f aca="false">H15/H21</f>
        <v>3.55846899465639</v>
      </c>
      <c r="I18" s="201" t="n">
        <f aca="false">I15/I21</f>
        <v>3.75341445244599</v>
      </c>
      <c r="J18" s="201" t="n">
        <f aca="false">J15/J21</f>
        <v>3.22971079118359</v>
      </c>
      <c r="K18" s="201" t="n">
        <v>3.73</v>
      </c>
      <c r="M18" s="201" t="n">
        <v>0.95</v>
      </c>
      <c r="N18" s="201" t="n">
        <v>0.78</v>
      </c>
      <c r="O18" s="201" t="n">
        <v>0.9</v>
      </c>
      <c r="P18" s="201" t="n">
        <f aca="false">P$15/P21</f>
        <v>0.934423184098087</v>
      </c>
      <c r="Q18" s="201"/>
      <c r="R18" s="201" t="n">
        <v>1.16</v>
      </c>
      <c r="S18" s="201" t="n">
        <v>0.83</v>
      </c>
      <c r="T18" s="201" t="n">
        <v>0.87</v>
      </c>
      <c r="U18" s="201" t="n">
        <f aca="false">U15/U21</f>
        <v>0.902194357366771</v>
      </c>
      <c r="V18" s="201"/>
      <c r="W18" s="201" t="n">
        <v>0.93</v>
      </c>
      <c r="X18" s="201" t="n">
        <v>0.85</v>
      </c>
      <c r="Y18" s="201" t="n">
        <v>0.79</v>
      </c>
      <c r="Z18" s="201" t="n">
        <f aca="false">Z15/Z21</f>
        <v>0.662468675705198</v>
      </c>
      <c r="AA18" s="201"/>
      <c r="AB18" s="201" t="n">
        <v>0.94</v>
      </c>
      <c r="AC18" s="201" t="n">
        <v>1.03</v>
      </c>
      <c r="AD18" s="201" t="n">
        <v>0.77</v>
      </c>
    </row>
    <row r="19" customFormat="false" ht="23.85" hidden="false" customHeight="false" outlineLevel="0" collapsed="false">
      <c r="A19" s="188" t="s">
        <v>70</v>
      </c>
      <c r="B19" s="201"/>
      <c r="C19" s="201"/>
      <c r="D19" s="201"/>
      <c r="H19" s="47" t="s">
        <v>38</v>
      </c>
      <c r="I19" s="47" t="s">
        <v>38</v>
      </c>
      <c r="J19" s="47" t="s">
        <v>38</v>
      </c>
      <c r="K19" s="47" t="s">
        <v>38</v>
      </c>
      <c r="O19" s="189"/>
      <c r="P19" s="189"/>
      <c r="Q19" s="189"/>
      <c r="T19" s="189"/>
      <c r="U19" s="188"/>
      <c r="V19" s="188"/>
      <c r="W19" s="47" t="s">
        <v>38</v>
      </c>
      <c r="X19" s="47" t="s">
        <v>38</v>
      </c>
      <c r="Y19" s="47" t="s">
        <v>38</v>
      </c>
      <c r="Z19" s="47"/>
      <c r="AA19" s="47"/>
      <c r="AB19" s="47" t="s">
        <v>38</v>
      </c>
      <c r="AC19" s="47" t="s">
        <v>38</v>
      </c>
      <c r="AD19" s="47" t="s">
        <v>38</v>
      </c>
    </row>
    <row r="20" customFormat="false" ht="15.75" hidden="false" customHeight="false" outlineLevel="0" collapsed="false">
      <c r="A20" s="47" t="s">
        <v>71</v>
      </c>
      <c r="B20" s="203" t="n">
        <f aca="false">B15/B17</f>
        <v>1722.63157894737</v>
      </c>
      <c r="C20" s="203" t="n">
        <f aca="false">C15/C17</f>
        <v>1701.35746606335</v>
      </c>
      <c r="D20" s="203" t="n">
        <f aca="false">D15/D17</f>
        <v>1656.25</v>
      </c>
      <c r="E20" s="204" t="n">
        <v>1623.8</v>
      </c>
      <c r="F20" s="204" t="n">
        <v>1579.7</v>
      </c>
      <c r="G20" s="204" t="n">
        <v>1558.8</v>
      </c>
      <c r="H20" s="193" t="n">
        <v>1573</v>
      </c>
      <c r="I20" s="204" t="n">
        <v>1578.8</v>
      </c>
      <c r="J20" s="204" t="n">
        <v>1551.6</v>
      </c>
      <c r="K20" s="204" t="n">
        <v>1517.6</v>
      </c>
      <c r="M20" s="204" t="n">
        <v>1561.8</v>
      </c>
      <c r="N20" s="193" t="n">
        <v>1573</v>
      </c>
      <c r="O20" s="193" t="n">
        <v>1578</v>
      </c>
      <c r="P20" s="193" t="n">
        <v>1579</v>
      </c>
      <c r="Q20" s="193"/>
      <c r="R20" s="204" t="n">
        <v>1581.9</v>
      </c>
      <c r="S20" s="204" t="n">
        <v>1582.4</v>
      </c>
      <c r="T20" s="193" t="n">
        <v>1579</v>
      </c>
      <c r="U20" s="47" t="n">
        <v>1572</v>
      </c>
      <c r="V20" s="47"/>
      <c r="W20" s="204" t="n">
        <v>1567.1</v>
      </c>
      <c r="X20" s="193" t="n">
        <v>1559</v>
      </c>
      <c r="Y20" s="204" t="n">
        <v>1543.8</v>
      </c>
      <c r="Z20" s="204" t="n">
        <v>1536.5</v>
      </c>
      <c r="AA20" s="204"/>
      <c r="AB20" s="204" t="n">
        <v>1528.4</v>
      </c>
      <c r="AC20" s="204" t="n">
        <v>1520.8</v>
      </c>
      <c r="AD20" s="204" t="n">
        <v>1513.2</v>
      </c>
    </row>
    <row r="21" customFormat="false" ht="15.75" hidden="false" customHeight="false" outlineLevel="0" collapsed="false">
      <c r="A21" s="47" t="s">
        <v>72</v>
      </c>
      <c r="B21" s="203" t="n">
        <f aca="false">B15/B18</f>
        <v>1769.18918918919</v>
      </c>
      <c r="C21" s="203" t="n">
        <f aca="false">C15/C18</f>
        <v>1740.74074074074</v>
      </c>
      <c r="D21" s="203" t="n">
        <f aca="false">D15/D18</f>
        <v>1689.24302788845</v>
      </c>
      <c r="E21" s="204" t="n">
        <v>1659.1</v>
      </c>
      <c r="F21" s="204" t="n">
        <v>1618.4</v>
      </c>
      <c r="G21" s="204" t="n">
        <v>1591.6</v>
      </c>
      <c r="H21" s="204" t="n">
        <v>1609.4</v>
      </c>
      <c r="I21" s="204" t="n">
        <v>1610.8</v>
      </c>
      <c r="J21" s="204" t="n">
        <v>1569.8</v>
      </c>
      <c r="K21" s="204" t="n">
        <v>1529.7</v>
      </c>
      <c r="M21" s="204" t="n">
        <v>1593.3</v>
      </c>
      <c r="N21" s="204" t="n">
        <v>1609.5</v>
      </c>
      <c r="O21" s="204" t="n">
        <v>1616.9</v>
      </c>
      <c r="P21" s="204" t="n">
        <v>1614.9</v>
      </c>
      <c r="Q21" s="204"/>
      <c r="R21" s="204" t="n">
        <v>1619.6</v>
      </c>
      <c r="S21" s="204" t="n">
        <v>1617.4</v>
      </c>
      <c r="T21" s="204" t="n">
        <v>1610.7</v>
      </c>
      <c r="U21" s="47" t="n">
        <v>1595</v>
      </c>
      <c r="V21" s="47"/>
      <c r="W21" s="204" t="n">
        <v>1585.8</v>
      </c>
      <c r="X21" s="204" t="n">
        <v>1572.4</v>
      </c>
      <c r="Y21" s="204" t="n">
        <v>1564.8</v>
      </c>
      <c r="Z21" s="204" t="n">
        <v>1556.3</v>
      </c>
      <c r="AA21" s="204"/>
      <c r="AB21" s="204" t="n">
        <v>1543.3</v>
      </c>
      <c r="AC21" s="204" t="n">
        <v>1532.1</v>
      </c>
      <c r="AD21" s="204" t="n">
        <v>1526.5</v>
      </c>
    </row>
    <row r="22" customFormat="false" ht="15.75" hidden="false" customHeight="false" outlineLevel="0" collapsed="false">
      <c r="A22" s="47"/>
      <c r="B22" s="193"/>
      <c r="C22" s="193"/>
      <c r="D22" s="193"/>
    </row>
    <row r="23" customFormat="false" ht="15.75" hidden="false" customHeight="false" outlineLevel="0" collapsed="false">
      <c r="A23" s="205" t="s">
        <v>76</v>
      </c>
    </row>
    <row r="24" customFormat="false" ht="15.75" hidden="false" customHeight="false" outlineLevel="0" collapsed="false">
      <c r="A24" s="0" t="s">
        <v>77</v>
      </c>
      <c r="B24" s="206" t="n">
        <f aca="false">B6/B4</f>
        <v>0.459690859775824</v>
      </c>
      <c r="C24" s="206" t="n">
        <f aca="false">C6/C4</f>
        <v>0.462410427477144</v>
      </c>
      <c r="D24" s="206" t="n">
        <f aca="false">D6/D4</f>
        <v>0.445764192139738</v>
      </c>
      <c r="E24" s="206" t="n">
        <f aca="false">E6/E4</f>
        <v>0.438387779212572</v>
      </c>
      <c r="F24" s="206" t="n">
        <f aca="false">F6/F4</f>
        <v>0.446711148605466</v>
      </c>
      <c r="G24" s="206" t="n">
        <f aca="false">G6/G4</f>
        <v>0.434216506697324</v>
      </c>
      <c r="H24" s="206" t="n">
        <f aca="false">H6/H4</f>
        <v>0.44820153576721</v>
      </c>
      <c r="I24" s="206" t="n">
        <f aca="false">I6/I4</f>
        <v>0.45983729394134</v>
      </c>
      <c r="J24" s="206" t="n">
        <f aca="false">J6/J4</f>
        <v>0.435246109690142</v>
      </c>
      <c r="K24" s="206" t="n">
        <f aca="false">K6/K4</f>
        <v>0.445601806783225</v>
      </c>
      <c r="L24" s="206"/>
      <c r="M24" s="206"/>
      <c r="N24" s="206"/>
      <c r="O24" s="206"/>
      <c r="P24" s="206"/>
      <c r="Q24" s="206"/>
      <c r="R24" s="206" t="n">
        <f aca="false">R6/R4</f>
        <v>0.465055519268452</v>
      </c>
      <c r="S24" s="206" t="n">
        <f aca="false">S6/S4</f>
        <v>0.459012063044818</v>
      </c>
      <c r="T24" s="206" t="n">
        <f aca="false">T6/T4</f>
        <v>0.46610247447337</v>
      </c>
      <c r="U24" s="206" t="n">
        <f aca="false">U6/U4</f>
        <v>0.449811999346085</v>
      </c>
      <c r="V24" s="206"/>
      <c r="W24" s="206" t="n">
        <f aca="false">W6/W4</f>
        <v>0.442579017892331</v>
      </c>
      <c r="X24" s="206" t="n">
        <f aca="false">X6/X4</f>
        <v>0.428914757791964</v>
      </c>
      <c r="Y24" s="206" t="n">
        <f aca="false">Y6/Y4</f>
        <v>0.433494753833737</v>
      </c>
      <c r="Z24" s="206" t="n">
        <f aca="false">Z6/Z4</f>
        <v>0.43625730994152</v>
      </c>
      <c r="AA24" s="206"/>
      <c r="AB24" s="206" t="n">
        <f aca="false">AB6/AB4</f>
        <v>0.442074348867764</v>
      </c>
      <c r="AC24" s="206" t="n">
        <f aca="false">AC6/AC4</f>
        <v>0.445996414699731</v>
      </c>
      <c r="AD24" s="206" t="n">
        <f aca="false">AD6/AD4</f>
        <v>0.447501810282404</v>
      </c>
      <c r="AE24" s="206" t="n">
        <f aca="false">AE6/AE4</f>
        <v>0.446930033317468</v>
      </c>
    </row>
    <row r="25" customFormat="false" ht="15.75" hidden="false" customHeight="false" outlineLevel="0" collapsed="false">
      <c r="A25" s="0" t="s">
        <v>79</v>
      </c>
      <c r="B25" s="206" t="n">
        <f aca="false">B9/B4</f>
        <v>0.323257409888566</v>
      </c>
      <c r="C25" s="206" t="n">
        <f aca="false">C9/C4</f>
        <v>0.323356807511737</v>
      </c>
      <c r="D25" s="206" t="n">
        <f aca="false">D9/D4</f>
        <v>0.307510917030568</v>
      </c>
      <c r="E25" s="206" t="n">
        <f aca="false">E9/E4</f>
        <v>0.316262329312856</v>
      </c>
      <c r="F25" s="206" t="n">
        <f aca="false">F9/F4</f>
        <v>0.32471815323261</v>
      </c>
      <c r="G25" s="206" t="n">
        <f aca="false">G9/G4</f>
        <v>0.350934417025372</v>
      </c>
      <c r="H25" s="206" t="n">
        <f aca="false">H9/H4</f>
        <v>0.292446899277022</v>
      </c>
      <c r="I25" s="206" t="n">
        <f aca="false">I9/I4</f>
        <v>0.316934275315778</v>
      </c>
      <c r="J25" s="206" t="n">
        <f aca="false">J9/J4</f>
        <v>0.319757111896441</v>
      </c>
      <c r="K25" s="206" t="n">
        <f aca="false">K9/K4</f>
        <v>0.322728865698376</v>
      </c>
      <c r="L25" s="206"/>
      <c r="M25" s="206"/>
      <c r="N25" s="206"/>
      <c r="O25" s="206"/>
      <c r="P25" s="206"/>
      <c r="Q25" s="206"/>
      <c r="R25" s="206" t="n">
        <f aca="false">R9/R4</f>
        <v>0.291639451338994</v>
      </c>
      <c r="S25" s="206" t="n">
        <f aca="false">S9/S4</f>
        <v>0.330985295412521</v>
      </c>
      <c r="T25" s="206" t="n">
        <f aca="false">T9/T4</f>
        <v>0.316254254438414</v>
      </c>
      <c r="U25" s="206" t="n">
        <f aca="false">U9/U4</f>
        <v>0.329818538499264</v>
      </c>
      <c r="V25" s="206"/>
      <c r="W25" s="206" t="n">
        <f aca="false">W9/W4</f>
        <v>0.308977693702215</v>
      </c>
      <c r="X25" s="206" t="n">
        <f aca="false">X9/X4</f>
        <v>0.309725873075479</v>
      </c>
      <c r="Y25" s="206" t="n">
        <f aca="false">Y9/Y4</f>
        <v>0.31953188054883</v>
      </c>
      <c r="Z25" s="206" t="n">
        <f aca="false">Z9/Z4</f>
        <v>0.341052631578947</v>
      </c>
      <c r="AA25" s="206"/>
      <c r="AB25" s="206" t="n">
        <f aca="false">AB9/AB4</f>
        <v>0.318108045444007</v>
      </c>
      <c r="AC25" s="206" t="n">
        <f aca="false">AC9/AC4</f>
        <v>0.309680310726023</v>
      </c>
      <c r="AD25" s="206" t="n">
        <f aca="false">AD9/AD4</f>
        <v>0.340011263979403</v>
      </c>
      <c r="AE25" s="206" t="n">
        <f aca="false">AE9/AE4</f>
        <v>0.324290020625099</v>
      </c>
    </row>
    <row r="26" customFormat="false" ht="15.75" hidden="false" customHeight="false" outlineLevel="0" collapsed="false">
      <c r="A26" s="0" t="s">
        <v>80</v>
      </c>
      <c r="B26" s="206" t="n">
        <f aca="false">B10/B4</f>
        <v>0.136433449887259</v>
      </c>
      <c r="C26" s="206" t="n">
        <f aca="false">C10/C4</f>
        <v>0.139053619965406</v>
      </c>
      <c r="D26" s="206" t="n">
        <f aca="false">D10/D4</f>
        <v>0.13825327510917</v>
      </c>
      <c r="E26" s="206" t="n">
        <f aca="false">E10/E4</f>
        <v>0.122125449899717</v>
      </c>
      <c r="F26" s="206" t="n">
        <f aca="false">F10/F4</f>
        <v>0.121992995372856</v>
      </c>
      <c r="G26" s="206" t="n">
        <f aca="false">G10/G4</f>
        <v>0.0832820896719514</v>
      </c>
      <c r="H26" s="206" t="n">
        <f aca="false">H10/H4</f>
        <v>0.155754636490188</v>
      </c>
      <c r="I26" s="206" t="n">
        <f aca="false">I10/I4</f>
        <v>0.142903018625562</v>
      </c>
      <c r="J26" s="206" t="n">
        <f aca="false">J10/J4</f>
        <v>0.115488997793701</v>
      </c>
      <c r="K26" s="206" t="n">
        <f aca="false">K10/K4</f>
        <v>0.122872941084849</v>
      </c>
      <c r="L26" s="206"/>
      <c r="M26" s="206"/>
      <c r="N26" s="206"/>
      <c r="O26" s="206"/>
      <c r="P26" s="206"/>
      <c r="Q26" s="206"/>
      <c r="R26" s="206" t="n">
        <f aca="false">R10/R4</f>
        <v>0.173416067929458</v>
      </c>
      <c r="S26" s="206" t="n">
        <f aca="false">S10/S4</f>
        <v>0.128026767632297</v>
      </c>
      <c r="T26" s="206" t="n">
        <f aca="false">T10/T4</f>
        <v>0.149848220034955</v>
      </c>
      <c r="U26" s="206" t="n">
        <f aca="false">U10/U4</f>
        <v>0.11999346084682</v>
      </c>
      <c r="V26" s="206"/>
      <c r="W26" s="206" t="n">
        <f aca="false">W10/W4</f>
        <v>0.133601324190116</v>
      </c>
      <c r="X26" s="206" t="n">
        <f aca="false">X10/X4</f>
        <v>0.119188884716485</v>
      </c>
      <c r="Y26" s="206" t="n">
        <f aca="false">Y10/Y4</f>
        <v>0.113962873284907</v>
      </c>
      <c r="Z26" s="206" t="n">
        <f aca="false">Z10/Z4</f>
        <v>0.0952046783625731</v>
      </c>
      <c r="AA26" s="206"/>
      <c r="AB26" s="206" t="n">
        <f aca="false">AB10/AB4</f>
        <v>0.123966303423758</v>
      </c>
      <c r="AC26" s="206" t="n">
        <f aca="false">AC10/AC4</f>
        <v>0.136316103973708</v>
      </c>
      <c r="AD26" s="206" t="n">
        <f aca="false">AD10/AD4</f>
        <v>0.107490546303001</v>
      </c>
      <c r="AE26" s="206" t="n">
        <f aca="false">AE10/AE4</f>
        <v>0.122640012692369</v>
      </c>
    </row>
    <row r="27" customFormat="false" ht="15.75" hidden="false" customHeight="false" outlineLevel="0" collapsed="false">
      <c r="A27" s="0" t="s">
        <v>81</v>
      </c>
      <c r="B27" s="206" t="n">
        <f aca="false">B15/B4</f>
        <v>0.106957288977484</v>
      </c>
      <c r="C27" s="206" t="n">
        <f aca="false">C15/C4</f>
        <v>0.116135408944897</v>
      </c>
      <c r="D27" s="206" t="n">
        <f aca="false">D15/D4</f>
        <v>0.123435225618632</v>
      </c>
      <c r="E27" s="206" t="n">
        <f aca="false">E15/E4</f>
        <v>0.0531087727010468</v>
      </c>
      <c r="F27" s="206" t="n">
        <f aca="false">F15/F4</f>
        <v>0.102998696219035</v>
      </c>
      <c r="G27" s="206" t="n">
        <f aca="false">G15/G4</f>
        <v>0.0678822554340561</v>
      </c>
      <c r="H27" s="206" t="n">
        <f aca="false">H15/H4</f>
        <v>0.128586824733935</v>
      </c>
      <c r="I27" s="206" t="n">
        <f aca="false">I15/I4</f>
        <v>0.129436951402269</v>
      </c>
      <c r="J27" s="206" t="n">
        <f aca="false">J15/J4</f>
        <v>0.0989905695374583</v>
      </c>
      <c r="K27" s="206" t="n">
        <f aca="false">K15/K4</f>
        <v>0.110976986877458</v>
      </c>
      <c r="L27" s="206"/>
      <c r="M27" s="206"/>
      <c r="N27" s="206"/>
      <c r="O27" s="206"/>
      <c r="P27" s="206"/>
      <c r="Q27" s="206"/>
      <c r="R27" s="206" t="n">
        <f aca="false">R15/R4</f>
        <v>0.153004572175049</v>
      </c>
      <c r="S27" s="206" t="n">
        <f aca="false">S15/S4</f>
        <v>0.117724751254733</v>
      </c>
      <c r="T27" s="206" t="n">
        <f aca="false">T15/T4</f>
        <v>0.128415049213504</v>
      </c>
      <c r="U27" s="206" t="n">
        <f aca="false">U15/U4</f>
        <v>0.117623017819192</v>
      </c>
      <c r="V27" s="206"/>
      <c r="W27" s="206" t="n">
        <f aca="false">W15/W4</f>
        <v>0.11570899345787</v>
      </c>
      <c r="X27" s="206" t="n">
        <f aca="false">X15/X4</f>
        <v>0.099962448366504</v>
      </c>
      <c r="Y27" s="206" t="n">
        <f aca="false">Y15/Y4</f>
        <v>0.100080710250202</v>
      </c>
      <c r="Z27" s="206" t="n">
        <f aca="false">Z15/Z4</f>
        <v>0.0803898635477583</v>
      </c>
      <c r="AA27" s="206"/>
      <c r="AB27" s="206" t="n">
        <f aca="false">AB15/AB4</f>
        <v>0.112064301723472</v>
      </c>
      <c r="AC27" s="206" t="n">
        <f aca="false">AC15/AC4</f>
        <v>0.117866746340006</v>
      </c>
      <c r="AD27" s="206" t="n">
        <f aca="false">AD15/AD4</f>
        <v>0.0942955990023333</v>
      </c>
      <c r="AE27" s="206" t="n">
        <f aca="false">AE15/AE4</f>
        <v>0.118990956687292</v>
      </c>
    </row>
    <row r="28" customFormat="false" ht="15.75" hidden="false" customHeight="false" outlineLevel="0" collapsed="false">
      <c r="A28" s="0" t="s">
        <v>65</v>
      </c>
      <c r="B28" s="0" t="n">
        <f aca="false">B14/B13</f>
        <v>0.221640903686088</v>
      </c>
      <c r="C28" s="0" t="n">
        <f aca="false">C14/C13</f>
        <v>0.186675319056889</v>
      </c>
      <c r="D28" s="0" t="n">
        <f aca="false">D14/D13</f>
        <v>0.13221449038068</v>
      </c>
      <c r="E28" s="0" t="n">
        <f aca="false">E14/E13</f>
        <v>0.553063583815029</v>
      </c>
      <c r="F28" s="0" t="n">
        <f aca="false">F14/F13</f>
        <v>0.160799833368048</v>
      </c>
      <c r="G28" s="0" t="n">
        <f aca="false">G14/G13</f>
        <v>0.120540353307932</v>
      </c>
      <c r="H28" s="0" t="n">
        <f aca="false">H14/H13</f>
        <v>0.140219186308362</v>
      </c>
      <c r="I28" s="0" t="n">
        <f aca="false">I14/I13</f>
        <v>0.0909637648473914</v>
      </c>
      <c r="J28" s="0" t="n">
        <f aca="false">J14/J13</f>
        <v>0.182389937106918</v>
      </c>
      <c r="K28" s="0" t="n">
        <f aca="false">K14/K13</f>
        <v>0.149253731343284</v>
      </c>
      <c r="M28" s="0" t="n">
        <f aca="false">M14/M13</f>
        <v>0.114868804664723</v>
      </c>
      <c r="N28" s="0" t="n">
        <f aca="false">N14/N13</f>
        <v>0.140796703296703</v>
      </c>
      <c r="O28" s="0" t="n">
        <f aca="false">O14/O13</f>
        <v>0.114303178484108</v>
      </c>
      <c r="P28" s="0" t="n">
        <f aca="false">P14/P13</f>
        <v>0.186084142394822</v>
      </c>
      <c r="R28" s="0" t="n">
        <f aca="false">R14/R13</f>
        <v>0.110161443494777</v>
      </c>
      <c r="S28" s="0" t="n">
        <f aca="false">S14/S13</f>
        <v>0.109260493004664</v>
      </c>
      <c r="T28" s="0" t="n">
        <f aca="false">T14/T13</f>
        <v>0.164071856287425</v>
      </c>
      <c r="U28" s="0" t="n">
        <f aca="false">U14/U13</f>
        <v>-0.0473071324599709</v>
      </c>
      <c r="W28" s="0" t="n">
        <f aca="false">W14/W13</f>
        <v>0.196936542669584</v>
      </c>
      <c r="X28" s="0" t="n">
        <f aca="false">X14/X13</f>
        <v>0.193333333333333</v>
      </c>
      <c r="Y28" s="0" t="n">
        <f aca="false">Y14/Y13</f>
        <v>0.160460392687881</v>
      </c>
      <c r="Z28" s="0" t="n">
        <f aca="false">Z14/Z13</f>
        <v>0.172552166934189</v>
      </c>
      <c r="AB28" s="0" t="n">
        <f aca="false">AB14/AB13</f>
        <v>0.120145631067961</v>
      </c>
      <c r="AC28" s="0" t="n">
        <f aca="false">AC14/AC13</f>
        <v>0.1789802289282</v>
      </c>
      <c r="AD28" s="0" t="n">
        <f aca="false">AD14/AD13</f>
        <v>0.165242165242165</v>
      </c>
      <c r="AE28" s="0" t="n">
        <f aca="false">AE14/AE13</f>
        <v>0.130938586326767</v>
      </c>
    </row>
    <row r="29" customFormat="false" ht="15.75" hidden="false" customHeight="false" outlineLevel="0" collapsed="false">
      <c r="A29" s="47"/>
      <c r="B29" s="193"/>
      <c r="C29" s="193"/>
      <c r="D29" s="193"/>
    </row>
    <row r="30" customFormat="false" ht="15.75" hidden="false" customHeight="false" outlineLevel="0" collapsed="false">
      <c r="A30" s="207" t="s">
        <v>73</v>
      </c>
      <c r="B30" s="193"/>
      <c r="C30" s="193"/>
      <c r="D30" s="193"/>
    </row>
    <row r="31" customFormat="false" ht="15.75" hidden="false" customHeight="false" outlineLevel="0" collapsed="false">
      <c r="A31" s="208" t="s">
        <v>53</v>
      </c>
      <c r="B31" s="193"/>
      <c r="C31" s="209" t="n">
        <f aca="false">(C4-B4)/ABS(B4)</f>
        <v>0.0580046403712297</v>
      </c>
      <c r="D31" s="209" t="n">
        <f aca="false">(D4-C4)/ABS(C4)</f>
        <v>0.0609710896960712</v>
      </c>
      <c r="E31" s="209" t="n">
        <f aca="false">(E4-D4)/ABS(D4)</f>
        <v>0.0595924308588064</v>
      </c>
      <c r="F31" s="209" t="n">
        <f aca="false">(F4-E4)/ABS(E4)</f>
        <v>0.0747314339093881</v>
      </c>
      <c r="G31" s="209" t="n">
        <f aca="false">(G4-F4)/ABS(F4)</f>
        <v>-0.0438172661502671</v>
      </c>
      <c r="H31" s="209" t="n">
        <f aca="false">(H4-G4)/ABS(G4)</f>
        <v>0.190760099457263</v>
      </c>
      <c r="I31" s="209" t="n">
        <f aca="false">(I4-H4)/ABS(H4)</f>
        <v>0.0487673447393237</v>
      </c>
      <c r="J31" s="209" t="n">
        <f aca="false">(J4-I4)/ABS(I4)</f>
        <v>0.0964889745236566</v>
      </c>
      <c r="K31" s="209" t="n">
        <f aca="false">(K4-J4)/ABS(J4)</f>
        <v>0.00283109123923697</v>
      </c>
      <c r="L31" s="210"/>
      <c r="M31" s="211"/>
      <c r="N31" s="211"/>
      <c r="O31" s="211"/>
      <c r="P31" s="211"/>
      <c r="Q31" s="211"/>
      <c r="R31" s="211" t="n">
        <f aca="false">(R4-M4)/ABS(M4)</f>
        <v>0.156126109118369</v>
      </c>
      <c r="S31" s="211" t="n">
        <f aca="false">(S4-N4)/ABS(N4)</f>
        <v>0.0101396424441875</v>
      </c>
      <c r="T31" s="211" t="n">
        <f aca="false">(T4-O4)/ABS(O4)</f>
        <v>0.0496282707347688</v>
      </c>
      <c r="U31" s="211" t="n">
        <f aca="false">(U4-P4)/ABS(P4)</f>
        <v>-0.00891121192482178</v>
      </c>
      <c r="V31" s="211"/>
      <c r="W31" s="211" t="n">
        <f aca="false">(W4-R4)/ABS(R4)</f>
        <v>0.035842586544742</v>
      </c>
      <c r="X31" s="211" t="n">
        <f aca="false">(X4-S4)/ABS(S4)</f>
        <v>0.172404684335652</v>
      </c>
      <c r="Y31" s="211" t="n">
        <f aca="false">(Y4-T4)/ABS(T4)</f>
        <v>0.139729555698648</v>
      </c>
      <c r="Z31" s="211" t="n">
        <f aca="false">(Z4-U4)/ABS(U4)</f>
        <v>0.0483079941147621</v>
      </c>
      <c r="AA31" s="211"/>
      <c r="AB31" s="211" t="n">
        <f aca="false">(AB4-W4)/ABS(W4)</f>
        <v>0.0198628517379995</v>
      </c>
      <c r="AC31" s="211" t="n">
        <f aca="false">(AC4-X4)/ABS(X4)</f>
        <v>0.00548253849042433</v>
      </c>
      <c r="AD31" s="211" t="n">
        <f aca="false">(AD4-Y4)/ABS(Y4)</f>
        <v>0.00314769975786925</v>
      </c>
      <c r="AE31" s="211" t="n">
        <f aca="false">(AE4-Z4)/ABS(Z4)</f>
        <v>-0.0170760233918129</v>
      </c>
    </row>
    <row r="32" customFormat="false" ht="15.75" hidden="false" customHeight="false" outlineLevel="0" collapsed="false">
      <c r="A32" s="208" t="s">
        <v>54</v>
      </c>
      <c r="B32" s="47"/>
      <c r="C32" s="209" t="n">
        <f aca="false">(C5-B5)/ABS(B5)</f>
        <v>0.0526793274464739</v>
      </c>
      <c r="D32" s="209" t="n">
        <f aca="false">(D5-C5)/ABS(C5)</f>
        <v>0.0938236139040506</v>
      </c>
      <c r="E32" s="209" t="n">
        <f aca="false">(E5-D5)/ABS(D5)</f>
        <v>0.0736947158314949</v>
      </c>
      <c r="F32" s="209" t="n">
        <f aca="false">(F5-E5)/ABS(E5)</f>
        <v>0.0588033853529671</v>
      </c>
      <c r="G32" s="209" t="n">
        <f aca="false">(G5-F5)/ABS(F5)</f>
        <v>-0.0222242757473548</v>
      </c>
      <c r="H32" s="209" t="n">
        <f aca="false">(H5-G5)/ABS(G5)</f>
        <v>0.161326906719592</v>
      </c>
      <c r="I32" s="209" t="n">
        <f aca="false">(I5-H5)/ABS(H5)</f>
        <v>0.0266520182291667</v>
      </c>
      <c r="J32" s="209" t="n">
        <f aca="false">(J5-I5)/ABS(I5)</f>
        <v>0.146407197495145</v>
      </c>
      <c r="K32" s="209" t="n">
        <f aca="false">(K5-J5)/ABS(J5)</f>
        <v>-0.0155574762316335</v>
      </c>
      <c r="L32" s="210"/>
      <c r="M32" s="211"/>
      <c r="N32" s="211"/>
      <c r="O32" s="211"/>
      <c r="P32" s="211"/>
      <c r="Q32" s="211"/>
      <c r="R32" s="211" t="n">
        <f aca="false">(R5-M5)/ABS(M5)</f>
        <v>0.119425935417735</v>
      </c>
      <c r="S32" s="211" t="n">
        <f aca="false">(S5-N5)/ABS(N5)</f>
        <v>-0.0393996247654784</v>
      </c>
      <c r="T32" s="211" t="n">
        <f aca="false">(T5-O5)/ABS(O5)</f>
        <v>0.0294430649166371</v>
      </c>
      <c r="U32" s="211" t="n">
        <f aca="false">(U5-P5)/ABS(P5)</f>
        <v>0.00627896546568994</v>
      </c>
      <c r="V32" s="211"/>
      <c r="W32" s="211" t="n">
        <f aca="false">(W5-R5)/ABS(R5)</f>
        <v>0.0793650793650794</v>
      </c>
      <c r="X32" s="211" t="n">
        <f aca="false">(X5-S5)/ABS(S5)</f>
        <v>0.237630208333333</v>
      </c>
      <c r="Y32" s="211" t="n">
        <f aca="false">(Y5-T5)/ABS(T5)</f>
        <v>0.20933838731909</v>
      </c>
      <c r="Z32" s="211" t="n">
        <f aca="false">(Z5-U5)/ABS(U5)</f>
        <v>0.0741346010993909</v>
      </c>
      <c r="AA32" s="211"/>
      <c r="AB32" s="211" t="n">
        <f aca="false">(AB5-W5)/ABS(W5)</f>
        <v>0.0207861990950226</v>
      </c>
      <c r="AC32" s="211" t="n">
        <f aca="false">(AC5-X5)/ABS(X5)</f>
        <v>-0.0245923198316675</v>
      </c>
      <c r="AD32" s="211" t="n">
        <f aca="false">(AD5-Y5)/ABS(Y5)</f>
        <v>-0.0216555064824049</v>
      </c>
      <c r="AE32" s="211" t="n">
        <f aca="false">(AE5-Z5)/ABS(Z5)</f>
        <v>-0.0356846473029046</v>
      </c>
    </row>
    <row r="33" customFormat="false" ht="15.75" hidden="false" customHeight="false" outlineLevel="0" collapsed="false">
      <c r="A33" s="208" t="s">
        <v>55</v>
      </c>
      <c r="B33" s="193"/>
      <c r="C33" s="209" t="n">
        <f aca="false">(C6-B6)/ABS(B6)</f>
        <v>0.0642638800028435</v>
      </c>
      <c r="D33" s="209" t="n">
        <f aca="false">(D6-C6)/ABS(C6)</f>
        <v>0.0227773695811903</v>
      </c>
      <c r="E33" s="209" t="n">
        <f aca="false">(E6-D6)/ABS(D6)</f>
        <v>0.0420585161964472</v>
      </c>
      <c r="F33" s="209" t="n">
        <f aca="false">(F6-E6)/ABS(E6)</f>
        <v>0.095136625720732</v>
      </c>
      <c r="G33" s="209" t="n">
        <f aca="false">(G6-F6)/ABS(F6)</f>
        <v>-0.070561977795582</v>
      </c>
      <c r="H33" s="209" t="n">
        <f aca="false">(H6-G6)/ABS(G6)</f>
        <v>0.229111507912074</v>
      </c>
      <c r="I33" s="209" t="n">
        <f aca="false">(I6-H6)/ABS(H6)</f>
        <v>0.0759943893397455</v>
      </c>
      <c r="J33" s="209" t="n">
        <f aca="false">(J6-I6)/ABS(I6)</f>
        <v>0.0378509241584804</v>
      </c>
      <c r="K33" s="209" t="n">
        <f aca="false">(K6-J6)/ABS(J6)</f>
        <v>0.0266911896644536</v>
      </c>
      <c r="L33" s="210"/>
      <c r="M33" s="211"/>
      <c r="N33" s="211"/>
      <c r="O33" s="211"/>
      <c r="P33" s="211"/>
      <c r="Q33" s="211"/>
      <c r="R33" s="211" t="n">
        <f aca="false">(R6-M6)/ABS(M6)</f>
        <v>0.201434296561907</v>
      </c>
      <c r="S33" s="211" t="n">
        <f aca="false">(S6-N6)/ABS(N6)</f>
        <v>0.0755106251289457</v>
      </c>
      <c r="T33" s="211" t="n">
        <f aca="false">(T6-O6)/ABS(O6)</f>
        <v>0.073744437380801</v>
      </c>
      <c r="U33" s="211" t="n">
        <f aca="false">(U6-P6)/ABS(P6)</f>
        <v>-0.0268788682581786</v>
      </c>
      <c r="V33" s="211"/>
      <c r="W33" s="211" t="n">
        <f aca="false">(W6-R6)/ABS(R6)</f>
        <v>-0.0142205056179775</v>
      </c>
      <c r="X33" s="211" t="n">
        <f aca="false">(X6-S6)/ABS(S6)</f>
        <v>0.0955304047573374</v>
      </c>
      <c r="Y33" s="211" t="n">
        <f aca="false">(Y6-T6)/ABS(T6)</f>
        <v>0.0599960528912572</v>
      </c>
      <c r="Z33" s="211" t="n">
        <f aca="false">(Z6-U6)/ABS(U6)</f>
        <v>0.0167181537343267</v>
      </c>
      <c r="AA33" s="211"/>
      <c r="AB33" s="211" t="n">
        <f aca="false">(AB6-W6)/ABS(W6)</f>
        <v>0.018699910952805</v>
      </c>
      <c r="AC33" s="211" t="n">
        <f aca="false">(AC6-X6)/ABS(X6)</f>
        <v>0.0455261775520925</v>
      </c>
      <c r="AD33" s="211" t="n">
        <f aca="false">(AD6-Y6)/ABS(Y6)</f>
        <v>0.035561347979892</v>
      </c>
      <c r="AE33" s="211" t="n">
        <f aca="false">(AE6-Z6)/ABS(Z6)</f>
        <v>0.00697050938337802</v>
      </c>
    </row>
    <row r="34" customFormat="false" ht="15.75" hidden="false" customHeight="false" outlineLevel="0" collapsed="false">
      <c r="A34" s="208" t="s">
        <v>56</v>
      </c>
      <c r="B34" s="193"/>
      <c r="C34" s="209" t="n">
        <f aca="false">(C7-B7)/ABS(B7)</f>
        <v>0.0202303143479614</v>
      </c>
      <c r="D34" s="209" t="n">
        <f aca="false">(D7-C7)/ABS(C7)</f>
        <v>0.0192190359975595</v>
      </c>
      <c r="E34" s="209" t="n">
        <f aca="false">(E7-D7)/ABS(D7)</f>
        <v>0.0706375336725531</v>
      </c>
      <c r="F34" s="209" t="n">
        <f aca="false">(F7-E7)/ABS(E7)</f>
        <v>0.049203242941012</v>
      </c>
      <c r="G34" s="209" t="n">
        <f aca="false">(G7-F7)/ABS(F7)</f>
        <v>-0.0428990141220357</v>
      </c>
      <c r="H34" s="209" t="n">
        <f aca="false">(H7-G7)/ABS(G7)</f>
        <v>-0.133073496659243</v>
      </c>
      <c r="I34" s="209" t="n">
        <f aca="false">(I7-H7)/ABS(H7)</f>
        <v>0.236351958895312</v>
      </c>
      <c r="J34" s="209" t="n">
        <f aca="false">(J7-I7)/ABS(I7)</f>
        <v>0.0545454545454545</v>
      </c>
      <c r="K34" s="209" t="n">
        <f aca="false">(K7-J7)/ABS(J7)</f>
        <v>0.0554187192118227</v>
      </c>
      <c r="L34" s="210"/>
      <c r="M34" s="211"/>
      <c r="N34" s="211"/>
      <c r="O34" s="211"/>
      <c r="P34" s="211"/>
      <c r="Q34" s="211"/>
      <c r="R34" s="211" t="n">
        <f aca="false">(R7-M7)/ABS(M7)</f>
        <v>0.355982274741507</v>
      </c>
      <c r="S34" s="211" t="n">
        <f aca="false">(S7-N7)/ABS(N7)</f>
        <v>0.395061728395062</v>
      </c>
      <c r="T34" s="211" t="n">
        <f aca="false">(T7-O7)/ABS(O7)</f>
        <v>0.20112517580872</v>
      </c>
      <c r="U34" s="211" t="n">
        <f aca="false">(U7-P7)/ABS(P7)</f>
        <v>0.0641925777331996</v>
      </c>
      <c r="V34" s="211"/>
      <c r="W34" s="211" t="n">
        <f aca="false">(W7-R7)/ABS(R7)</f>
        <v>0.0272331154684096</v>
      </c>
      <c r="X34" s="211" t="n">
        <f aca="false">(X7-S7)/ABS(S7)</f>
        <v>0.0835791543756146</v>
      </c>
      <c r="Y34" s="211" t="n">
        <f aca="false">(Y7-T7)/ABS(T7)</f>
        <v>0.0807962529274005</v>
      </c>
      <c r="Z34" s="211" t="n">
        <f aca="false">(Z7-U7)/ABS(U7)</f>
        <v>0.0292177191328935</v>
      </c>
      <c r="AA34" s="211"/>
      <c r="AB34" s="211" t="n">
        <f aca="false">(AB7-W7)/ABS(W7)</f>
        <v>0.133616118769883</v>
      </c>
      <c r="AC34" s="211" t="n">
        <f aca="false">(AC7-X7)/ABS(X7)</f>
        <v>0.0108892921960073</v>
      </c>
      <c r="AD34" s="211" t="n">
        <f aca="false">(AD7-Y7)/ABS(Y7)</f>
        <v>0.09534127843987</v>
      </c>
      <c r="AE34" s="211" t="n">
        <f aca="false">(AE7-Z7)/ABS(Z7)</f>
        <v>-0.000915750915750916</v>
      </c>
    </row>
    <row r="35" customFormat="false" ht="15.75" hidden="false" customHeight="false" outlineLevel="0" collapsed="false">
      <c r="A35" s="208" t="s">
        <v>57</v>
      </c>
      <c r="B35" s="193"/>
      <c r="C35" s="209" t="n">
        <f aca="false">(C8-B8)/ABS(B8)</f>
        <v>0.0766581823626291</v>
      </c>
      <c r="D35" s="209" t="n">
        <f aca="false">(D8-C8)/ABS(C8)</f>
        <v>0.00431094423585037</v>
      </c>
      <c r="E35" s="209" t="n">
        <f aca="false">(E8-D8)/ABS(D8)</f>
        <v>0.0985876488507339</v>
      </c>
      <c r="F35" s="209" t="n">
        <f aca="false">(F8-E8)/ABS(E8)</f>
        <v>0.127930426014621</v>
      </c>
      <c r="G35" s="209" t="n">
        <f aca="false">(G8-F8)/ABS(F8)</f>
        <v>0.0653704324505531</v>
      </c>
      <c r="H35" s="209" t="n">
        <f aca="false">(H8-G8)/ABS(G8)</f>
        <v>0.039542689322425</v>
      </c>
      <c r="I35" s="209" t="n">
        <f aca="false">(I8-H8)/ABS(H8)</f>
        <v>0.105236605791545</v>
      </c>
      <c r="J35" s="209" t="n">
        <f aca="false">(J8-I8)/ABS(I8)</f>
        <v>0.124429432170896</v>
      </c>
      <c r="K35" s="209" t="n">
        <f aca="false">(K8-J8)/ABS(J8)</f>
        <v>-0.00211090362913047</v>
      </c>
      <c r="L35" s="210"/>
      <c r="M35" s="211"/>
      <c r="N35" s="211"/>
      <c r="O35" s="211"/>
      <c r="P35" s="211"/>
      <c r="Q35" s="211"/>
      <c r="R35" s="211" t="n">
        <f aca="false">(R8-M8)/ABS(M8)</f>
        <v>0.154917319408181</v>
      </c>
      <c r="S35" s="211" t="n">
        <f aca="false">(S8-N8)/ABS(N8)</f>
        <v>0.0803782505910166</v>
      </c>
      <c r="T35" s="211" t="n">
        <f aca="false">(T8-O8)/ABS(O8)</f>
        <v>0.109012875536481</v>
      </c>
      <c r="U35" s="211" t="n">
        <f aca="false">(U8-P8)/ABS(P8)</f>
        <v>0.083424408014572</v>
      </c>
      <c r="V35" s="211"/>
      <c r="W35" s="211" t="n">
        <f aca="false">(W8-R8)/ABS(R8)</f>
        <v>0.121703089675961</v>
      </c>
      <c r="X35" s="211" t="n">
        <f aca="false">(X8-S8)/ABS(S8)</f>
        <v>0.102115244347192</v>
      </c>
      <c r="Y35" s="211" t="n">
        <f aca="false">(Y8-T8)/ABS(T8)</f>
        <v>0.174922600619195</v>
      </c>
      <c r="Z35" s="211" t="n">
        <f aca="false">(Z8-U8)/ABS(U8)</f>
        <v>0.103564223268325</v>
      </c>
      <c r="AA35" s="211"/>
      <c r="AB35" s="211" t="n">
        <f aca="false">(AB8-W8)/ABS(W8)</f>
        <v>0.0235136042996305</v>
      </c>
      <c r="AC35" s="211" t="n">
        <f aca="false">(AC8-X8)/ABS(X8)</f>
        <v>0.00330906684315023</v>
      </c>
      <c r="AD35" s="211" t="n">
        <f aca="false">(AD8-Y8)/ABS(Y8)</f>
        <v>0.0589591567852437</v>
      </c>
      <c r="AE35" s="211" t="n">
        <f aca="false">(AE8-Z8)/ABS(Z8)</f>
        <v>-0.086837294332724</v>
      </c>
    </row>
    <row r="36" customFormat="false" ht="23.85" hidden="false" customHeight="false" outlineLevel="0" collapsed="false">
      <c r="A36" s="208" t="s">
        <v>58</v>
      </c>
      <c r="B36" s="193"/>
      <c r="C36" s="209" t="n">
        <f aca="false">(C9-B9)/ABS(B9)</f>
        <v>0.0583299636069551</v>
      </c>
      <c r="D36" s="209" t="n">
        <f aca="false">(D9-C9)/ABS(C9)</f>
        <v>0.00897889005635686</v>
      </c>
      <c r="E36" s="209" t="n">
        <f aca="false">(E9-D9)/ABS(D9)</f>
        <v>0.0897472309003124</v>
      </c>
      <c r="F36" s="209" t="n">
        <f aca="false">(F9-E9)/ABS(E9)</f>
        <v>0.103466249674225</v>
      </c>
      <c r="G36" s="209" t="n">
        <f aca="false">(G9-F9)/ABS(F9)</f>
        <v>0.0333805699889781</v>
      </c>
      <c r="H36" s="209" t="n">
        <f aca="false">(H9-G9)/ABS(G9)</f>
        <v>-0.00769465183605059</v>
      </c>
      <c r="I36" s="209" t="n">
        <f aca="false">(I9-H9)/ABS(H9)</f>
        <v>0.13658349328215</v>
      </c>
      <c r="J36" s="209" t="n">
        <f aca="false">(J9-I9)/ABS(I9)</f>
        <v>0.106255066198325</v>
      </c>
      <c r="K36" s="209" t="n">
        <f aca="false">(K9-J9)/ABS(J9)</f>
        <v>0.0121511876412041</v>
      </c>
      <c r="L36" s="210"/>
      <c r="M36" s="211"/>
      <c r="N36" s="211"/>
      <c r="O36" s="211"/>
      <c r="P36" s="211"/>
      <c r="Q36" s="211"/>
      <c r="R36" s="211" t="n">
        <f aca="false">(R9-M9)/ABS(M9)</f>
        <v>0.200672268907563</v>
      </c>
      <c r="S36" s="211" t="n">
        <f aca="false">(S9-N9)/ABS(N9)</f>
        <v>0.150596877869605</v>
      </c>
      <c r="T36" s="211" t="n">
        <f aca="false">(T9-O9)/ABS(O9)</f>
        <v>0.130549161460046</v>
      </c>
      <c r="U36" s="211" t="n">
        <f aca="false">(U9-P9)/ABS(P9)</f>
        <v>0.0783003741314805</v>
      </c>
      <c r="V36" s="211"/>
      <c r="W36" s="211" t="n">
        <f aca="false">(W9-R9)/ABS(R9)</f>
        <v>0.097424412094065</v>
      </c>
      <c r="X36" s="211" t="n">
        <f aca="false">(X9-S9)/ABS(S9)</f>
        <v>0.0971002926310189</v>
      </c>
      <c r="Y36" s="211" t="n">
        <f aca="false">(Y9-T9)/ABS(T9)</f>
        <v>0.151541593949971</v>
      </c>
      <c r="Z36" s="211" t="n">
        <f aca="false">(Z9-U9)/ABS(U9)</f>
        <v>0.0840148698884758</v>
      </c>
      <c r="AA36" s="211"/>
      <c r="AB36" s="211" t="n">
        <f aca="false">(AB9-W9)/ABS(W9)</f>
        <v>0.05</v>
      </c>
      <c r="AC36" s="211" t="n">
        <f aca="false">(AC9-X9)/ABS(X9)</f>
        <v>0.00533462657613967</v>
      </c>
      <c r="AD36" s="211" t="n">
        <f aca="false">(AD9-Y9)/ABS(Y9)</f>
        <v>0.0674412730487497</v>
      </c>
      <c r="AE36" s="211" t="n">
        <f aca="false">(AE9-Z9)/ABS(Z9)</f>
        <v>-0.0653863740283493</v>
      </c>
    </row>
    <row r="37" customFormat="false" ht="15.75" hidden="false" customHeight="false" outlineLevel="0" collapsed="false">
      <c r="A37" s="208" t="s">
        <v>61</v>
      </c>
      <c r="B37" s="193"/>
      <c r="C37" s="209" t="n">
        <f aca="false">(C11-B11)/ABS(B11)</f>
        <v>-0.321428571428571</v>
      </c>
      <c r="D37" s="209" t="n">
        <f aca="false">(D11-C11)/ABS(C11)</f>
        <v>2.10526315789474</v>
      </c>
      <c r="E37" s="209" t="n">
        <f aca="false">(E11-D11)/ABS(D11)</f>
        <v>-0.0847457627118644</v>
      </c>
      <c r="F37" s="209" t="n">
        <f aca="false">(F11-E11)/ABS(E11)</f>
        <v>-0.0925925925925926</v>
      </c>
      <c r="G37" s="209" t="n">
        <f aca="false">(G11-F11)/ABS(F11)</f>
        <v>0.816326530612245</v>
      </c>
      <c r="H37" s="209" t="n">
        <f aca="false">(H11-G11)/ABS(G11)</f>
        <v>1.9438202247191</v>
      </c>
      <c r="I37" s="209" t="n">
        <f aca="false">(I11-H11)/ABS(H11)</f>
        <v>-0.217557251908397</v>
      </c>
      <c r="J37" s="209" t="n">
        <f aca="false">(J11-I11)/ABS(I11)</f>
        <v>-1.02926829268293</v>
      </c>
      <c r="K37" s="209" t="n">
        <f aca="false">(K11-J11)/ABS(J11)</f>
        <v>-25.8333333333333</v>
      </c>
      <c r="L37" s="210"/>
      <c r="M37" s="211"/>
      <c r="N37" s="211"/>
      <c r="O37" s="211"/>
      <c r="P37" s="211"/>
      <c r="Q37" s="211"/>
      <c r="R37" s="211" t="n">
        <f aca="false">(R11-M11)/ABS(M11)</f>
        <v>-0.123076923076923</v>
      </c>
      <c r="S37" s="211" t="n">
        <f aca="false">(S11-N11)/ABS(N11)</f>
        <v>-0.214285714285714</v>
      </c>
      <c r="T37" s="211" t="n">
        <f aca="false">(T11-O11)/ABS(O11)</f>
        <v>-0.171875</v>
      </c>
      <c r="U37" s="211" t="n">
        <f aca="false">(U11-P11)/ABS(P11)</f>
        <v>-0.365079365079365</v>
      </c>
      <c r="V37" s="211"/>
      <c r="W37" s="211" t="n">
        <f aca="false">(W11-R11)/ABS(R11)</f>
        <v>-0.771929824561404</v>
      </c>
      <c r="X37" s="211" t="n">
        <f aca="false">(X11-S11)/ABS(S11)</f>
        <v>-0.709090909090909</v>
      </c>
      <c r="Y37" s="211" t="n">
        <f aca="false">(Y11-T11)/ABS(T11)</f>
        <v>-1.13207547169811</v>
      </c>
      <c r="Z37" s="211" t="n">
        <f aca="false">(Z11-U11)/ABS(U11)</f>
        <v>-1.7</v>
      </c>
      <c r="AA37" s="211"/>
      <c r="AB37" s="211" t="n">
        <f aca="false">(AB11-W11)/ABS(W11)</f>
        <v>-3.61538461538462</v>
      </c>
      <c r="AC37" s="211" t="n">
        <f aca="false">(AC11-X11)/ABS(X11)</f>
        <v>-2.375</v>
      </c>
      <c r="AD37" s="211" t="n">
        <f aca="false">(AD11-Y11)/ABS(Y11)</f>
        <v>-6.42857142857143</v>
      </c>
      <c r="AE37" s="211" t="n">
        <f aca="false">(AE11-Z11)/ABS(Z11)</f>
        <v>-0.892857142857143</v>
      </c>
    </row>
    <row r="38" customFormat="false" ht="15.75" hidden="false" customHeight="false" outlineLevel="0" collapsed="false">
      <c r="A38" s="208" t="s">
        <v>62</v>
      </c>
      <c r="B38" s="193"/>
      <c r="C38" s="209" t="n">
        <f aca="false">(C12-B12)/ABS(B12)</f>
        <v>-1.41379310344828</v>
      </c>
      <c r="D38" s="209" t="n">
        <f aca="false">(D12-C12)/ABS(C12)</f>
        <v>-0.4</v>
      </c>
      <c r="E38" s="209" t="n">
        <f aca="false">(E12-D12)/ABS(D12)</f>
        <v>1.33673469387755</v>
      </c>
      <c r="F38" s="209" t="n">
        <f aca="false">(F12-E12)/ABS(E12)</f>
        <v>-2.18181818181818</v>
      </c>
      <c r="G38" s="209" t="n">
        <f aca="false">(G12-F12)/ABS(F12)</f>
        <v>2.78205128205128</v>
      </c>
      <c r="H38" s="209" t="n">
        <f aca="false">(H12-G12)/ABS(G12)</f>
        <v>-0.899280575539568</v>
      </c>
      <c r="I38" s="209" t="n">
        <f aca="false">(I12-H12)/ABS(H12)</f>
        <v>-13.9285714285714</v>
      </c>
      <c r="J38" s="209" t="n">
        <f aca="false">(J12-I12)/ABS(I12)</f>
        <v>-0.546961325966851</v>
      </c>
      <c r="K38" s="209" t="n">
        <f aca="false">(K12-J12)/ABS(J12)</f>
        <v>0.185714285714286</v>
      </c>
      <c r="L38" s="210"/>
      <c r="M38" s="211"/>
      <c r="N38" s="211"/>
      <c r="O38" s="211"/>
      <c r="P38" s="211"/>
      <c r="Q38" s="211"/>
      <c r="R38" s="211" t="n">
        <f aca="false">(R12-M12)/ABS(M12)</f>
        <v>-1.78571428571429</v>
      </c>
      <c r="S38" s="211" t="n">
        <f aca="false">(S12-N12)/ABS(N12)</f>
        <v>-2.88888888888889</v>
      </c>
      <c r="T38" s="211" t="n">
        <f aca="false">(T12-O12)/ABS(O12)</f>
        <v>-3.27272727272727</v>
      </c>
      <c r="U38" s="211" t="n">
        <f aca="false">(U12-P12)/ABS(P12)</f>
        <v>14.5</v>
      </c>
      <c r="V38" s="211"/>
      <c r="W38" s="211" t="n">
        <f aca="false">(W12-R12)/ABS(R12)</f>
        <v>-2.74358974358974</v>
      </c>
      <c r="X38" s="211" t="n">
        <f aca="false">(X12-S12)/ABS(S12)</f>
        <v>0.225490196078431</v>
      </c>
      <c r="Y38" s="211" t="n">
        <f aca="false">(Y12-T12)/ABS(T12)</f>
        <v>0.382978723404255</v>
      </c>
      <c r="Z38" s="211" t="n">
        <f aca="false">(Z12-U12)/ABS(U12)</f>
        <v>-0.944444444444444</v>
      </c>
      <c r="AA38" s="211"/>
      <c r="AB38" s="211" t="n">
        <f aca="false">(AB12-W12)/ABS(W12)</f>
        <v>0.931506849315068</v>
      </c>
      <c r="AC38" s="211" t="n">
        <f aca="false">(AC12-X12)/ABS(X12)</f>
        <v>0.0506329113924051</v>
      </c>
      <c r="AD38" s="211" t="n">
        <f aca="false">(AD12-Y12)/ABS(Y12)</f>
        <v>0.724137931034483</v>
      </c>
      <c r="AE38" s="211" t="n">
        <f aca="false">(AE12-Z12)/ABS(Z12)</f>
        <v>-43.3333333333333</v>
      </c>
    </row>
    <row r="39" customFormat="false" ht="15.75" hidden="false" customHeight="false" outlineLevel="0" collapsed="false">
      <c r="A39" s="208" t="s">
        <v>75</v>
      </c>
      <c r="B39" s="193"/>
      <c r="C39" s="209" t="n">
        <f aca="false">(C13-B13)/ABS(B13)</f>
        <v>0.0994054696789536</v>
      </c>
      <c r="D39" s="209" t="n">
        <f aca="false">(D13-C13)/ABS(C13)</f>
        <v>0.0568894657149037</v>
      </c>
      <c r="E39" s="209" t="n">
        <f aca="false">(E13-D13)/ABS(D13)</f>
        <v>-0.114817846909537</v>
      </c>
      <c r="F39" s="209" t="n">
        <f aca="false">(F13-E13)/ABS(E13)</f>
        <v>0.110057803468208</v>
      </c>
      <c r="G39" s="209" t="n">
        <f aca="false">(G13-F13)/ABS(F13)</f>
        <v>-0.398666944386586</v>
      </c>
      <c r="H39" s="209" t="n">
        <f aca="false">(H13-G13)/ABS(G13)</f>
        <v>1.30723934880499</v>
      </c>
      <c r="I39" s="209" t="n">
        <f aca="false">(I13-H13)/ABS(H13)</f>
        <v>-0.00150127608467197</v>
      </c>
      <c r="J39" s="209" t="n">
        <f aca="false">(J13-I13)/ABS(I13)</f>
        <v>-0.06765899864682</v>
      </c>
      <c r="K39" s="209" t="n">
        <f aca="false">(K13-J13)/ABS(J13)</f>
        <v>0.0804708917916465</v>
      </c>
      <c r="L39" s="210"/>
      <c r="M39" s="211"/>
      <c r="N39" s="211"/>
      <c r="O39" s="211"/>
      <c r="P39" s="211"/>
      <c r="Q39" s="211"/>
      <c r="R39" s="211" t="n">
        <f aca="false">(R13-M13)/ABS(M13)</f>
        <v>0.22798833819242</v>
      </c>
      <c r="S39" s="211" t="n">
        <f aca="false">(S13-N13)/ABS(N13)</f>
        <v>0.0309065934065934</v>
      </c>
      <c r="T39" s="211" t="n">
        <f aca="false">(T13-O13)/ABS(O13)</f>
        <v>0.0207823960880196</v>
      </c>
      <c r="U39" s="211" t="n">
        <f aca="false">(U13-P13)/ABS(P13)</f>
        <v>-0.258899676375405</v>
      </c>
      <c r="V39" s="211"/>
      <c r="W39" s="211" t="n">
        <f aca="false">(W13-R13)/ABS(R13)</f>
        <v>-0.132003798670465</v>
      </c>
      <c r="X39" s="211" t="n">
        <f aca="false">(X13-S13)/ABS(S13)</f>
        <v>0.0992671552298468</v>
      </c>
      <c r="Y39" s="211" t="n">
        <f aca="false">(Y13-T13)/ABS(T13)</f>
        <v>-0.115568862275449</v>
      </c>
      <c r="Z39" s="211" t="n">
        <f aca="false">(Z13-U13)/ABS(U13)</f>
        <v>-0.0931586608442504</v>
      </c>
      <c r="AA39" s="211"/>
      <c r="AB39" s="211" t="n">
        <f aca="false">(AB13-W13)/ABS(W13)</f>
        <v>-0.0984682713347921</v>
      </c>
      <c r="AC39" s="211" t="n">
        <f aca="false">(AC13-X13)/ABS(X13)</f>
        <v>0.164848484848485</v>
      </c>
      <c r="AD39" s="211" t="n">
        <f aca="false">(AD13-Y13)/ABS(Y13)</f>
        <v>-0.049424509140149</v>
      </c>
      <c r="AE39" s="211" t="n">
        <f aca="false">(AE13-Z13)/ABS(Z13)</f>
        <v>0.385232744783307</v>
      </c>
    </row>
    <row r="40" customFormat="false" ht="15.75" hidden="false" customHeight="false" outlineLevel="0" collapsed="false">
      <c r="A40" s="208" t="s">
        <v>64</v>
      </c>
      <c r="B40" s="193"/>
      <c r="C40" s="209" t="n">
        <f aca="false">(C14-B14)/ABS(B14)</f>
        <v>-0.0740343347639485</v>
      </c>
      <c r="D40" s="209" t="n">
        <f aca="false">(D14-C14)/ABS(C14)</f>
        <v>-0.251448435689455</v>
      </c>
      <c r="E40" s="209" t="n">
        <f aca="false">(E14-D14)/ABS(D14)</f>
        <v>2.70278637770898</v>
      </c>
      <c r="F40" s="209" t="n">
        <f aca="false">(F14-E14)/ABS(E14)</f>
        <v>-0.677257525083612</v>
      </c>
      <c r="G40" s="209" t="n">
        <f aca="false">(G14-F14)/ABS(F14)</f>
        <v>-0.549222797927461</v>
      </c>
      <c r="H40" s="209" t="n">
        <f aca="false">(H14-G14)/ABS(G14)</f>
        <v>1.68390804597701</v>
      </c>
      <c r="I40" s="209" t="n">
        <f aca="false">(I14-H14)/ABS(H14)</f>
        <v>-0.352248394004283</v>
      </c>
      <c r="J40" s="209" t="n">
        <f aca="false">(J14-I14)/ABS(I14)</f>
        <v>0.869421487603306</v>
      </c>
      <c r="K40" s="209" t="n">
        <f aca="false">(K14-J14)/ABS(J14)</f>
        <v>-0.115826702033599</v>
      </c>
      <c r="L40" s="210"/>
      <c r="M40" s="211"/>
      <c r="N40" s="211"/>
      <c r="O40" s="211"/>
      <c r="P40" s="211"/>
      <c r="Q40" s="211"/>
      <c r="R40" s="211" t="n">
        <f aca="false">(R14-M14)/ABS(M14)</f>
        <v>0.177664974619289</v>
      </c>
      <c r="S40" s="211" t="n">
        <f aca="false">(S14-N14)/ABS(N14)</f>
        <v>-0.2</v>
      </c>
      <c r="T40" s="211" t="n">
        <f aca="false">(T14-O14)/ABS(O14)</f>
        <v>0.46524064171123</v>
      </c>
      <c r="U40" s="211" t="n">
        <f aca="false">(U14-P14)/ABS(P14)</f>
        <v>-1.18840579710145</v>
      </c>
      <c r="V40" s="211"/>
      <c r="W40" s="211" t="n">
        <f aca="false">(W14-R14)/ABS(R14)</f>
        <v>0.551724137931035</v>
      </c>
      <c r="X40" s="211" t="n">
        <f aca="false">(X14-S14)/ABS(S14)</f>
        <v>0.945121951219512</v>
      </c>
      <c r="Y40" s="211" t="n">
        <f aca="false">(Y14-T14)/ABS(T14)</f>
        <v>-0.135036496350365</v>
      </c>
      <c r="Z40" s="211" t="n">
        <f aca="false">(Z14-U14)/ABS(U14)</f>
        <v>4.30769230769231</v>
      </c>
      <c r="AA40" s="211"/>
      <c r="AB40" s="211" t="n">
        <f aca="false">(AB14-W14)/ABS(W14)</f>
        <v>-0.45</v>
      </c>
      <c r="AC40" s="211" t="n">
        <f aca="false">(AC14-X14)/ABS(X14)</f>
        <v>0.0783699059561129</v>
      </c>
      <c r="AD40" s="211" t="n">
        <f aca="false">(AD14-Y14)/ABS(Y14)</f>
        <v>-0.0210970464135021</v>
      </c>
      <c r="AE40" s="211" t="n">
        <f aca="false">(AE14-Z14)/ABS(Z14)</f>
        <v>0.0511627906976744</v>
      </c>
    </row>
    <row r="41" customFormat="false" ht="15.75" hidden="false" customHeight="false" outlineLevel="0" collapsed="false">
      <c r="A41" s="208" t="s">
        <v>66</v>
      </c>
      <c r="B41" s="193"/>
      <c r="C41" s="209" t="n">
        <f aca="false">(C15-B15)/ABS(B15)</f>
        <v>0.148793156125878</v>
      </c>
      <c r="D41" s="209" t="n">
        <f aca="false">(D15-C15)/ABS(C15)</f>
        <v>0.127659574468085</v>
      </c>
      <c r="E41" s="209" t="n">
        <f aca="false">(E15-D15)/ABS(D15)</f>
        <v>-0.544103773584906</v>
      </c>
      <c r="F41" s="209" t="n">
        <f aca="false">(F15-E15)/ABS(E15)</f>
        <v>1.08432488360062</v>
      </c>
      <c r="G41" s="209" t="n">
        <f aca="false">(G15-F15)/ABS(F15)</f>
        <v>-0.36981881360139</v>
      </c>
      <c r="H41" s="209" t="n">
        <f aca="false">(H15-G15)/ABS(G15)</f>
        <v>1.25561244584482</v>
      </c>
      <c r="I41" s="209" t="n">
        <f aca="false">(I15-H15)/ABS(H15)</f>
        <v>0.0557010651300856</v>
      </c>
      <c r="J41" s="209" t="n">
        <f aca="false">(J15-I15)/ABS(I15)</f>
        <v>-0.16142904399603</v>
      </c>
      <c r="K41" s="209" t="n">
        <f aca="false">(K15-J15)/ABS(J15)</f>
        <v>0.124260355029586</v>
      </c>
      <c r="L41" s="210"/>
      <c r="M41" s="211"/>
      <c r="N41" s="211"/>
      <c r="O41" s="211"/>
      <c r="P41" s="211"/>
      <c r="Q41" s="211"/>
      <c r="R41" s="211" t="n">
        <f aca="false">(R15-M15)/ABS(M15)</f>
        <v>0.234519104084321</v>
      </c>
      <c r="S41" s="211" t="n">
        <f aca="false">(S15-N15)/ABS(N15)</f>
        <v>0.0687450039968026</v>
      </c>
      <c r="T41" s="211" t="n">
        <f aca="false">(T15-O15)/ABS(O15)</f>
        <v>-0.0365769496204279</v>
      </c>
      <c r="U41" s="211" t="n">
        <f aca="false">(U15-P15)/ABS(P15)</f>
        <v>-0.046388336646786</v>
      </c>
      <c r="V41" s="211"/>
      <c r="W41" s="211" t="n">
        <f aca="false">(W15-R15)/ABS(R15)</f>
        <v>-0.216648879402348</v>
      </c>
      <c r="X41" s="211" t="n">
        <f aca="false">(X15-S15)/ABS(S15)</f>
        <v>-0.00448765893792072</v>
      </c>
      <c r="Y41" s="211" t="n">
        <f aca="false">(Y15-T15)/ABS(T15)</f>
        <v>-0.111747851002865</v>
      </c>
      <c r="Z41" s="211" t="n">
        <f aca="false">(Z15-U15)/ABS(U15)</f>
        <v>-0.283530229325921</v>
      </c>
      <c r="AA41" s="211"/>
      <c r="AB41" s="211" t="n">
        <f aca="false">(AB15-W15)/ABS(W15)</f>
        <v>-0.0122615803814714</v>
      </c>
      <c r="AC41" s="211" t="n">
        <f aca="false">(AC15-X15)/ABS(X15)</f>
        <v>0.18557475582269</v>
      </c>
      <c r="AD41" s="211" t="n">
        <f aca="false">(AD15-Y15)/ABS(Y15)</f>
        <v>-0.0548387096774194</v>
      </c>
      <c r="AE41" s="211" t="n">
        <f aca="false">(AE15-Z15)/ABS(Z15)</f>
        <v>0.454898157129001</v>
      </c>
    </row>
    <row r="42" customFormat="false" ht="15.75" hidden="false" customHeight="false" outlineLevel="0" collapsed="false">
      <c r="A42" s="212" t="s">
        <v>67</v>
      </c>
      <c r="B42" s="193"/>
      <c r="C42" s="209"/>
      <c r="D42" s="209"/>
      <c r="E42" s="209"/>
      <c r="F42" s="209"/>
      <c r="G42" s="209"/>
      <c r="H42" s="209"/>
      <c r="I42" s="209"/>
      <c r="J42" s="209"/>
      <c r="K42" s="209"/>
      <c r="L42" s="210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1"/>
    </row>
    <row r="43" customFormat="false" ht="15.75" hidden="false" customHeight="false" outlineLevel="0" collapsed="false">
      <c r="A43" s="208" t="s">
        <v>68</v>
      </c>
      <c r="B43" s="193"/>
      <c r="C43" s="209" t="n">
        <f aca="false">(C17-B17)/ABS(B17)</f>
        <v>0.163157894736842</v>
      </c>
      <c r="D43" s="209" t="n">
        <f aca="false">(D17-C17)/ABS(C17)</f>
        <v>0.158371040723982</v>
      </c>
      <c r="E43" s="209" t="n">
        <f aca="false">(E17-D17)/ABS(D17)</f>
        <v>-0.53515625</v>
      </c>
      <c r="F43" s="209" t="n">
        <f aca="false">(F17-E17)/ABS(E17)</f>
        <v>1.14285714285714</v>
      </c>
      <c r="G43" s="209" t="n">
        <f aca="false">(G17-F17)/ABS(F17)</f>
        <v>-0.36078431372549</v>
      </c>
      <c r="H43" s="209" t="n">
        <f aca="false">(H17-G17)/ABS(G17)</f>
        <v>1.23362805627167</v>
      </c>
      <c r="I43" s="209" t="n">
        <f aca="false">(I17-H17)/ABS(H17)</f>
        <v>0.0518227612424783</v>
      </c>
      <c r="J43" s="209" t="n">
        <f aca="false">(J17-I17)/ABS(I17)</f>
        <v>-0.146728650851336</v>
      </c>
      <c r="K43" s="209" t="n">
        <f aca="false">(K17-J17)/ABS(J17)</f>
        <v>0.15069349112426</v>
      </c>
      <c r="L43" s="210"/>
      <c r="M43" s="211"/>
      <c r="N43" s="211"/>
      <c r="O43" s="211"/>
      <c r="P43" s="211"/>
      <c r="Q43" s="211"/>
      <c r="R43" s="211" t="n">
        <f aca="false">(R17-M17)/ABS(M17)</f>
        <v>0.216494845360825</v>
      </c>
      <c r="S43" s="211" t="n">
        <f aca="false">(S17-N17)/ABS(N17)</f>
        <v>0.0499999999999999</v>
      </c>
      <c r="T43" s="211" t="n">
        <f aca="false">(T17-O17)/ABS(O17)</f>
        <v>-0.0434782608695653</v>
      </c>
      <c r="U43" s="211" t="n">
        <f aca="false">(U17-P17)/ABS(P17)</f>
        <v>-0.0421419742781648</v>
      </c>
      <c r="V43" s="211"/>
      <c r="W43" s="211" t="n">
        <f aca="false">(W17-R17)/ABS(R17)</f>
        <v>-0.203389830508475</v>
      </c>
      <c r="X43" s="211" t="n">
        <f aca="false">(X17-S17)/ABS(S17)</f>
        <v>0.0119047619047619</v>
      </c>
      <c r="Y43" s="211" t="n">
        <f aca="false">(Y17-T17)/ABS(T17)</f>
        <v>-0.0909090909090909</v>
      </c>
      <c r="Z43" s="211" t="n">
        <f aca="false">(Z17-U17)/ABS(U17)</f>
        <v>-0.266976583469149</v>
      </c>
      <c r="AA43" s="211"/>
      <c r="AB43" s="211" t="n">
        <f aca="false">(AB17-W17)/ABS(W17)</f>
        <v>0.0106382978723404</v>
      </c>
      <c r="AC43" s="211" t="n">
        <f aca="false">(AC17-X17)/ABS(X17)</f>
        <v>0.223529411764706</v>
      </c>
      <c r="AD43" s="211" t="n">
        <f aca="false">(AD17-Y17)/ABS(Y17)</f>
        <v>-0.0375</v>
      </c>
      <c r="AE43" s="211"/>
    </row>
    <row r="44" customFormat="false" ht="15.75" hidden="false" customHeight="false" outlineLevel="0" collapsed="false">
      <c r="A44" s="208" t="s">
        <v>69</v>
      </c>
      <c r="B44" s="47"/>
      <c r="C44" s="209" t="n">
        <f aca="false">(C18-B18)/ABS(B18)</f>
        <v>0.167567567567568</v>
      </c>
      <c r="D44" s="209" t="n">
        <f aca="false">(D18-C18)/ABS(C18)</f>
        <v>0.162037037037037</v>
      </c>
      <c r="E44" s="209" t="n">
        <f aca="false">(E18-D18)/ABS(D18)</f>
        <v>-0.533864541832669</v>
      </c>
      <c r="F44" s="209" t="n">
        <f aca="false">(F18-E18)/ABS(E18)</f>
        <v>1.12820512820513</v>
      </c>
      <c r="G44" s="209" t="n">
        <f aca="false">(G18-F18)/ABS(F18)</f>
        <v>-0.357429718875502</v>
      </c>
      <c r="H44" s="209" t="n">
        <f aca="false">(H18-G18)/ABS(G18)</f>
        <v>1.22404312166025</v>
      </c>
      <c r="I44" s="209" t="n">
        <f aca="false">(I18-H18)/ABS(H18)</f>
        <v>0.0547835201268685</v>
      </c>
      <c r="J44" s="209" t="n">
        <f aca="false">(J18-I18)/ABS(I18)</f>
        <v>-0.139527267211623</v>
      </c>
      <c r="K44" s="209" t="n">
        <f aca="false">(K18-J18)/ABS(J18)</f>
        <v>0.154902169625246</v>
      </c>
      <c r="L44" s="210"/>
      <c r="M44" s="211"/>
      <c r="N44" s="211"/>
      <c r="O44" s="211"/>
      <c r="P44" s="211"/>
      <c r="Q44" s="211"/>
      <c r="R44" s="211" t="n">
        <f aca="false">(R18-M18)/ABS(M18)</f>
        <v>0.221052631578947</v>
      </c>
      <c r="S44" s="211" t="n">
        <f aca="false">(S18-N18)/ABS(N18)</f>
        <v>0.064102564102564</v>
      </c>
      <c r="T44" s="211" t="n">
        <f aca="false">(T18-O18)/ABS(O18)</f>
        <v>-0.0333333333333334</v>
      </c>
      <c r="U44" s="211" t="n">
        <f aca="false">(U18-P18)/ABS(P18)</f>
        <v>-0.0344906111917835</v>
      </c>
      <c r="V44" s="211"/>
      <c r="W44" s="211" t="n">
        <f aca="false">(W18-R18)/ABS(R18)</f>
        <v>-0.198275862068965</v>
      </c>
      <c r="X44" s="211" t="n">
        <f aca="false">(X18-S18)/ABS(S18)</f>
        <v>0.0240963855421687</v>
      </c>
      <c r="Y44" s="211" t="n">
        <f aca="false">(Y18-T18)/ABS(T18)</f>
        <v>-0.0919540229885057</v>
      </c>
      <c r="Z44" s="211" t="n">
        <f aca="false">(Z18-U18)/ABS(U18)</f>
        <v>-0.265714011292709</v>
      </c>
      <c r="AA44" s="211"/>
      <c r="AB44" s="211" t="n">
        <f aca="false">(AB18-W18)/ABS(W18)</f>
        <v>0.0107526881720429</v>
      </c>
      <c r="AC44" s="211" t="n">
        <f aca="false">(AC18-X18)/ABS(X18)</f>
        <v>0.211764705882353</v>
      </c>
      <c r="AD44" s="211" t="n">
        <f aca="false">(AD18-Y18)/ABS(Y18)</f>
        <v>-0.0253164556962026</v>
      </c>
      <c r="AE44" s="211"/>
    </row>
    <row r="45" customFormat="false" ht="23.85" hidden="false" customHeight="false" outlineLevel="0" collapsed="false">
      <c r="A45" s="212" t="s">
        <v>70</v>
      </c>
      <c r="B45" s="193"/>
      <c r="C45" s="209"/>
      <c r="D45" s="209"/>
      <c r="E45" s="209"/>
      <c r="F45" s="209"/>
      <c r="G45" s="209"/>
      <c r="H45" s="209"/>
      <c r="I45" s="209"/>
      <c r="J45" s="209"/>
      <c r="K45" s="209"/>
      <c r="L45" s="210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</row>
    <row r="46" customFormat="false" ht="15.75" hidden="false" customHeight="false" outlineLevel="0" collapsed="false">
      <c r="A46" s="208" t="s">
        <v>71</v>
      </c>
      <c r="B46" s="193"/>
      <c r="C46" s="209" t="n">
        <f aca="false">(C20-B20)/ABS(B20)</f>
        <v>-0.0123497752763942</v>
      </c>
      <c r="D46" s="209" t="n">
        <f aca="false">(D20-C20)/ABS(C20)</f>
        <v>-0.0265126329787235</v>
      </c>
      <c r="E46" s="209" t="n">
        <f aca="false">(E20-D20)/ABS(D20)</f>
        <v>-0.0195924528301887</v>
      </c>
      <c r="F46" s="209" t="n">
        <f aca="false">(F20-E20)/ABS(E20)</f>
        <v>-0.027158517058751</v>
      </c>
      <c r="G46" s="209" t="n">
        <f aca="false">(G20-F20)/ABS(F20)</f>
        <v>-0.0132303601949738</v>
      </c>
      <c r="H46" s="209" t="n">
        <f aca="false">(H20-G20)/ABS(G20)</f>
        <v>0.00910957146522969</v>
      </c>
      <c r="I46" s="209" t="n">
        <f aca="false">(I20-H20)/ABS(H20)</f>
        <v>0.00368722186904002</v>
      </c>
      <c r="J46" s="209" t="n">
        <f aca="false">(J20-I20)/ABS(I20)</f>
        <v>-0.0172282746389663</v>
      </c>
      <c r="K46" s="209" t="n">
        <f aca="false">(K20-J20)/ABS(J20)</f>
        <v>-0.0219128641402423</v>
      </c>
      <c r="L46" s="210"/>
      <c r="M46" s="211"/>
      <c r="N46" s="211"/>
      <c r="O46" s="211"/>
      <c r="P46" s="211"/>
      <c r="Q46" s="211"/>
      <c r="R46" s="211" t="n">
        <f aca="false">(R20-M20)/ABS(M20)</f>
        <v>0.0128697656550135</v>
      </c>
      <c r="S46" s="211" t="n">
        <f aca="false">(S20-N20)/ABS(N20)</f>
        <v>0.00597584233947876</v>
      </c>
      <c r="T46" s="211" t="n">
        <f aca="false">(T20-O20)/ABS(O20)</f>
        <v>0.000633713561470215</v>
      </c>
      <c r="U46" s="211" t="n">
        <f aca="false">(U20-P20)/ABS(P20)</f>
        <v>-0.00443318556048132</v>
      </c>
      <c r="V46" s="211"/>
      <c r="W46" s="211" t="n">
        <f aca="false">(W20-R20)/ABS(R20)</f>
        <v>-0.00935583791642972</v>
      </c>
      <c r="X46" s="211" t="n">
        <f aca="false">(X20-S20)/ABS(S20)</f>
        <v>-0.0147876643073813</v>
      </c>
      <c r="Y46" s="211" t="n">
        <f aca="false">(Y20-T20)/ABS(T20)</f>
        <v>-0.0222925902469918</v>
      </c>
      <c r="Z46" s="211" t="n">
        <f aca="false">(Z20-U20)/ABS(U20)</f>
        <v>-0.0225826972010178</v>
      </c>
      <c r="AA46" s="211"/>
      <c r="AB46" s="211" t="n">
        <f aca="false">(AB20-W20)/ABS(W20)</f>
        <v>-0.0246952970454979</v>
      </c>
      <c r="AC46" s="211" t="n">
        <f aca="false">(AC20-X20)/ABS(X20)</f>
        <v>-0.0245028864656832</v>
      </c>
      <c r="AD46" s="211" t="n">
        <f aca="false">(AD20-Y20)/ABS(Y20)</f>
        <v>-0.0198212203653322</v>
      </c>
      <c r="AE46" s="211"/>
    </row>
    <row r="47" customFormat="false" ht="15.75" hidden="false" customHeight="false" outlineLevel="0" collapsed="false">
      <c r="A47" s="208" t="s">
        <v>72</v>
      </c>
      <c r="B47" s="193"/>
      <c r="C47" s="209" t="n">
        <f aca="false">(C21-B21)/ABS(B21)</f>
        <v>-0.0160799357255209</v>
      </c>
      <c r="D47" s="209" t="n">
        <f aca="false">(D21-C21)/ABS(C21)</f>
        <v>-0.0295837924896159</v>
      </c>
      <c r="E47" s="209" t="n">
        <f aca="false">(E21-D21)/ABS(D21)</f>
        <v>-0.017844103773585</v>
      </c>
      <c r="F47" s="209" t="n">
        <f aca="false">(F21-E21)/ABS(E21)</f>
        <v>-0.0245313724308359</v>
      </c>
      <c r="G47" s="209" t="n">
        <f aca="false">(G21-F21)/ABS(F21)</f>
        <v>-0.0165595650024717</v>
      </c>
      <c r="H47" s="209" t="n">
        <f aca="false">(H21-G21)/ABS(G21)</f>
        <v>0.0111837145011311</v>
      </c>
      <c r="I47" s="209" t="n">
        <f aca="false">(I21-H21)/ABS(H21)</f>
        <v>0.000869889399776229</v>
      </c>
      <c r="J47" s="209" t="n">
        <f aca="false">(J21-I21)/ABS(I21)</f>
        <v>-0.0254531909610132</v>
      </c>
      <c r="K47" s="209" t="n">
        <f aca="false">(K21-J21)/ABS(J21)</f>
        <v>-0.0255446553701108</v>
      </c>
      <c r="L47" s="210"/>
      <c r="M47" s="211"/>
      <c r="N47" s="211"/>
      <c r="O47" s="211"/>
      <c r="P47" s="211"/>
      <c r="Q47" s="211"/>
      <c r="R47" s="211" t="n">
        <f aca="false">(R21-M21)/ABS(M21)</f>
        <v>0.0165066214774367</v>
      </c>
      <c r="S47" s="211" t="n">
        <f aca="false">(S21-N21)/ABS(N21)</f>
        <v>0.00490835663249462</v>
      </c>
      <c r="T47" s="211" t="n">
        <f aca="false">(T21-O21)/ABS(O21)</f>
        <v>-0.00383449811367434</v>
      </c>
      <c r="U47" s="211" t="n">
        <f aca="false">(U21-P21)/ABS(P21)</f>
        <v>-0.0123227444423804</v>
      </c>
      <c r="V47" s="211"/>
      <c r="W47" s="211" t="n">
        <f aca="false">(W21-R21)/ABS(R21)</f>
        <v>-0.0208693504569029</v>
      </c>
      <c r="X47" s="211" t="n">
        <f aca="false">(X21-S21)/ABS(S21)</f>
        <v>-0.0278224310621986</v>
      </c>
      <c r="Y47" s="211" t="n">
        <f aca="false">(Y21-T21)/ABS(T21)</f>
        <v>-0.0284969268020116</v>
      </c>
      <c r="Z47" s="211" t="n">
        <f aca="false">(Z21-U21)/ABS(U21)</f>
        <v>-0.0242633228840126</v>
      </c>
      <c r="AA47" s="211"/>
      <c r="AB47" s="211" t="n">
        <f aca="false">(AB21-W21)/ABS(W21)</f>
        <v>-0.0268003531340648</v>
      </c>
      <c r="AC47" s="211" t="n">
        <f aca="false">(AC21-X21)/ABS(X21)</f>
        <v>-0.0256296107860596</v>
      </c>
      <c r="AD47" s="211" t="n">
        <f aca="false">(AD21-Y21)/ABS(Y21)</f>
        <v>-0.0244759713701431</v>
      </c>
      <c r="AE47" s="211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A1:A2"/>
    <mergeCell ref="B1:J1"/>
    <mergeCell ref="M1:P1"/>
    <mergeCell ref="R1:U1"/>
    <mergeCell ref="W1:Z1"/>
    <mergeCell ref="AB1:A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8"/>
  <sheetViews>
    <sheetView showFormulas="false" showGridLines="true" showRowColHeaders="true" showZeros="true" rightToLeft="false" tabSelected="false" showOutlineSymbols="true" defaultGridColor="true" view="normal" topLeftCell="A1" colorId="64" zoomScale="101" zoomScaleNormal="101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75" activeCellId="0" sqref="C75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0" width="26.84"/>
    <col collapsed="false" customWidth="true" hidden="false" outlineLevel="0" max="2" min="2" style="0" width="11.84"/>
    <col collapsed="false" customWidth="true" hidden="false" outlineLevel="0" max="3" min="3" style="0" width="11.16"/>
    <col collapsed="false" customWidth="true" hidden="false" outlineLevel="0" max="10" min="4" style="0" width="11"/>
  </cols>
  <sheetData>
    <row r="1" customFormat="false" ht="31.5" hidden="false" customHeight="true" outlineLevel="0" collapsed="false">
      <c r="A1" s="195" t="s">
        <v>190</v>
      </c>
      <c r="B1" s="196" t="s">
        <v>1</v>
      </c>
      <c r="C1" s="196"/>
      <c r="D1" s="196"/>
      <c r="E1" s="196"/>
      <c r="F1" s="196"/>
      <c r="G1" s="196"/>
      <c r="H1" s="196"/>
      <c r="I1" s="196"/>
      <c r="J1" s="196"/>
    </row>
    <row r="2" customFormat="false" ht="23.85" hidden="false" customHeight="false" outlineLevel="0" collapsed="false">
      <c r="A2" s="195"/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4" t="s">
        <v>9</v>
      </c>
      <c r="I2" s="54" t="s">
        <v>10</v>
      </c>
      <c r="J2" s="54" t="s">
        <v>11</v>
      </c>
      <c r="K2" s="54" t="s">
        <v>12</v>
      </c>
      <c r="L2" s="54" t="s">
        <v>185</v>
      </c>
    </row>
    <row r="3" customFormat="false" ht="23.85" hidden="false" customHeight="false" outlineLevel="0" collapsed="false">
      <c r="A3" s="188" t="s">
        <v>191</v>
      </c>
      <c r="H3" s="47" t="s">
        <v>38</v>
      </c>
      <c r="I3" s="47" t="s">
        <v>38</v>
      </c>
      <c r="J3" s="47" t="s">
        <v>38</v>
      </c>
    </row>
    <row r="4" customFormat="false" ht="15.75" hidden="false" customHeight="false" outlineLevel="0" collapsed="false">
      <c r="A4" s="47" t="s">
        <v>83</v>
      </c>
      <c r="B4" s="191" t="n">
        <v>3273</v>
      </c>
      <c r="C4" s="191" t="n">
        <v>3760</v>
      </c>
      <c r="D4" s="191" t="n">
        <v>4240</v>
      </c>
      <c r="E4" s="191" t="n">
        <v>1933</v>
      </c>
      <c r="F4" s="191" t="n">
        <v>4029</v>
      </c>
      <c r="G4" s="191" t="n">
        <v>2539</v>
      </c>
      <c r="H4" s="191" t="n">
        <v>5727</v>
      </c>
      <c r="I4" s="191" t="n">
        <v>6046</v>
      </c>
      <c r="J4" s="191" t="n">
        <v>5070</v>
      </c>
      <c r="K4" s="213" t="n">
        <f aca="false">'Valuations &amp; Forecasting'!K45</f>
        <v>5475.9</v>
      </c>
      <c r="L4" s="0" t="n">
        <v>5700</v>
      </c>
    </row>
    <row r="5" customFormat="false" ht="35.05" hidden="false" customHeight="false" outlineLevel="0" collapsed="false">
      <c r="A5" s="188" t="s">
        <v>192</v>
      </c>
      <c r="H5" s="47" t="s">
        <v>38</v>
      </c>
      <c r="I5" s="47" t="s">
        <v>38</v>
      </c>
      <c r="J5" s="47" t="s">
        <v>38</v>
      </c>
    </row>
    <row r="6" customFormat="false" ht="15.75" hidden="false" customHeight="false" outlineLevel="0" collapsed="false">
      <c r="A6" s="47" t="s">
        <v>193</v>
      </c>
      <c r="B6" s="193" t="n">
        <v>606</v>
      </c>
      <c r="C6" s="193" t="n">
        <v>649</v>
      </c>
      <c r="D6" s="193" t="n">
        <v>706</v>
      </c>
      <c r="E6" s="193" t="n">
        <v>747</v>
      </c>
      <c r="F6" s="193" t="n">
        <v>705</v>
      </c>
      <c r="G6" s="193" t="n">
        <v>721</v>
      </c>
      <c r="H6" s="193" t="n">
        <v>744</v>
      </c>
      <c r="I6" s="193" t="n">
        <v>717</v>
      </c>
      <c r="J6" s="193" t="n">
        <v>703</v>
      </c>
      <c r="L6" s="0" t="n">
        <v>796</v>
      </c>
    </row>
    <row r="7" customFormat="false" ht="15.75" hidden="false" customHeight="false" outlineLevel="0" collapsed="false">
      <c r="A7" s="47" t="s">
        <v>194</v>
      </c>
      <c r="B7" s="193" t="n">
        <v>-113</v>
      </c>
      <c r="C7" s="193" t="n">
        <v>-80</v>
      </c>
      <c r="D7" s="193" t="n">
        <v>-273</v>
      </c>
      <c r="E7" s="193" t="n">
        <v>647</v>
      </c>
      <c r="F7" s="193" t="n">
        <v>34</v>
      </c>
      <c r="G7" s="193" t="n">
        <v>-380</v>
      </c>
      <c r="H7" s="193" t="n">
        <v>-385</v>
      </c>
      <c r="I7" s="193" t="n">
        <v>-650</v>
      </c>
      <c r="J7" s="193" t="n">
        <v>-117</v>
      </c>
      <c r="L7" s="0" t="n">
        <v>-497</v>
      </c>
    </row>
    <row r="8" customFormat="false" ht="15.75" hidden="false" customHeight="false" outlineLevel="0" collapsed="false">
      <c r="A8" s="47" t="s">
        <v>195</v>
      </c>
      <c r="B8" s="193" t="n">
        <v>191</v>
      </c>
      <c r="C8" s="193" t="n">
        <v>236</v>
      </c>
      <c r="D8" s="193" t="n">
        <v>215</v>
      </c>
      <c r="E8" s="193" t="n">
        <v>218</v>
      </c>
      <c r="F8" s="193" t="n">
        <v>325</v>
      </c>
      <c r="G8" s="193" t="n">
        <v>429</v>
      </c>
      <c r="H8" s="193" t="n">
        <v>611</v>
      </c>
      <c r="I8" s="193" t="n">
        <v>638</v>
      </c>
      <c r="J8" s="193" t="n">
        <v>755</v>
      </c>
      <c r="L8" s="0" t="n">
        <v>804</v>
      </c>
    </row>
    <row r="9" customFormat="false" ht="23.85" hidden="false" customHeight="false" outlineLevel="0" collapsed="false">
      <c r="A9" s="47" t="s">
        <v>196</v>
      </c>
      <c r="B9" s="193" t="n">
        <v>43</v>
      </c>
      <c r="C9" s="193" t="n">
        <v>13</v>
      </c>
      <c r="D9" s="193" t="n">
        <v>10</v>
      </c>
      <c r="E9" s="193" t="n">
        <v>27</v>
      </c>
      <c r="F9" s="193" t="n">
        <v>15</v>
      </c>
      <c r="G9" s="193" t="n">
        <v>398</v>
      </c>
      <c r="H9" s="193" t="n">
        <v>53</v>
      </c>
      <c r="I9" s="193" t="n">
        <v>123</v>
      </c>
      <c r="J9" s="193" t="n">
        <v>156</v>
      </c>
      <c r="L9" s="0" t="n">
        <v>48</v>
      </c>
    </row>
    <row r="10" customFormat="false" ht="15.75" hidden="false" customHeight="false" outlineLevel="0" collapsed="false">
      <c r="A10" s="47" t="s">
        <v>197</v>
      </c>
      <c r="B10" s="193" t="n">
        <v>424</v>
      </c>
      <c r="C10" s="193" t="n">
        <v>98</v>
      </c>
      <c r="D10" s="193" t="n">
        <v>-117</v>
      </c>
      <c r="E10" s="193" t="n">
        <v>-99</v>
      </c>
      <c r="F10" s="193" t="n">
        <v>233</v>
      </c>
      <c r="G10" s="193" t="n">
        <v>23</v>
      </c>
      <c r="H10" s="193" t="n">
        <v>-138</v>
      </c>
      <c r="I10" s="193" t="n">
        <v>-26</v>
      </c>
      <c r="J10" s="193" t="n">
        <v>-213</v>
      </c>
      <c r="L10" s="0" t="n">
        <v>-138</v>
      </c>
    </row>
    <row r="11" customFormat="false" ht="35.05" hidden="false" customHeight="false" outlineLevel="0" collapsed="false">
      <c r="A11" s="188" t="s">
        <v>198</v>
      </c>
      <c r="H11" s="47" t="s">
        <v>38</v>
      </c>
      <c r="I11" s="47" t="s">
        <v>38</v>
      </c>
      <c r="J11" s="47" t="s">
        <v>38</v>
      </c>
    </row>
    <row r="12" customFormat="false" ht="15.75" hidden="false" customHeight="false" outlineLevel="0" collapsed="false">
      <c r="A12" s="188"/>
      <c r="E12" s="200"/>
      <c r="F12" s="200"/>
      <c r="G12" s="200"/>
      <c r="H12" s="200"/>
      <c r="I12" s="200"/>
      <c r="J12" s="200"/>
    </row>
    <row r="13" customFormat="false" ht="23.85" hidden="false" customHeight="false" outlineLevel="0" collapsed="false">
      <c r="A13" s="47" t="s">
        <v>199</v>
      </c>
      <c r="B13" s="193" t="n">
        <v>-216</v>
      </c>
      <c r="C13" s="193" t="n">
        <v>60</v>
      </c>
      <c r="D13" s="193" t="n">
        <v>-426</v>
      </c>
      <c r="E13" s="193" t="n">
        <v>187</v>
      </c>
      <c r="F13" s="193" t="n">
        <v>-270</v>
      </c>
      <c r="G13" s="193" t="n">
        <v>1239</v>
      </c>
      <c r="H13" s="193" t="n">
        <v>-1606</v>
      </c>
      <c r="I13" s="193" t="n">
        <v>-504</v>
      </c>
      <c r="J13" s="193" t="n">
        <v>489</v>
      </c>
      <c r="K13" s="193"/>
      <c r="L13" s="0" t="n">
        <v>-329</v>
      </c>
    </row>
    <row r="14" customFormat="false" ht="15.75" hidden="false" customHeight="false" outlineLevel="0" collapsed="false">
      <c r="A14" s="47"/>
      <c r="B14" s="193"/>
      <c r="C14" s="209" t="n">
        <f aca="false">(C13-B13)/ABS(B13)</f>
        <v>1.27777777777778</v>
      </c>
      <c r="D14" s="209" t="n">
        <f aca="false">(D13-C13)/ABS(C13)</f>
        <v>-8.1</v>
      </c>
      <c r="E14" s="209" t="n">
        <f aca="false">(E13-D13)/ABS(D13)</f>
        <v>1.43896713615023</v>
      </c>
      <c r="F14" s="209" t="n">
        <f aca="false">(F13-E13)/ABS(E13)</f>
        <v>-2.44385026737968</v>
      </c>
      <c r="G14" s="209" t="n">
        <f aca="false">(G13-F13)/ABS(F13)</f>
        <v>5.58888888888889</v>
      </c>
      <c r="H14" s="209" t="n">
        <f aca="false">(H13-G13)/ABS(G13)</f>
        <v>-2.29620661824052</v>
      </c>
      <c r="I14" s="209" t="n">
        <f aca="false">(I13-H13)/ABS(H13)</f>
        <v>0.686176836861768</v>
      </c>
      <c r="J14" s="209" t="n">
        <f aca="false">(J13-I13)/ABS(I13)</f>
        <v>1.9702380952381</v>
      </c>
      <c r="K14" s="209"/>
      <c r="L14" s="0" t="n">
        <f aca="false">(L13-J13)/ABS(J13)</f>
        <v>-1.67280163599182</v>
      </c>
    </row>
    <row r="15" customFormat="false" ht="15.75" hidden="false" customHeight="false" outlineLevel="0" collapsed="false">
      <c r="A15" s="47" t="s">
        <v>200</v>
      </c>
      <c r="B15" s="193" t="n">
        <v>-621</v>
      </c>
      <c r="C15" s="193" t="n">
        <v>-590</v>
      </c>
      <c r="D15" s="193" t="n">
        <v>-231</v>
      </c>
      <c r="E15" s="193" t="n">
        <v>-255</v>
      </c>
      <c r="F15" s="193" t="n">
        <v>-490</v>
      </c>
      <c r="G15" s="193" t="n">
        <v>-1854</v>
      </c>
      <c r="H15" s="193" t="n">
        <v>507</v>
      </c>
      <c r="I15" s="193" t="n">
        <v>-1676</v>
      </c>
      <c r="J15" s="193" t="n">
        <v>-133</v>
      </c>
      <c r="K15" s="193"/>
      <c r="L15" s="0" t="n">
        <v>908</v>
      </c>
    </row>
    <row r="16" customFormat="false" ht="15.75" hidden="false" customHeight="false" outlineLevel="0" collapsed="false">
      <c r="A16" s="47"/>
      <c r="B16" s="193"/>
      <c r="C16" s="209" t="n">
        <f aca="false">(C15-B15)/ABS(B15)</f>
        <v>0.0499194847020934</v>
      </c>
      <c r="D16" s="209" t="n">
        <f aca="false">(D15-C15)/ABS(C15)</f>
        <v>0.608474576271186</v>
      </c>
      <c r="E16" s="209" t="n">
        <f aca="false">(E15-D15)/ABS(D15)</f>
        <v>-0.103896103896104</v>
      </c>
      <c r="F16" s="209" t="n">
        <f aca="false">(F15-E15)/ABS(E15)</f>
        <v>-0.92156862745098</v>
      </c>
      <c r="G16" s="209" t="n">
        <f aca="false">(G15-F15)/ABS(F15)</f>
        <v>-2.78367346938776</v>
      </c>
      <c r="H16" s="209" t="n">
        <f aca="false">(H15-G15)/ABS(G15)</f>
        <v>1.27346278317152</v>
      </c>
      <c r="I16" s="209" t="n">
        <f aca="false">(I15-H15)/ABS(H15)</f>
        <v>-4.30571992110454</v>
      </c>
      <c r="J16" s="209" t="n">
        <f aca="false">(J15-I15)/ABS(I15)</f>
        <v>0.920644391408115</v>
      </c>
      <c r="K16" s="209"/>
      <c r="L16" s="0" t="n">
        <f aca="false">(L15-J15)/ABS(J15)</f>
        <v>7.82706766917293</v>
      </c>
    </row>
    <row r="17" customFormat="false" ht="46.25" hidden="false" customHeight="false" outlineLevel="0" collapsed="false">
      <c r="A17" s="47" t="s">
        <v>201</v>
      </c>
      <c r="B17" s="193" t="n">
        <v>-144</v>
      </c>
      <c r="C17" s="193" t="n">
        <v>-161</v>
      </c>
      <c r="D17" s="193" t="n">
        <v>-120</v>
      </c>
      <c r="E17" s="193" t="n">
        <v>35</v>
      </c>
      <c r="F17" s="193" t="n">
        <v>-203</v>
      </c>
      <c r="G17" s="193" t="n">
        <v>-654</v>
      </c>
      <c r="H17" s="193" t="n">
        <v>-182</v>
      </c>
      <c r="I17" s="193" t="n">
        <v>-845</v>
      </c>
      <c r="J17" s="193" t="n">
        <v>-644</v>
      </c>
      <c r="K17" s="193"/>
      <c r="L17" s="0" t="n">
        <v>-260</v>
      </c>
    </row>
    <row r="18" customFormat="false" ht="15.75" hidden="false" customHeight="false" outlineLevel="0" collapsed="false">
      <c r="A18" s="47"/>
      <c r="B18" s="193"/>
      <c r="C18" s="209" t="n">
        <f aca="false">(C17-B17)/ABS(B17)</f>
        <v>-0.118055555555556</v>
      </c>
      <c r="D18" s="209" t="n">
        <f aca="false">(D17-C17)/ABS(C17)</f>
        <v>0.254658385093168</v>
      </c>
      <c r="E18" s="209" t="n">
        <f aca="false">(E17-D17)/ABS(D17)</f>
        <v>1.29166666666667</v>
      </c>
      <c r="F18" s="209" t="n">
        <f aca="false">(F17-E17)/ABS(E17)</f>
        <v>-6.8</v>
      </c>
      <c r="G18" s="209" t="n">
        <f aca="false">(G17-F17)/ABS(F17)</f>
        <v>-2.22167487684729</v>
      </c>
      <c r="H18" s="209" t="n">
        <f aca="false">(H17-G17)/ABS(G17)</f>
        <v>0.7217125382263</v>
      </c>
      <c r="I18" s="209" t="n">
        <f aca="false">(I17-H17)/ABS(H17)</f>
        <v>-3.64285714285714</v>
      </c>
      <c r="J18" s="209" t="n">
        <f aca="false">(J17-I17)/ABS(I17)</f>
        <v>0.237869822485207</v>
      </c>
      <c r="K18" s="209"/>
      <c r="L18" s="0" t="n">
        <f aca="false">(L17-J17)/ABS(J17)</f>
        <v>0.596273291925466</v>
      </c>
    </row>
    <row r="19" customFormat="false" ht="57.45" hidden="false" customHeight="false" outlineLevel="0" collapsed="false">
      <c r="A19" s="47" t="s">
        <v>202</v>
      </c>
      <c r="B19" s="193" t="n">
        <v>1237</v>
      </c>
      <c r="C19" s="193" t="n">
        <v>-889</v>
      </c>
      <c r="D19" s="193" t="n">
        <v>-364</v>
      </c>
      <c r="E19" s="193" t="n">
        <v>1515</v>
      </c>
      <c r="F19" s="193" t="n">
        <v>1525</v>
      </c>
      <c r="G19" s="193" t="n">
        <v>24</v>
      </c>
      <c r="H19" s="193" t="n">
        <v>1326</v>
      </c>
      <c r="I19" s="193" t="n">
        <v>1365</v>
      </c>
      <c r="J19" s="193" t="n">
        <v>-225</v>
      </c>
      <c r="K19" s="193"/>
      <c r="L19" s="0" t="n">
        <v>397</v>
      </c>
    </row>
    <row r="20" customFormat="false" ht="15.75" hidden="false" customHeight="false" outlineLevel="0" collapsed="false">
      <c r="A20" s="47"/>
      <c r="B20" s="193"/>
      <c r="C20" s="209" t="n">
        <f aca="false">(C19-B19)/ABS(B19)</f>
        <v>-1.71867421180275</v>
      </c>
      <c r="D20" s="209" t="n">
        <f aca="false">(D19-C19)/ABS(C19)</f>
        <v>0.590551181102362</v>
      </c>
      <c r="E20" s="209" t="n">
        <f aca="false">(E19-D19)/ABS(D19)</f>
        <v>5.16208791208791</v>
      </c>
      <c r="F20" s="209" t="n">
        <f aca="false">(F19-E19)/ABS(E19)</f>
        <v>0.0066006600660066</v>
      </c>
      <c r="G20" s="209" t="n">
        <f aca="false">(G19-F19)/ABS(F19)</f>
        <v>-0.984262295081967</v>
      </c>
      <c r="H20" s="209" t="n">
        <f aca="false">(H19-G19)/ABS(G19)</f>
        <v>54.25</v>
      </c>
      <c r="I20" s="209" t="n">
        <f aca="false">(I19-H19)/ABS(H19)</f>
        <v>0.0294117647058824</v>
      </c>
      <c r="J20" s="209" t="n">
        <f aca="false">(J19-I19)/ABS(I19)</f>
        <v>-1.16483516483517</v>
      </c>
      <c r="K20" s="209"/>
      <c r="L20" s="0" t="n">
        <f aca="false">(L19-J19)/ABS(J19)</f>
        <v>2.76444444444444</v>
      </c>
    </row>
    <row r="21" customFormat="false" ht="23.85" hidden="false" customHeight="false" outlineLevel="0" collapsed="false">
      <c r="A21" s="47" t="s">
        <v>203</v>
      </c>
      <c r="B21" s="193" t="n">
        <v>4680</v>
      </c>
      <c r="C21" s="193" t="n">
        <v>3096</v>
      </c>
      <c r="D21" s="193" t="n">
        <v>3640</v>
      </c>
      <c r="E21" s="193" t="n">
        <v>4955</v>
      </c>
      <c r="F21" s="193" t="n">
        <v>5903</v>
      </c>
      <c r="G21" s="193" t="n">
        <v>2485</v>
      </c>
      <c r="H21" s="193" t="n">
        <v>6657</v>
      </c>
      <c r="I21" s="193" t="n">
        <v>5188</v>
      </c>
      <c r="J21" s="193" t="n">
        <v>5841</v>
      </c>
      <c r="K21" s="193"/>
      <c r="L21" s="0" t="n">
        <v>7429</v>
      </c>
    </row>
    <row r="22" customFormat="false" ht="15.75" hidden="false" customHeight="false" outlineLevel="0" collapsed="false">
      <c r="A22" s="47"/>
      <c r="B22" s="193"/>
      <c r="C22" s="209" t="n">
        <f aca="false">(C21-B21)/ABS(B21)</f>
        <v>-0.338461538461539</v>
      </c>
      <c r="D22" s="209" t="n">
        <f aca="false">(D21-C21)/ABS(C21)</f>
        <v>0.175710594315245</v>
      </c>
      <c r="E22" s="209" t="n">
        <f aca="false">(E21-D21)/ABS(D21)</f>
        <v>0.361263736263736</v>
      </c>
      <c r="F22" s="209" t="n">
        <f aca="false">(F21-E21)/ABS(E21)</f>
        <v>0.191321897073663</v>
      </c>
      <c r="G22" s="209" t="n">
        <f aca="false">(G21-F21)/ABS(F21)</f>
        <v>-0.579027613078096</v>
      </c>
      <c r="H22" s="209" t="n">
        <f aca="false">(H21-G21)/ABS(G21)</f>
        <v>1.67887323943662</v>
      </c>
      <c r="I22" s="209" t="n">
        <f aca="false">(I21-H21)/ABS(H21)</f>
        <v>-0.220669971458615</v>
      </c>
      <c r="J22" s="209" t="n">
        <f aca="false">(J21-I21)/ABS(I21)</f>
        <v>0.125867386276022</v>
      </c>
      <c r="K22" s="209"/>
      <c r="L22" s="0" t="n">
        <f aca="false">(L21-J21)/ABS(J21)</f>
        <v>0.271871254922102</v>
      </c>
    </row>
    <row r="23" customFormat="false" ht="23.85" hidden="false" customHeight="false" outlineLevel="0" collapsed="false">
      <c r="A23" s="188" t="s">
        <v>204</v>
      </c>
      <c r="H23" s="47" t="s">
        <v>38</v>
      </c>
      <c r="I23" s="47" t="s">
        <v>38</v>
      </c>
      <c r="J23" s="47" t="s">
        <v>38</v>
      </c>
    </row>
    <row r="24" customFormat="false" ht="23.85" hidden="false" customHeight="false" outlineLevel="0" collapsed="false">
      <c r="A24" s="47" t="s">
        <v>205</v>
      </c>
      <c r="B24" s="193" t="n">
        <v>-4936</v>
      </c>
      <c r="C24" s="193" t="n">
        <v>-5367</v>
      </c>
      <c r="D24" s="193" t="n">
        <v>-5928</v>
      </c>
      <c r="E24" s="193" t="n">
        <v>-4783</v>
      </c>
      <c r="F24" s="193" t="n">
        <v>-2937</v>
      </c>
      <c r="G24" s="193" t="n">
        <v>-2426</v>
      </c>
      <c r="H24" s="193" t="n">
        <v>-9961</v>
      </c>
      <c r="I24" s="193" t="n">
        <v>-12913</v>
      </c>
      <c r="J24" s="193" t="n">
        <v>-6059</v>
      </c>
      <c r="L24" s="0" t="n">
        <v>-4767</v>
      </c>
    </row>
    <row r="25" customFormat="false" ht="23.85" hidden="false" customHeight="false" outlineLevel="0" collapsed="false">
      <c r="A25" s="47" t="s">
        <v>206</v>
      </c>
      <c r="B25" s="193" t="n">
        <v>3655</v>
      </c>
      <c r="C25" s="193" t="n">
        <v>2924</v>
      </c>
      <c r="D25" s="193" t="n">
        <v>3623</v>
      </c>
      <c r="E25" s="193" t="n">
        <v>3613</v>
      </c>
      <c r="F25" s="193" t="n">
        <v>1715</v>
      </c>
      <c r="G25" s="193" t="n">
        <v>74</v>
      </c>
      <c r="H25" s="193" t="n">
        <v>4236</v>
      </c>
      <c r="I25" s="193" t="n">
        <v>8199</v>
      </c>
      <c r="J25" s="193" t="n">
        <v>3356</v>
      </c>
      <c r="L25" s="0" t="n">
        <v>2269</v>
      </c>
    </row>
    <row r="26" customFormat="false" ht="15.75" hidden="false" customHeight="false" outlineLevel="0" collapsed="false">
      <c r="A26" s="47" t="s">
        <v>207</v>
      </c>
      <c r="B26" s="193" t="n">
        <v>2216</v>
      </c>
      <c r="C26" s="193" t="n">
        <v>2386</v>
      </c>
      <c r="D26" s="193" t="n">
        <v>2423</v>
      </c>
      <c r="E26" s="193" t="n">
        <v>2496</v>
      </c>
      <c r="F26" s="193" t="n">
        <v>2072</v>
      </c>
      <c r="G26" s="193" t="n">
        <v>2379</v>
      </c>
      <c r="H26" s="193" t="n">
        <v>2449</v>
      </c>
      <c r="I26" s="193" t="n">
        <v>3967</v>
      </c>
      <c r="J26" s="193" t="n">
        <v>4184</v>
      </c>
      <c r="L26" s="0" t="n">
        <v>4219</v>
      </c>
    </row>
    <row r="27" customFormat="false" ht="23.85" hidden="false" customHeight="false" outlineLevel="0" collapsed="false">
      <c r="A27" s="47" t="s">
        <v>208</v>
      </c>
      <c r="B27" s="193" t="n">
        <v>-150</v>
      </c>
      <c r="C27" s="193" t="n">
        <v>150</v>
      </c>
      <c r="D27" s="193" t="n">
        <v>0</v>
      </c>
      <c r="E27" s="193" t="n">
        <v>0</v>
      </c>
      <c r="F27" s="193" t="n">
        <v>0</v>
      </c>
      <c r="G27" s="193" t="n">
        <v>0</v>
      </c>
      <c r="H27" s="193" t="n">
        <v>0</v>
      </c>
      <c r="I27" s="193" t="n">
        <v>0</v>
      </c>
      <c r="J27" s="193" t="n">
        <v>0</v>
      </c>
    </row>
    <row r="28" customFormat="false" ht="23.85" hidden="false" customHeight="false" outlineLevel="0" collapsed="false">
      <c r="A28" s="47" t="s">
        <v>209</v>
      </c>
      <c r="B28" s="193" t="n">
        <v>-963</v>
      </c>
      <c r="C28" s="193" t="n">
        <v>-1143</v>
      </c>
      <c r="D28" s="193" t="n">
        <v>-1105</v>
      </c>
      <c r="E28" s="193" t="n">
        <v>-1028</v>
      </c>
      <c r="F28" s="193" t="n">
        <v>-1119</v>
      </c>
      <c r="G28" s="193" t="n">
        <v>-1086</v>
      </c>
      <c r="H28" s="193" t="n">
        <v>-695</v>
      </c>
      <c r="I28" s="193" t="n">
        <v>-758</v>
      </c>
      <c r="J28" s="193" t="n">
        <v>-969</v>
      </c>
      <c r="L28" s="0" t="n">
        <v>-812</v>
      </c>
    </row>
    <row r="29" customFormat="false" ht="23.85" hidden="false" customHeight="false" outlineLevel="0" collapsed="false">
      <c r="A29" s="47" t="s">
        <v>210</v>
      </c>
      <c r="B29" s="193" t="n">
        <v>3</v>
      </c>
      <c r="C29" s="193" t="n">
        <v>10</v>
      </c>
      <c r="D29" s="193" t="n">
        <v>13</v>
      </c>
      <c r="E29" s="193" t="n">
        <v>0</v>
      </c>
      <c r="F29" s="193" t="n">
        <v>0</v>
      </c>
      <c r="G29" s="193" t="n">
        <v>0</v>
      </c>
      <c r="H29" s="193" t="n">
        <v>0</v>
      </c>
      <c r="I29" s="193" t="n">
        <v>0</v>
      </c>
      <c r="J29" s="193" t="n">
        <v>0</v>
      </c>
    </row>
    <row r="30" customFormat="false" ht="15.75" hidden="false" customHeight="false" outlineLevel="0" collapsed="false">
      <c r="A30" s="47" t="s">
        <v>211</v>
      </c>
      <c r="B30" s="193" t="n">
        <v>0</v>
      </c>
      <c r="C30" s="193" t="n">
        <v>6</v>
      </c>
      <c r="D30" s="193" t="n">
        <v>-34</v>
      </c>
      <c r="E30" s="193" t="n">
        <v>-22</v>
      </c>
      <c r="F30" s="193" t="n">
        <v>5</v>
      </c>
      <c r="G30" s="193" t="n">
        <v>31</v>
      </c>
      <c r="H30" s="193" t="n">
        <v>171</v>
      </c>
      <c r="I30" s="193" t="n">
        <v>-19</v>
      </c>
      <c r="J30" s="193" t="n">
        <v>52</v>
      </c>
      <c r="L30" s="0" t="n">
        <v>-15</v>
      </c>
    </row>
    <row r="31" customFormat="false" ht="23.85" hidden="false" customHeight="false" outlineLevel="0" collapsed="false">
      <c r="A31" s="47" t="s">
        <v>212</v>
      </c>
      <c r="B31" s="193" t="n">
        <v>-175</v>
      </c>
      <c r="C31" s="193" t="n">
        <v>-1034</v>
      </c>
      <c r="D31" s="193" t="n">
        <v>-1008</v>
      </c>
      <c r="E31" s="193" t="n">
        <v>276</v>
      </c>
      <c r="F31" s="193" t="n">
        <v>-264</v>
      </c>
      <c r="G31" s="193" t="n">
        <v>-1028</v>
      </c>
      <c r="H31" s="193" t="n">
        <v>-3800</v>
      </c>
      <c r="I31" s="193" t="n">
        <v>-1524</v>
      </c>
      <c r="J31" s="193" t="n">
        <v>564</v>
      </c>
      <c r="L31" s="0" t="n">
        <v>894</v>
      </c>
    </row>
    <row r="32" customFormat="false" ht="23.85" hidden="false" customHeight="false" outlineLevel="0" collapsed="false">
      <c r="A32" s="188" t="s">
        <v>213</v>
      </c>
      <c r="H32" s="47" t="s">
        <v>38</v>
      </c>
      <c r="I32" s="47" t="s">
        <v>38</v>
      </c>
      <c r="J32" s="47" t="s">
        <v>38</v>
      </c>
    </row>
    <row r="33" customFormat="false" ht="23.85" hidden="false" customHeight="false" outlineLevel="0" collapsed="false">
      <c r="A33" s="47" t="s">
        <v>214</v>
      </c>
      <c r="B33" s="193" t="n">
        <v>0</v>
      </c>
      <c r="C33" s="193" t="n">
        <v>981</v>
      </c>
      <c r="D33" s="193" t="n">
        <v>1482</v>
      </c>
      <c r="E33" s="193" t="n">
        <v>0</v>
      </c>
      <c r="F33" s="193" t="n">
        <v>0</v>
      </c>
      <c r="G33" s="193" t="n">
        <v>6134</v>
      </c>
      <c r="H33" s="47" t="n">
        <v>0</v>
      </c>
      <c r="I33" s="47" t="n">
        <v>0</v>
      </c>
      <c r="J33" s="47" t="n">
        <v>0</v>
      </c>
    </row>
    <row r="34" customFormat="false" ht="23.85" hidden="false" customHeight="false" outlineLevel="0" collapsed="false">
      <c r="A34" s="47" t="s">
        <v>215</v>
      </c>
      <c r="B34" s="193" t="n">
        <v>-7</v>
      </c>
      <c r="C34" s="193" t="n">
        <v>-106</v>
      </c>
      <c r="D34" s="193" t="n">
        <v>-44</v>
      </c>
      <c r="E34" s="193" t="n">
        <v>0</v>
      </c>
      <c r="F34" s="193" t="n">
        <v>0</v>
      </c>
      <c r="G34" s="193" t="n">
        <v>0</v>
      </c>
      <c r="H34" s="47" t="n">
        <v>0</v>
      </c>
      <c r="I34" s="47" t="n">
        <v>0</v>
      </c>
      <c r="J34" s="47" t="n">
        <v>0</v>
      </c>
    </row>
    <row r="35" customFormat="false" ht="23.85" hidden="false" customHeight="false" outlineLevel="0" collapsed="false">
      <c r="A35" s="47" t="s">
        <v>216</v>
      </c>
      <c r="B35" s="193" t="n">
        <v>-63</v>
      </c>
      <c r="C35" s="193" t="n">
        <v>-67</v>
      </c>
      <c r="D35" s="193" t="n">
        <v>327</v>
      </c>
      <c r="E35" s="193" t="n">
        <v>13</v>
      </c>
      <c r="F35" s="193" t="n">
        <v>-325</v>
      </c>
      <c r="G35" s="193" t="n">
        <v>49</v>
      </c>
      <c r="H35" s="193" t="n">
        <v>-52</v>
      </c>
      <c r="I35" s="193" t="n">
        <v>15</v>
      </c>
      <c r="J35" s="193" t="n">
        <v>-4</v>
      </c>
      <c r="L35" s="0" t="n">
        <v>0</v>
      </c>
    </row>
    <row r="36" customFormat="false" ht="15.75" hidden="false" customHeight="false" outlineLevel="0" collapsed="false">
      <c r="A36" s="47" t="s">
        <v>217</v>
      </c>
      <c r="B36" s="193" t="n">
        <v>-19</v>
      </c>
      <c r="C36" s="193" t="n">
        <v>-7</v>
      </c>
      <c r="D36" s="193" t="n">
        <v>-17</v>
      </c>
      <c r="E36" s="193" t="n">
        <v>0</v>
      </c>
      <c r="F36" s="193" t="n">
        <v>0</v>
      </c>
      <c r="G36" s="193" t="n">
        <v>0</v>
      </c>
      <c r="H36" s="193" t="n">
        <v>-197</v>
      </c>
      <c r="I36" s="193" t="n">
        <v>0</v>
      </c>
      <c r="J36" s="193" t="n">
        <v>-500</v>
      </c>
      <c r="L36" s="0" t="n">
        <v>0</v>
      </c>
    </row>
    <row r="37" customFormat="false" ht="23.85" hidden="false" customHeight="false" outlineLevel="0" collapsed="false">
      <c r="A37" s="47" t="s">
        <v>218</v>
      </c>
      <c r="B37" s="193" t="n">
        <v>514</v>
      </c>
      <c r="C37" s="193" t="n">
        <v>507</v>
      </c>
      <c r="D37" s="193" t="n">
        <v>489</v>
      </c>
      <c r="E37" s="193" t="n">
        <v>733</v>
      </c>
      <c r="F37" s="193" t="n">
        <v>700</v>
      </c>
      <c r="G37" s="193" t="n">
        <v>885</v>
      </c>
      <c r="H37" s="193" t="n">
        <v>1172</v>
      </c>
      <c r="I37" s="193" t="n">
        <v>1151</v>
      </c>
      <c r="J37" s="193" t="n">
        <v>651</v>
      </c>
      <c r="L37" s="0" t="n">
        <v>667</v>
      </c>
    </row>
    <row r="38" customFormat="false" ht="15.75" hidden="false" customHeight="false" outlineLevel="0" collapsed="false">
      <c r="A38" s="47" t="s">
        <v>219</v>
      </c>
      <c r="B38" s="193" t="n">
        <v>218</v>
      </c>
      <c r="C38" s="193" t="n">
        <v>281</v>
      </c>
      <c r="D38" s="193" t="n">
        <v>177</v>
      </c>
      <c r="E38" s="193" t="n">
        <v>-4254</v>
      </c>
      <c r="F38" s="193" t="n">
        <v>-4286</v>
      </c>
      <c r="G38" s="193" t="n">
        <v>-3067</v>
      </c>
      <c r="H38" s="193" t="n">
        <v>-608</v>
      </c>
      <c r="I38" s="193" t="n">
        <v>-4014</v>
      </c>
      <c r="J38" s="193" t="n">
        <v>-5480</v>
      </c>
      <c r="L38" s="0" t="n">
        <v>-4250</v>
      </c>
    </row>
    <row r="39" customFormat="false" ht="23.85" hidden="false" customHeight="false" outlineLevel="0" collapsed="false">
      <c r="A39" s="47" t="s">
        <v>220</v>
      </c>
      <c r="B39" s="193" t="n">
        <v>-2534</v>
      </c>
      <c r="C39" s="193" t="n">
        <v>-3238</v>
      </c>
      <c r="D39" s="193" t="n">
        <v>-3223</v>
      </c>
      <c r="E39" s="193" t="n">
        <v>-1243</v>
      </c>
      <c r="F39" s="193" t="n">
        <v>-1332</v>
      </c>
      <c r="G39" s="193" t="n">
        <v>-1452</v>
      </c>
      <c r="H39" s="193" t="n">
        <v>-1638</v>
      </c>
      <c r="I39" s="193" t="n">
        <v>-1837</v>
      </c>
      <c r="J39" s="193" t="n">
        <v>-2012</v>
      </c>
      <c r="L39" s="0" t="n">
        <v>-2169</v>
      </c>
    </row>
    <row r="40" customFormat="false" ht="15.75" hidden="false" customHeight="false" outlineLevel="0" collapsed="false">
      <c r="A40" s="47" t="s">
        <v>221</v>
      </c>
      <c r="B40" s="193" t="n">
        <v>-899</v>
      </c>
      <c r="C40" s="193" t="n">
        <v>-1022</v>
      </c>
      <c r="D40" s="193" t="n">
        <v>-1133</v>
      </c>
      <c r="E40" s="193" t="n">
        <v>-84</v>
      </c>
      <c r="F40" s="193" t="n">
        <v>-50</v>
      </c>
      <c r="G40" s="193" t="n">
        <v>-58</v>
      </c>
      <c r="H40" s="193" t="n">
        <v>-136</v>
      </c>
      <c r="I40" s="193" t="n">
        <v>-151</v>
      </c>
      <c r="J40" s="193" t="n">
        <v>-102</v>
      </c>
      <c r="L40" s="0" t="n">
        <v>-136</v>
      </c>
    </row>
    <row r="41" customFormat="false" ht="23.85" hidden="false" customHeight="false" outlineLevel="0" collapsed="false">
      <c r="A41" s="47" t="s">
        <v>222</v>
      </c>
      <c r="B41" s="193" t="n">
        <v>-2790</v>
      </c>
      <c r="C41" s="193" t="n">
        <v>-2671</v>
      </c>
      <c r="D41" s="193" t="n">
        <v>-1942</v>
      </c>
      <c r="E41" s="193" t="n">
        <v>-4835</v>
      </c>
      <c r="F41" s="193" t="n">
        <v>-5293</v>
      </c>
      <c r="G41" s="193" t="n">
        <v>2491</v>
      </c>
      <c r="H41" s="193" t="n">
        <v>-1459</v>
      </c>
      <c r="I41" s="193" t="n">
        <v>-4836</v>
      </c>
      <c r="J41" s="193" t="n">
        <v>-7447</v>
      </c>
      <c r="L41" s="0" t="n">
        <v>-5888</v>
      </c>
    </row>
    <row r="42" customFormat="false" ht="23.85" hidden="false" customHeight="false" outlineLevel="0" collapsed="false">
      <c r="A42" s="47" t="s">
        <v>223</v>
      </c>
      <c r="B42" s="193" t="n">
        <v>-83</v>
      </c>
      <c r="C42" s="193" t="n">
        <v>-105</v>
      </c>
      <c r="D42" s="193" t="n">
        <v>-20</v>
      </c>
      <c r="E42" s="193" t="n">
        <v>45</v>
      </c>
      <c r="F42" s="193" t="n">
        <v>-129</v>
      </c>
      <c r="G42" s="193" t="n">
        <v>-66</v>
      </c>
      <c r="H42" s="193" t="n">
        <v>143</v>
      </c>
      <c r="I42" s="193" t="n">
        <v>-143</v>
      </c>
      <c r="J42" s="193" t="n">
        <v>-91</v>
      </c>
      <c r="L42" s="0" t="n">
        <v>-16</v>
      </c>
    </row>
    <row r="43" customFormat="false" ht="23.85" hidden="false" customHeight="false" outlineLevel="0" collapsed="false">
      <c r="A43" s="47" t="s">
        <v>224</v>
      </c>
      <c r="B43" s="193" t="n">
        <v>1632</v>
      </c>
      <c r="C43" s="193" t="n">
        <v>-714</v>
      </c>
      <c r="D43" s="193" t="n">
        <v>670</v>
      </c>
      <c r="E43" s="193" t="n">
        <v>441</v>
      </c>
      <c r="F43" s="193" t="n">
        <v>217</v>
      </c>
      <c r="G43" s="193" t="n">
        <v>3882</v>
      </c>
      <c r="H43" s="193" t="n">
        <v>1541</v>
      </c>
      <c r="I43" s="193" t="n">
        <v>-1315</v>
      </c>
      <c r="J43" s="193" t="n">
        <v>-1133</v>
      </c>
      <c r="L43" s="0" t="n">
        <v>2419</v>
      </c>
    </row>
    <row r="44" customFormat="false" ht="23.85" hidden="false" customHeight="false" outlineLevel="0" collapsed="false">
      <c r="A44" s="47" t="s">
        <v>225</v>
      </c>
      <c r="B44" s="193" t="n">
        <v>2220</v>
      </c>
      <c r="C44" s="193" t="n">
        <v>3852</v>
      </c>
      <c r="D44" s="193" t="n">
        <v>3138</v>
      </c>
      <c r="E44" s="193" t="n">
        <v>3808</v>
      </c>
      <c r="F44" s="193" t="n">
        <v>4249</v>
      </c>
      <c r="G44" s="193" t="n">
        <v>4466</v>
      </c>
      <c r="H44" s="193" t="n">
        <v>8348</v>
      </c>
      <c r="I44" s="193" t="n">
        <v>9889</v>
      </c>
      <c r="J44" s="193" t="n">
        <v>8574</v>
      </c>
      <c r="L44" s="0" t="n">
        <v>7441</v>
      </c>
    </row>
    <row r="45" customFormat="false" ht="23.85" hidden="false" customHeight="false" outlineLevel="0" collapsed="false">
      <c r="A45" s="47" t="s">
        <v>226</v>
      </c>
      <c r="B45" s="193" t="n">
        <v>3852</v>
      </c>
      <c r="C45" s="193" t="n">
        <v>3138</v>
      </c>
      <c r="D45" s="193" t="n">
        <v>3808</v>
      </c>
      <c r="E45" s="193" t="n">
        <v>4249</v>
      </c>
      <c r="F45" s="193" t="n">
        <v>4466</v>
      </c>
      <c r="G45" s="193" t="n">
        <v>8348</v>
      </c>
      <c r="H45" s="193" t="n">
        <v>9889</v>
      </c>
      <c r="I45" s="193" t="n">
        <v>8574</v>
      </c>
      <c r="J45" s="193" t="n">
        <v>7441</v>
      </c>
      <c r="L45" s="0" t="n">
        <v>9860</v>
      </c>
    </row>
    <row r="46" customFormat="false" ht="15.75" hidden="false" customHeight="false" outlineLevel="0" collapsed="false">
      <c r="A46" s="188" t="s">
        <v>227</v>
      </c>
      <c r="H46" s="47" t="s">
        <v>38</v>
      </c>
      <c r="I46" s="47" t="s">
        <v>38</v>
      </c>
      <c r="J46" s="47" t="s">
        <v>38</v>
      </c>
    </row>
    <row r="47" customFormat="false" ht="23.85" hidden="false" customHeight="false" outlineLevel="0" collapsed="false">
      <c r="A47" s="47" t="s">
        <v>228</v>
      </c>
      <c r="B47" s="193" t="n">
        <v>53</v>
      </c>
      <c r="C47" s="193" t="n">
        <v>70</v>
      </c>
      <c r="D47" s="193" t="n">
        <v>98</v>
      </c>
      <c r="E47" s="193" t="n">
        <v>125</v>
      </c>
      <c r="F47" s="193" t="n">
        <v>153</v>
      </c>
      <c r="G47" s="193" t="n">
        <v>140</v>
      </c>
      <c r="H47" s="193" t="n">
        <v>293</v>
      </c>
      <c r="I47" s="193" t="n">
        <v>290</v>
      </c>
      <c r="J47" s="193" t="n">
        <v>347</v>
      </c>
      <c r="L47" s="0" t="n">
        <v>381</v>
      </c>
    </row>
    <row r="48" customFormat="false" ht="15.75" hidden="false" customHeight="false" outlineLevel="0" collapsed="false">
      <c r="A48" s="47" t="s">
        <v>145</v>
      </c>
      <c r="B48" s="193" t="n">
        <v>1262</v>
      </c>
      <c r="C48" s="193" t="n">
        <v>748</v>
      </c>
      <c r="D48" s="193" t="n">
        <v>703</v>
      </c>
      <c r="E48" s="193" t="n">
        <v>529</v>
      </c>
      <c r="F48" s="193" t="n">
        <v>757</v>
      </c>
      <c r="G48" s="193" t="n">
        <v>1028</v>
      </c>
      <c r="H48" s="193" t="n">
        <v>1177</v>
      </c>
      <c r="I48" s="193" t="n">
        <v>1231</v>
      </c>
      <c r="J48" s="193" t="n">
        <v>1517</v>
      </c>
      <c r="L48" s="0" t="n">
        <v>1299</v>
      </c>
    </row>
    <row r="49" customFormat="false" ht="23.85" hidden="false" customHeight="false" outlineLevel="0" collapsed="false">
      <c r="A49" s="47" t="s">
        <v>229</v>
      </c>
      <c r="B49" s="193" t="n">
        <v>206</v>
      </c>
      <c r="C49" s="193" t="n">
        <v>252</v>
      </c>
      <c r="D49" s="193" t="n">
        <v>266</v>
      </c>
      <c r="E49" s="193" t="n">
        <v>294</v>
      </c>
      <c r="F49" s="193" t="n">
        <v>160</v>
      </c>
      <c r="G49" s="193" t="n">
        <v>121</v>
      </c>
      <c r="H49" s="193" t="n">
        <v>179</v>
      </c>
      <c r="I49" s="193" t="n">
        <v>160</v>
      </c>
      <c r="J49" s="193" t="n">
        <v>211</v>
      </c>
      <c r="L49" s="0" t="n">
        <v>160</v>
      </c>
    </row>
    <row r="50" customFormat="false" ht="15.75" hidden="false" customHeight="false" outlineLevel="0" collapsed="false">
      <c r="A50" s="47" t="s">
        <v>230</v>
      </c>
      <c r="B50" s="191" t="n">
        <v>240</v>
      </c>
      <c r="C50" s="191" t="n">
        <v>271</v>
      </c>
      <c r="D50" s="191" t="n">
        <v>300</v>
      </c>
      <c r="E50" s="191" t="n">
        <v>320</v>
      </c>
      <c r="F50" s="191" t="n">
        <v>347</v>
      </c>
      <c r="G50" s="191" t="n">
        <v>385</v>
      </c>
      <c r="H50" s="191" t="n">
        <v>438</v>
      </c>
      <c r="I50" s="191" t="n">
        <v>480</v>
      </c>
      <c r="J50" s="191" t="n">
        <v>524</v>
      </c>
      <c r="L50" s="0" t="n">
        <v>558</v>
      </c>
    </row>
    <row r="51" customFormat="false" ht="15.75" hidden="false" customHeight="false" outlineLevel="0" collapsed="false">
      <c r="B51" s="193"/>
      <c r="C51" s="193"/>
      <c r="D51" s="193"/>
      <c r="E51" s="193"/>
      <c r="F51" s="193"/>
      <c r="G51" s="193"/>
    </row>
    <row r="52" customFormat="false" ht="15.75" hidden="false" customHeight="false" outlineLevel="0" collapsed="false">
      <c r="A52" s="214" t="s">
        <v>83</v>
      </c>
      <c r="B52" s="191" t="n">
        <f aca="false">B4</f>
        <v>3273</v>
      </c>
      <c r="C52" s="191" t="n">
        <f aca="false">C4</f>
        <v>3760</v>
      </c>
      <c r="D52" s="191" t="n">
        <f aca="false">D4</f>
        <v>4240</v>
      </c>
      <c r="E52" s="191" t="n">
        <f aca="false">E4</f>
        <v>1933</v>
      </c>
      <c r="F52" s="191" t="n">
        <f aca="false">F4</f>
        <v>4029</v>
      </c>
      <c r="G52" s="191" t="n">
        <f aca="false">G4</f>
        <v>2539</v>
      </c>
      <c r="H52" s="191" t="n">
        <f aca="false">H4</f>
        <v>5727</v>
      </c>
      <c r="I52" s="191" t="n">
        <f aca="false">I4</f>
        <v>6046</v>
      </c>
      <c r="J52" s="191" t="n">
        <f aca="false">J4</f>
        <v>5070</v>
      </c>
      <c r="K52" s="191" t="n">
        <f aca="false">K4</f>
        <v>5475.9</v>
      </c>
      <c r="L52" s="191" t="n">
        <f aca="false">L4</f>
        <v>5700</v>
      </c>
    </row>
    <row r="53" customFormat="false" ht="15.75" hidden="false" customHeight="false" outlineLevel="0" collapsed="false">
      <c r="A53" s="215" t="s">
        <v>84</v>
      </c>
      <c r="B53" s="191" t="n">
        <f aca="false">B6+B9</f>
        <v>649</v>
      </c>
      <c r="C53" s="191" t="n">
        <f aca="false">C6+C9</f>
        <v>662</v>
      </c>
      <c r="D53" s="191" t="n">
        <f aca="false">D6+D9</f>
        <v>716</v>
      </c>
      <c r="E53" s="191" t="n">
        <f aca="false">E6+E9</f>
        <v>774</v>
      </c>
      <c r="F53" s="191" t="n">
        <f aca="false">F6+F9</f>
        <v>720</v>
      </c>
      <c r="G53" s="191" t="n">
        <f aca="false">G6+G9</f>
        <v>1119</v>
      </c>
      <c r="H53" s="191" t="n">
        <f aca="false">H6+H9</f>
        <v>797</v>
      </c>
      <c r="I53" s="191" t="n">
        <f aca="false">I6+I9</f>
        <v>840</v>
      </c>
      <c r="J53" s="191" t="n">
        <f aca="false">J6+J9</f>
        <v>859</v>
      </c>
      <c r="K53" s="191" t="n">
        <v>880</v>
      </c>
      <c r="L53" s="191" t="n">
        <f aca="false">L6+L9</f>
        <v>844</v>
      </c>
    </row>
    <row r="54" customFormat="false" ht="15.75" hidden="false" customHeight="false" outlineLevel="0" collapsed="false">
      <c r="A54" s="215" t="s">
        <v>85</v>
      </c>
      <c r="B54" s="191" t="n">
        <f aca="false">B8</f>
        <v>191</v>
      </c>
      <c r="C54" s="191" t="n">
        <f aca="false">C8</f>
        <v>236</v>
      </c>
      <c r="D54" s="191" t="n">
        <f aca="false">D8</f>
        <v>215</v>
      </c>
      <c r="E54" s="191" t="n">
        <f aca="false">E8</f>
        <v>218</v>
      </c>
      <c r="F54" s="191" t="n">
        <f aca="false">F8</f>
        <v>325</v>
      </c>
      <c r="G54" s="191" t="n">
        <f aca="false">G8</f>
        <v>429</v>
      </c>
      <c r="H54" s="191" t="n">
        <f aca="false">H8</f>
        <v>611</v>
      </c>
      <c r="I54" s="191" t="n">
        <f aca="false">I8</f>
        <v>638</v>
      </c>
      <c r="J54" s="191" t="n">
        <f aca="false">J8</f>
        <v>755</v>
      </c>
      <c r="K54" s="191" t="n">
        <v>840</v>
      </c>
      <c r="L54" s="191" t="n">
        <f aca="false">L8</f>
        <v>804</v>
      </c>
    </row>
    <row r="55" customFormat="false" ht="15.75" hidden="false" customHeight="false" outlineLevel="0" collapsed="false">
      <c r="A55" s="215" t="s">
        <v>86</v>
      </c>
      <c r="B55" s="216" t="n">
        <f aca="false">B7</f>
        <v>-113</v>
      </c>
      <c r="C55" s="216" t="n">
        <f aca="false">C7</f>
        <v>-80</v>
      </c>
      <c r="D55" s="216" t="n">
        <f aca="false">D7</f>
        <v>-273</v>
      </c>
      <c r="E55" s="216" t="n">
        <f aca="false">E7</f>
        <v>647</v>
      </c>
      <c r="F55" s="216" t="n">
        <f aca="false">F7</f>
        <v>34</v>
      </c>
      <c r="G55" s="216" t="n">
        <f aca="false">G7</f>
        <v>-380</v>
      </c>
      <c r="H55" s="216" t="n">
        <f aca="false">H7</f>
        <v>-385</v>
      </c>
      <c r="I55" s="216" t="n">
        <f aca="false">I7</f>
        <v>-650</v>
      </c>
      <c r="J55" s="216" t="n">
        <f aca="false">J7</f>
        <v>-117</v>
      </c>
      <c r="K55" s="216" t="n">
        <v>0</v>
      </c>
      <c r="L55" s="216" t="n">
        <f aca="false">L7</f>
        <v>-497</v>
      </c>
    </row>
    <row r="56" customFormat="false" ht="15.75" hidden="false" customHeight="false" outlineLevel="0" collapsed="false">
      <c r="A56" s="215" t="s">
        <v>87</v>
      </c>
      <c r="B56" s="216" t="n">
        <f aca="false">B10</f>
        <v>424</v>
      </c>
      <c r="C56" s="216" t="n">
        <f aca="false">C10</f>
        <v>98</v>
      </c>
      <c r="D56" s="216" t="n">
        <f aca="false">D10</f>
        <v>-117</v>
      </c>
      <c r="E56" s="216" t="n">
        <f aca="false">E10</f>
        <v>-99</v>
      </c>
      <c r="F56" s="216" t="n">
        <f aca="false">F10</f>
        <v>233</v>
      </c>
      <c r="G56" s="216" t="n">
        <f aca="false">G10</f>
        <v>23</v>
      </c>
      <c r="H56" s="216" t="n">
        <f aca="false">H10</f>
        <v>-138</v>
      </c>
      <c r="I56" s="216" t="n">
        <f aca="false">I10</f>
        <v>-26</v>
      </c>
      <c r="J56" s="216" t="n">
        <f aca="false">J10</f>
        <v>-213</v>
      </c>
      <c r="K56" s="216" t="n">
        <f aca="false">K10</f>
        <v>0</v>
      </c>
      <c r="L56" s="216" t="n">
        <f aca="false">L10</f>
        <v>-138</v>
      </c>
    </row>
    <row r="57" customFormat="false" ht="15.75" hidden="false" customHeight="false" outlineLevel="0" collapsed="false">
      <c r="A57" s="215" t="s">
        <v>88</v>
      </c>
      <c r="B57" s="216" t="n">
        <f aca="false">B13+B15+B17+B19</f>
        <v>256</v>
      </c>
      <c r="C57" s="216" t="n">
        <f aca="false">C13+C15+C17+C19</f>
        <v>-1580</v>
      </c>
      <c r="D57" s="216" t="n">
        <f aca="false">D13+D15+D17+D19</f>
        <v>-1141</v>
      </c>
      <c r="E57" s="216" t="n">
        <f aca="false">E13+E15+E17+E19</f>
        <v>1482</v>
      </c>
      <c r="F57" s="216" t="n">
        <f aca="false">F13+F15+F17+F19</f>
        <v>562</v>
      </c>
      <c r="G57" s="216" t="n">
        <f aca="false">G13+G15+G17+G19</f>
        <v>-1245</v>
      </c>
      <c r="H57" s="216" t="n">
        <f aca="false">H13+H15+H17+H19</f>
        <v>45</v>
      </c>
      <c r="I57" s="216" t="n">
        <f aca="false">I13+I15+I17+I19</f>
        <v>-1660</v>
      </c>
      <c r="J57" s="216" t="n">
        <f aca="false">J13+J15+J17+J19</f>
        <v>-513</v>
      </c>
      <c r="K57" s="216" t="n">
        <v>300</v>
      </c>
      <c r="L57" s="216" t="n">
        <f aca="false">L13+L15+L17+L19</f>
        <v>716</v>
      </c>
    </row>
    <row r="58" customFormat="false" ht="15.75" hidden="false" customHeight="false" outlineLevel="0" collapsed="false">
      <c r="A58" s="214" t="s">
        <v>89</v>
      </c>
      <c r="B58" s="217" t="n">
        <f aca="false">B52+B53+B54+B55+B56+B57</f>
        <v>4680</v>
      </c>
      <c r="C58" s="217" t="n">
        <f aca="false">C52+C53+C54+C55+C56+C57</f>
        <v>3096</v>
      </c>
      <c r="D58" s="217" t="n">
        <f aca="false">D52+D53+D54+D55+D56+D57</f>
        <v>3640</v>
      </c>
      <c r="E58" s="217" t="n">
        <f aca="false">E52+E53+E54+E55+E56+E57</f>
        <v>4955</v>
      </c>
      <c r="F58" s="217" t="n">
        <f aca="false">F52+F53+F54+F55+F56+F57</f>
        <v>5903</v>
      </c>
      <c r="G58" s="217" t="n">
        <f aca="false">G52+G53+G54+G55+G56+G57</f>
        <v>2485</v>
      </c>
      <c r="H58" s="217" t="n">
        <f aca="false">H52+H53+H54+H55+H56+H57</f>
        <v>6657</v>
      </c>
      <c r="I58" s="217" t="n">
        <f aca="false">I52+I53+I54+I55+I56+I57</f>
        <v>5188</v>
      </c>
      <c r="J58" s="217" t="n">
        <f aca="false">J52+J53+J54+J55+J56+J57</f>
        <v>5841</v>
      </c>
      <c r="K58" s="217" t="n">
        <f aca="false">K52+K53+K54+K55+K56+K57</f>
        <v>7495.9</v>
      </c>
      <c r="L58" s="217" t="n">
        <f aca="false">L52+L53+L54+L55+L56+L57</f>
        <v>7429</v>
      </c>
    </row>
    <row r="59" customFormat="false" ht="15.75" hidden="false" customHeight="false" outlineLevel="0" collapsed="false">
      <c r="A59" s="215" t="s">
        <v>90</v>
      </c>
      <c r="B59" s="216" t="n">
        <f aca="false">B28+B29</f>
        <v>-960</v>
      </c>
      <c r="C59" s="216" t="n">
        <f aca="false">C28+C29</f>
        <v>-1133</v>
      </c>
      <c r="D59" s="216" t="n">
        <f aca="false">D28+D29</f>
        <v>-1092</v>
      </c>
      <c r="E59" s="216" t="n">
        <f aca="false">E28+E29</f>
        <v>-1028</v>
      </c>
      <c r="F59" s="216" t="n">
        <f aca="false">F28+F29</f>
        <v>-1119</v>
      </c>
      <c r="G59" s="216" t="n">
        <f aca="false">G28+G29</f>
        <v>-1086</v>
      </c>
      <c r="H59" s="216" t="n">
        <f aca="false">H28+H29</f>
        <v>-695</v>
      </c>
      <c r="I59" s="216" t="n">
        <f aca="false">I28+I29</f>
        <v>-758</v>
      </c>
      <c r="J59" s="216" t="n">
        <f aca="false">J28+J29</f>
        <v>-969</v>
      </c>
      <c r="K59" s="216" t="n">
        <v>-1080</v>
      </c>
      <c r="L59" s="216" t="n">
        <f aca="false">L28+L29</f>
        <v>-812</v>
      </c>
    </row>
    <row r="60" customFormat="false" ht="15.75" hidden="false" customHeight="false" outlineLevel="0" collapsed="false">
      <c r="A60" s="214" t="s">
        <v>91</v>
      </c>
      <c r="B60" s="217" t="n">
        <f aca="false">B58+B59</f>
        <v>3720</v>
      </c>
      <c r="C60" s="217" t="n">
        <f aca="false">C58+C59</f>
        <v>1963</v>
      </c>
      <c r="D60" s="217" t="n">
        <f aca="false">D58+D59</f>
        <v>2548</v>
      </c>
      <c r="E60" s="217" t="n">
        <f aca="false">E58+E59</f>
        <v>3927</v>
      </c>
      <c r="F60" s="217" t="n">
        <f aca="false">F58+F59</f>
        <v>4784</v>
      </c>
      <c r="G60" s="217" t="n">
        <f aca="false">G58+G59</f>
        <v>1399</v>
      </c>
      <c r="H60" s="217" t="n">
        <f aca="false">H58+H59</f>
        <v>5962</v>
      </c>
      <c r="I60" s="217" t="n">
        <f aca="false">I58+I59</f>
        <v>4430</v>
      </c>
      <c r="J60" s="217" t="n">
        <f aca="false">J58+J59</f>
        <v>4872</v>
      </c>
      <c r="K60" s="217" t="n">
        <f aca="false">K58+K59</f>
        <v>6415.9</v>
      </c>
      <c r="L60" s="217" t="n">
        <f aca="false">L58+L59</f>
        <v>6617</v>
      </c>
    </row>
    <row r="61" customFormat="false" ht="15.75" hidden="false" customHeight="false" outlineLevel="0" collapsed="false">
      <c r="A61" s="218" t="s">
        <v>92</v>
      </c>
      <c r="B61" s="219" t="n">
        <f aca="false">B60/'Statement of Operations'!B21</f>
        <v>2.10265811182402</v>
      </c>
      <c r="C61" s="219" t="n">
        <f aca="false">C60/'Statement of Operations'!C21</f>
        <v>1.12768085106383</v>
      </c>
      <c r="D61" s="219" t="n">
        <f aca="false">D60/'Statement of Operations'!D21</f>
        <v>1.5083679245283</v>
      </c>
      <c r="E61" s="219" t="n">
        <f aca="false">E60/'Statement of Operations'!E21</f>
        <v>2.36694593454282</v>
      </c>
      <c r="F61" s="219" t="n">
        <f aca="false">F60/'Statement of Operations'!F21</f>
        <v>2.95600593178448</v>
      </c>
      <c r="G61" s="219" t="n">
        <f aca="false">G60/'Statement of Operations'!G21</f>
        <v>0.878989695903493</v>
      </c>
      <c r="H61" s="219" t="n">
        <f aca="false">H60/'Statement of Operations'!H21</f>
        <v>3.70448614390456</v>
      </c>
      <c r="I61" s="219" t="n">
        <f aca="false">I60/'Statement of Operations'!I21</f>
        <v>2.75018624286069</v>
      </c>
      <c r="J61" s="219" t="n">
        <f aca="false">J60/'Statement of Operations'!J21</f>
        <v>3.10358007389476</v>
      </c>
      <c r="K61" s="219" t="n">
        <f aca="false">K60/'Valuations &amp; Forecasting'!K51</f>
        <v>4.17844640909165</v>
      </c>
      <c r="L61" s="219" t="n">
        <f aca="false">L60/'Statement of Operations'!K21</f>
        <v>4.32568477479244</v>
      </c>
    </row>
    <row r="62" customFormat="false" ht="15.75" hidden="false" customHeight="false" outlineLevel="0" collapsed="false">
      <c r="A62" s="218" t="s">
        <v>93</v>
      </c>
      <c r="B62" s="220" t="n">
        <f aca="false">B27</f>
        <v>-150</v>
      </c>
      <c r="C62" s="220" t="n">
        <f aca="false">C27</f>
        <v>150</v>
      </c>
      <c r="D62" s="220" t="n">
        <f aca="false">D27</f>
        <v>0</v>
      </c>
      <c r="E62" s="220" t="n">
        <f aca="false">E27</f>
        <v>0</v>
      </c>
      <c r="F62" s="220" t="n">
        <f aca="false">F27</f>
        <v>0</v>
      </c>
      <c r="G62" s="220" t="n">
        <f aca="false">G27</f>
        <v>0</v>
      </c>
      <c r="H62" s="220" t="n">
        <f aca="false">H27</f>
        <v>0</v>
      </c>
      <c r="I62" s="220" t="n">
        <f aca="false">I27</f>
        <v>0</v>
      </c>
      <c r="J62" s="220" t="n">
        <f aca="false">J27</f>
        <v>0</v>
      </c>
      <c r="K62" s="220" t="n">
        <f aca="false">K27</f>
        <v>0</v>
      </c>
      <c r="L62" s="220" t="n">
        <f aca="false">L27</f>
        <v>0</v>
      </c>
    </row>
    <row r="63" customFormat="false" ht="15.75" hidden="false" customHeight="false" outlineLevel="0" collapsed="false">
      <c r="A63" s="215" t="s">
        <v>94</v>
      </c>
      <c r="B63" s="216" t="n">
        <f aca="false">B39</f>
        <v>-2534</v>
      </c>
      <c r="C63" s="216" t="n">
        <f aca="false">C39</f>
        <v>-3238</v>
      </c>
      <c r="D63" s="216" t="n">
        <f aca="false">D39</f>
        <v>-3223</v>
      </c>
      <c r="E63" s="216" t="n">
        <f aca="false">E39</f>
        <v>-1243</v>
      </c>
      <c r="F63" s="216" t="n">
        <f aca="false">F39</f>
        <v>-1332</v>
      </c>
      <c r="G63" s="216" t="n">
        <f aca="false">G39</f>
        <v>-1452</v>
      </c>
      <c r="H63" s="216" t="n">
        <f aca="false">H39</f>
        <v>-1638</v>
      </c>
      <c r="I63" s="216" t="n">
        <f aca="false">I39</f>
        <v>-1837</v>
      </c>
      <c r="J63" s="216" t="n">
        <f aca="false">J39</f>
        <v>-2012</v>
      </c>
      <c r="K63" s="216" t="n">
        <v>-2180</v>
      </c>
      <c r="L63" s="216" t="n">
        <f aca="false">L39</f>
        <v>-2169</v>
      </c>
    </row>
    <row r="64" customFormat="false" ht="15.75" hidden="false" customHeight="false" outlineLevel="0" collapsed="false">
      <c r="A64" s="215" t="s">
        <v>95</v>
      </c>
      <c r="B64" s="216" t="n">
        <f aca="false">B33+B34+B35+B36</f>
        <v>-89</v>
      </c>
      <c r="C64" s="216" t="n">
        <f aca="false">C33+C34+C35+C36</f>
        <v>801</v>
      </c>
      <c r="D64" s="216" t="n">
        <f aca="false">D33+D34+D35+D36</f>
        <v>1748</v>
      </c>
      <c r="E64" s="216" t="n">
        <f aca="false">E33+E34+E35+E36</f>
        <v>13</v>
      </c>
      <c r="F64" s="216" t="n">
        <f aca="false">F33+F34+F35+F36</f>
        <v>-325</v>
      </c>
      <c r="G64" s="216" t="n">
        <f aca="false">G33+G34+G35+G36</f>
        <v>6183</v>
      </c>
      <c r="H64" s="216" t="n">
        <f aca="false">H33+H34+H35+H36</f>
        <v>-249</v>
      </c>
      <c r="I64" s="216" t="n">
        <f aca="false">I33+I34+I35+I36</f>
        <v>15</v>
      </c>
      <c r="J64" s="216" t="n">
        <f aca="false">J33+J34+J35+J36</f>
        <v>-504</v>
      </c>
      <c r="K64" s="216" t="n">
        <f aca="false">K33+K34+K35+K36</f>
        <v>0</v>
      </c>
      <c r="L64" s="216" t="n">
        <f aca="false">L33+L34+L35+L36</f>
        <v>0</v>
      </c>
    </row>
    <row r="65" customFormat="false" ht="15.75" hidden="false" customHeight="false" outlineLevel="0" collapsed="false">
      <c r="A65" s="215" t="s">
        <v>96</v>
      </c>
      <c r="B65" s="216" t="n">
        <f aca="false">B24+B25+B26</f>
        <v>935</v>
      </c>
      <c r="C65" s="216" t="n">
        <f aca="false">C24+C25+C26</f>
        <v>-57</v>
      </c>
      <c r="D65" s="216" t="n">
        <f aca="false">D24+D25+D26</f>
        <v>118</v>
      </c>
      <c r="E65" s="216" t="n">
        <f aca="false">E24+E25+E26</f>
        <v>1326</v>
      </c>
      <c r="F65" s="216" t="n">
        <f aca="false">F24+F25+F26</f>
        <v>850</v>
      </c>
      <c r="G65" s="216" t="n">
        <f aca="false">G24+G25+G26</f>
        <v>27</v>
      </c>
      <c r="H65" s="216" t="n">
        <f aca="false">H24+H25+H26</f>
        <v>-3276</v>
      </c>
      <c r="I65" s="216" t="n">
        <f aca="false">I24+I25+I26</f>
        <v>-747</v>
      </c>
      <c r="J65" s="216" t="n">
        <f aca="false">J24+J25+J26</f>
        <v>1481</v>
      </c>
      <c r="K65" s="216" t="n">
        <v>700</v>
      </c>
      <c r="L65" s="216" t="n">
        <f aca="false">L24+L25+L26</f>
        <v>1721</v>
      </c>
    </row>
    <row r="66" customFormat="false" ht="15.75" hidden="false" customHeight="false" outlineLevel="0" collapsed="false">
      <c r="A66" s="215" t="s">
        <v>97</v>
      </c>
      <c r="B66" s="216" t="n">
        <f aca="false">B37+B38</f>
        <v>732</v>
      </c>
      <c r="C66" s="216" t="n">
        <f aca="false">C37+C38</f>
        <v>788</v>
      </c>
      <c r="D66" s="216" t="n">
        <f aca="false">D37+D38</f>
        <v>666</v>
      </c>
      <c r="E66" s="216" t="n">
        <f aca="false">E37+E38</f>
        <v>-3521</v>
      </c>
      <c r="F66" s="216" t="n">
        <f aca="false">F37+F38</f>
        <v>-3586</v>
      </c>
      <c r="G66" s="216" t="n">
        <f aca="false">G37+G38</f>
        <v>-2182</v>
      </c>
      <c r="H66" s="216" t="n">
        <f aca="false">H37+H38</f>
        <v>564</v>
      </c>
      <c r="I66" s="216" t="n">
        <f aca="false">I37+I38</f>
        <v>-2863</v>
      </c>
      <c r="J66" s="216" t="n">
        <f aca="false">J37+J38</f>
        <v>-4829</v>
      </c>
      <c r="K66" s="216" t="n">
        <f aca="false">K37+K38</f>
        <v>0</v>
      </c>
      <c r="L66" s="216" t="n">
        <f aca="false">L37+L38</f>
        <v>-3583</v>
      </c>
    </row>
    <row r="67" customFormat="false" ht="15.75" hidden="false" customHeight="false" outlineLevel="0" collapsed="false">
      <c r="A67" s="215" t="s">
        <v>87</v>
      </c>
      <c r="B67" s="216" t="n">
        <f aca="false">B42+B40+B30</f>
        <v>-982</v>
      </c>
      <c r="C67" s="216" t="n">
        <f aca="false">C42+C40+C30</f>
        <v>-1121</v>
      </c>
      <c r="D67" s="216" t="n">
        <f aca="false">D42+D40+D30</f>
        <v>-1187</v>
      </c>
      <c r="E67" s="216" t="n">
        <f aca="false">E42+E40+E30</f>
        <v>-61</v>
      </c>
      <c r="F67" s="216" t="n">
        <f aca="false">F42+F40+F30</f>
        <v>-174</v>
      </c>
      <c r="G67" s="216" t="n">
        <f aca="false">G42+G40+G30</f>
        <v>-93</v>
      </c>
      <c r="H67" s="216" t="n">
        <f aca="false">H42+H40+H30</f>
        <v>178</v>
      </c>
      <c r="I67" s="216" t="n">
        <f aca="false">I42+I40+I30</f>
        <v>-313</v>
      </c>
      <c r="J67" s="216" t="n">
        <f aca="false">J42+J40+J30</f>
        <v>-141</v>
      </c>
      <c r="K67" s="216" t="n">
        <f aca="false">K42+K40+K30</f>
        <v>0</v>
      </c>
      <c r="L67" s="216" t="n">
        <f aca="false">L42+L40+L30</f>
        <v>-167</v>
      </c>
    </row>
    <row r="68" customFormat="false" ht="15.75" hidden="false" customHeight="false" outlineLevel="0" collapsed="false">
      <c r="A68" s="214" t="s">
        <v>98</v>
      </c>
      <c r="B68" s="220" t="n">
        <f aca="false">B60+B62+B63+B64+B65+B66+B67</f>
        <v>1632</v>
      </c>
      <c r="C68" s="220" t="n">
        <f aca="false">C60+C62+C63+C64+C65+C66+C67</f>
        <v>-714</v>
      </c>
      <c r="D68" s="220" t="n">
        <f aca="false">D60+D62+D63+D64+D65+D66+D67</f>
        <v>670</v>
      </c>
      <c r="E68" s="220" t="n">
        <f aca="false">E60+E62+E63+E64+E65+E66+E67</f>
        <v>441</v>
      </c>
      <c r="F68" s="220" t="n">
        <f aca="false">F60+F62+F63+F64+F65+F66+F67</f>
        <v>217</v>
      </c>
      <c r="G68" s="220" t="n">
        <f aca="false">G60+G62+G63+G64+G65+G66+G67</f>
        <v>3882</v>
      </c>
      <c r="H68" s="220" t="n">
        <f aca="false">H60+H62+H63+H64+H65+H66+H67</f>
        <v>1541</v>
      </c>
      <c r="I68" s="220" t="n">
        <f aca="false">I60+I62+I63+I64+I65+I66+I67</f>
        <v>-1315</v>
      </c>
      <c r="J68" s="220" t="n">
        <f aca="false">J60+J62+J63+J64+J65+J66+J67</f>
        <v>-1133</v>
      </c>
      <c r="K68" s="220" t="n">
        <f aca="false">K60+K62+K63+K64+K65+K66+K67</f>
        <v>4935.9</v>
      </c>
      <c r="L68" s="220" t="n">
        <f aca="false">L60+L62+L63+L64+L65+L66+L67</f>
        <v>2419</v>
      </c>
    </row>
  </sheetData>
  <mergeCells count="2">
    <mergeCell ref="A1:A2"/>
    <mergeCell ref="B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2024-06-03T14:44:04Z</dcterms:created>
  <dc:creator>Kong, Nam</dc:creator>
  <dc:description/>
  <dc:language>en-US</dc:language>
  <cp:lastModifiedBy/>
  <dcterms:modified xsi:type="dcterms:W3CDTF">2026-10-14T14:02:34Z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