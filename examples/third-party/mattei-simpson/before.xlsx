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5"/>
  </bookViews>
  <sheets>
    <sheet name="Cover" sheetId="1" state="visible" r:id="rId3"/>
    <sheet name="Data" sheetId="2" state="visible" r:id="rId4"/>
    <sheet name="Summary" sheetId="3" state="visible" r:id="rId5"/>
    <sheet name="TP" sheetId="4" state="visible" r:id="rId6"/>
    <sheet name="MLTP" sheetId="5" state="visible" r:id="rId7"/>
    <sheet name="DCF" sheetId="6" state="visible" r:id="rId8"/>
    <sheet name="WACC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<sst xmlns="http://schemas.openxmlformats.org/spreadsheetml/2006/main" count="1210" uniqueCount="952">
  <si>
    <t xml:space="preserve">Simpson Manufacturing</t>
  </si>
  <si>
    <t xml:space="preserve">Business Valuation</t>
  </si>
  <si>
    <t xml:space="preserve">Name:</t>
  </si>
  <si>
    <t xml:space="preserve">Symbol:</t>
  </si>
  <si>
    <t xml:space="preserve">SSD</t>
  </si>
  <si>
    <t xml:space="preserve">Sector:</t>
  </si>
  <si>
    <t xml:space="preserve">Industrials</t>
  </si>
  <si>
    <t xml:space="preserve">Valuation date:</t>
  </si>
  <si>
    <t xml:space="preserve">Trading price:</t>
  </si>
  <si>
    <t xml:space="preserve">Data</t>
  </si>
  <si>
    <t xml:space="preserve">x</t>
  </si>
  <si>
    <t xml:space="preserve">Company Details</t>
  </si>
  <si>
    <t xml:space="preserve">Item</t>
  </si>
  <si>
    <t xml:space="preserve">Value</t>
  </si>
  <si>
    <t xml:space="preserve">Source</t>
  </si>
  <si>
    <t xml:space="preserve">LTM Sales (M USD)</t>
  </si>
  <si>
    <t xml:space="preserve">Yahoo Finance</t>
  </si>
  <si>
    <t xml:space="preserve"> </t>
  </si>
  <si>
    <t xml:space="preserve">% growth</t>
  </si>
  <si>
    <t xml:space="preserve">LTM EBITDA (M USD)</t>
  </si>
  <si>
    <t xml:space="preserve">% margin</t>
  </si>
  <si>
    <t xml:space="preserve">LTM Earnings (M USD)</t>
  </si>
  <si>
    <t xml:space="preserve">Interest Rate</t>
  </si>
  <si>
    <t xml:space="preserve">2025 Annual Report: Item 8.</t>
  </si>
  <si>
    <t xml:space="preserve">Tax Rate</t>
  </si>
  <si>
    <t xml:space="preserve">2025 Annual Report: Item 7. </t>
  </si>
  <si>
    <t xml:space="preserve">Total Debt (M USD)</t>
  </si>
  <si>
    <t xml:space="preserve">Total Cash (M USD)</t>
  </si>
  <si>
    <t xml:space="preserve">Share Price (USD)</t>
  </si>
  <si>
    <t xml:space="preserve">Share Count (M)</t>
  </si>
  <si>
    <t xml:space="preserve">Market Cap (M USD)</t>
  </si>
  <si>
    <t xml:space="preserve">Share Beta</t>
  </si>
  <si>
    <t xml:space="preserve">Risk Free Rate</t>
  </si>
  <si>
    <t xml:space="preserve">Kroll Recommended U.S. Equity Risk Premium and Corresponding Risk-Free Rates to be Used in Computing Cost of Capital</t>
  </si>
  <si>
    <t xml:space="preserve">Equity Risk Premium</t>
  </si>
  <si>
    <t xml:space="preserve">End</t>
  </si>
  <si>
    <t xml:space="preserve">Valuation Summary</t>
  </si>
  <si>
    <t xml:space="preserve">Implied Valuation</t>
  </si>
  <si>
    <t xml:space="preserve">Case</t>
  </si>
  <si>
    <t xml:space="preserve">Share price</t>
  </si>
  <si>
    <t xml:space="preserve">Delta</t>
  </si>
  <si>
    <t xml:space="preserve">Bull</t>
  </si>
  <si>
    <t xml:space="preserve">Base</t>
  </si>
  <si>
    <t xml:space="preserve">Bear</t>
  </si>
  <si>
    <t xml:space="preserve">Valuation summary</t>
  </si>
  <si>
    <t xml:space="preserve">Expected share price</t>
  </si>
  <si>
    <t xml:space="preserve">Method</t>
  </si>
  <si>
    <t xml:space="preserve">Bear case</t>
  </si>
  <si>
    <t xml:space="preserve">Base case</t>
  </si>
  <si>
    <t xml:space="preserve">Bull case</t>
  </si>
  <si>
    <t xml:space="preserve">Weight</t>
  </si>
  <si>
    <t xml:space="preserve">Trading price</t>
  </si>
  <si>
    <t xml:space="preserve">EV/Revenue</t>
  </si>
  <si>
    <t xml:space="preserve">EV/Ebitda</t>
  </si>
  <si>
    <t xml:space="preserve">P/Sales</t>
  </si>
  <si>
    <t xml:space="preserve">P/Earnings</t>
  </si>
  <si>
    <t xml:space="preserve">DCF</t>
  </si>
  <si>
    <t xml:space="preserve">Mean</t>
  </si>
  <si>
    <t xml:space="preserve">Meadian</t>
  </si>
  <si>
    <t xml:space="preserve">Weighted mean</t>
  </si>
  <si>
    <t xml:space="preserve">Football Field</t>
  </si>
  <si>
    <t xml:space="preserve">Start</t>
  </si>
  <si>
    <t xml:space="preserve">Length</t>
  </si>
  <si>
    <t xml:space="preserve">Chart plot params</t>
  </si>
  <si>
    <t xml:space="preserve">x min</t>
  </si>
  <si>
    <t xml:space="preserve">x max</t>
  </si>
  <si>
    <t xml:space="preserve">Historical Trading Price</t>
  </si>
  <si>
    <t xml:space="preserve">Implied Share Price</t>
  </si>
  <si>
    <t xml:space="preserve"> Bear case</t>
  </si>
  <si>
    <t xml:space="preserve">Price Statistics</t>
  </si>
  <si>
    <t xml:space="preserve">Statistic</t>
  </si>
  <si>
    <t xml:space="preserve">Switch</t>
  </si>
  <si>
    <t xml:space="preserve">Historical weeks</t>
  </si>
  <si>
    <t xml:space="preserve">Maximum</t>
  </si>
  <si>
    <t xml:space="preserve">Start date</t>
  </si>
  <si>
    <t xml:space="preserve">Third quartile</t>
  </si>
  <si>
    <t xml:space="preserve">Median</t>
  </si>
  <si>
    <t xml:space="preserve">First quartile</t>
  </si>
  <si>
    <t xml:space="preserve">Minimum</t>
  </si>
  <si>
    <t xml:space="preserve">Standard deviation</t>
  </si>
  <si>
    <t xml:space="preserve">Price Log</t>
  </si>
  <si>
    <t xml:space="preserve">Date</t>
  </si>
  <si>
    <t xml:space="preserve">Close Price</t>
  </si>
  <si>
    <t xml:space="preserve">31/07/2026</t>
  </si>
  <si>
    <t xml:space="preserve">30/07/2026</t>
  </si>
  <si>
    <t xml:space="preserve">29/07/2026</t>
  </si>
  <si>
    <t xml:space="preserve">28/07/2026</t>
  </si>
  <si>
    <t xml:space="preserve">27/07/2026</t>
  </si>
  <si>
    <t xml:space="preserve">24/07/2026</t>
  </si>
  <si>
    <t xml:space="preserve">23/07/2026</t>
  </si>
  <si>
    <t xml:space="preserve">22/07/2026</t>
  </si>
  <si>
    <t xml:space="preserve">21/07/2026</t>
  </si>
  <si>
    <t xml:space="preserve">20/07/2026</t>
  </si>
  <si>
    <t xml:space="preserve">17/07/2026</t>
  </si>
  <si>
    <t xml:space="preserve">16/07/2026</t>
  </si>
  <si>
    <t xml:space="preserve">15/07/2026</t>
  </si>
  <si>
    <t xml:space="preserve">14/07/2026</t>
  </si>
  <si>
    <t xml:space="preserve">13/07/2026</t>
  </si>
  <si>
    <t xml:space="preserve">10/07/2026</t>
  </si>
  <si>
    <t xml:space="preserve">09/07/2026</t>
  </si>
  <si>
    <t xml:space="preserve">08/07/2026</t>
  </si>
  <si>
    <t xml:space="preserve">07/07/2026</t>
  </si>
  <si>
    <t xml:space="preserve">06/07/2026</t>
  </si>
  <si>
    <t xml:space="preserve">02/07/2026</t>
  </si>
  <si>
    <t xml:space="preserve">01/07/2026</t>
  </si>
  <si>
    <t xml:space="preserve">30/06/2026</t>
  </si>
  <si>
    <t xml:space="preserve">29/06/2026</t>
  </si>
  <si>
    <t xml:space="preserve">26/06/2026</t>
  </si>
  <si>
    <t xml:space="preserve">25/06/2026</t>
  </si>
  <si>
    <t xml:space="preserve">24/06/2026</t>
  </si>
  <si>
    <t xml:space="preserve">23/06/2026</t>
  </si>
  <si>
    <t xml:space="preserve">22/06/2026</t>
  </si>
  <si>
    <t xml:space="preserve">18/06/2026</t>
  </si>
  <si>
    <t xml:space="preserve">17/06/2026</t>
  </si>
  <si>
    <t xml:space="preserve">16/06/2026</t>
  </si>
  <si>
    <t xml:space="preserve">15/06/2026</t>
  </si>
  <si>
    <t xml:space="preserve">12/06/2026</t>
  </si>
  <si>
    <t xml:space="preserve">11/06/2026</t>
  </si>
  <si>
    <t xml:space="preserve">10/06/2026</t>
  </si>
  <si>
    <t xml:space="preserve">09/06/2026</t>
  </si>
  <si>
    <t xml:space="preserve">08/06/2026</t>
  </si>
  <si>
    <t xml:space="preserve">05/06/2026</t>
  </si>
  <si>
    <t xml:space="preserve">04/06/2026</t>
  </si>
  <si>
    <t xml:space="preserve">03/06/2026</t>
  </si>
  <si>
    <t xml:space="preserve">02/06/2026</t>
  </si>
  <si>
    <t xml:space="preserve">01/06/2026</t>
  </si>
  <si>
    <t xml:space="preserve">29/05/2026</t>
  </si>
  <si>
    <t xml:space="preserve">28/05/2026</t>
  </si>
  <si>
    <t xml:space="preserve">27/05/2026</t>
  </si>
  <si>
    <t xml:space="preserve">26/05/2026</t>
  </si>
  <si>
    <t xml:space="preserve">22/05/2026</t>
  </si>
  <si>
    <t xml:space="preserve">21/05/2026</t>
  </si>
  <si>
    <t xml:space="preserve">20/05/2026</t>
  </si>
  <si>
    <t xml:space="preserve">19/05/2026</t>
  </si>
  <si>
    <t xml:space="preserve">18/05/2026</t>
  </si>
  <si>
    <t xml:space="preserve">15/05/2026</t>
  </si>
  <si>
    <t xml:space="preserve">14/05/2026</t>
  </si>
  <si>
    <t xml:space="preserve">13/05/2026</t>
  </si>
  <si>
    <t xml:space="preserve">12/05/2026</t>
  </si>
  <si>
    <t xml:space="preserve">11/05/2026</t>
  </si>
  <si>
    <t xml:space="preserve">08/05/2026</t>
  </si>
  <si>
    <t xml:space="preserve">07/05/2026</t>
  </si>
  <si>
    <t xml:space="preserve">06/05/2026</t>
  </si>
  <si>
    <t xml:space="preserve">05/05/2026</t>
  </si>
  <si>
    <t xml:space="preserve">04/05/2026</t>
  </si>
  <si>
    <t xml:space="preserve">01/05/2026</t>
  </si>
  <si>
    <t xml:space="preserve">30/04/2026</t>
  </si>
  <si>
    <t xml:space="preserve">29/04/2026</t>
  </si>
  <si>
    <t xml:space="preserve">28/04/2026</t>
  </si>
  <si>
    <t xml:space="preserve">27/04/2026</t>
  </si>
  <si>
    <t xml:space="preserve">24/04/2026</t>
  </si>
  <si>
    <t xml:space="preserve">23/04/2026</t>
  </si>
  <si>
    <t xml:space="preserve">22/04/2026</t>
  </si>
  <si>
    <t xml:space="preserve">21/04/2026</t>
  </si>
  <si>
    <t xml:space="preserve">20/04/2026</t>
  </si>
  <si>
    <t xml:space="preserve">17/04/2026</t>
  </si>
  <si>
    <t xml:space="preserve">16/04/2026</t>
  </si>
  <si>
    <t xml:space="preserve">15/04/2026</t>
  </si>
  <si>
    <t xml:space="preserve">14/04/2026</t>
  </si>
  <si>
    <t xml:space="preserve">13/04/2026</t>
  </si>
  <si>
    <t xml:space="preserve">10/04/2026</t>
  </si>
  <si>
    <t xml:space="preserve">09/04/2026</t>
  </si>
  <si>
    <t xml:space="preserve">08/04/2026</t>
  </si>
  <si>
    <t xml:space="preserve">07/04/2026</t>
  </si>
  <si>
    <t xml:space="preserve">06/04/2026</t>
  </si>
  <si>
    <t xml:space="preserve">02/04/2026</t>
  </si>
  <si>
    <t xml:space="preserve">01/04/2026</t>
  </si>
  <si>
    <t xml:space="preserve">31/03/2026</t>
  </si>
  <si>
    <t xml:space="preserve">30/03/2026</t>
  </si>
  <si>
    <t xml:space="preserve">27/03/2026</t>
  </si>
  <si>
    <t xml:space="preserve">26/03/2026</t>
  </si>
  <si>
    <t xml:space="preserve">25/03/2026</t>
  </si>
  <si>
    <t xml:space="preserve">24/03/2026</t>
  </si>
  <si>
    <t xml:space="preserve">23/03/2026</t>
  </si>
  <si>
    <t xml:space="preserve">20/03/2026</t>
  </si>
  <si>
    <t xml:space="preserve">19/03/2026</t>
  </si>
  <si>
    <t xml:space="preserve">18/03/2026</t>
  </si>
  <si>
    <t xml:space="preserve">17/03/2026</t>
  </si>
  <si>
    <t xml:space="preserve">16/03/2026</t>
  </si>
  <si>
    <t xml:space="preserve">13/03/2026</t>
  </si>
  <si>
    <t xml:space="preserve">12/03/2026</t>
  </si>
  <si>
    <t xml:space="preserve">11/03/2026</t>
  </si>
  <si>
    <t xml:space="preserve">10/03/2026</t>
  </si>
  <si>
    <t xml:space="preserve">09/03/2026</t>
  </si>
  <si>
    <t xml:space="preserve">06/03/2026</t>
  </si>
  <si>
    <t xml:space="preserve">05/03/2026</t>
  </si>
  <si>
    <t xml:space="preserve">04/03/2026</t>
  </si>
  <si>
    <t xml:space="preserve">03/03/2026</t>
  </si>
  <si>
    <t xml:space="preserve">02/03/2026</t>
  </si>
  <si>
    <t xml:space="preserve">27/02/2026</t>
  </si>
  <si>
    <t xml:space="preserve">26/02/2026</t>
  </si>
  <si>
    <t xml:space="preserve">25/02/2026</t>
  </si>
  <si>
    <t xml:space="preserve">24/02/2026</t>
  </si>
  <si>
    <t xml:space="preserve">23/02/2026</t>
  </si>
  <si>
    <t xml:space="preserve">20/02/2026</t>
  </si>
  <si>
    <t xml:space="preserve">19/02/2026</t>
  </si>
  <si>
    <t xml:space="preserve">18/02/2026</t>
  </si>
  <si>
    <t xml:space="preserve">17/02/2026</t>
  </si>
  <si>
    <t xml:space="preserve">13/02/2026</t>
  </si>
  <si>
    <t xml:space="preserve">12/02/2026</t>
  </si>
  <si>
    <t xml:space="preserve">11/02/2026</t>
  </si>
  <si>
    <t xml:space="preserve">10/02/2026</t>
  </si>
  <si>
    <t xml:space="preserve">09/02/2026</t>
  </si>
  <si>
    <t xml:space="preserve">06/02/2026</t>
  </si>
  <si>
    <t xml:space="preserve">05/02/2026</t>
  </si>
  <si>
    <t xml:space="preserve">04/02/2026</t>
  </si>
  <si>
    <t xml:space="preserve">03/02/2026</t>
  </si>
  <si>
    <t xml:space="preserve">02/02/2026</t>
  </si>
  <si>
    <t xml:space="preserve">30/01/2026</t>
  </si>
  <si>
    <t xml:space="preserve">29/01/2026</t>
  </si>
  <si>
    <t xml:space="preserve">28/01/2026</t>
  </si>
  <si>
    <t xml:space="preserve">27/01/2026</t>
  </si>
  <si>
    <t xml:space="preserve">26/01/2026</t>
  </si>
  <si>
    <t xml:space="preserve">23/01/2026</t>
  </si>
  <si>
    <t xml:space="preserve">22/01/2026</t>
  </si>
  <si>
    <t xml:space="preserve">21/01/2026</t>
  </si>
  <si>
    <t xml:space="preserve">20/01/2026</t>
  </si>
  <si>
    <t xml:space="preserve">16/01/2026</t>
  </si>
  <si>
    <t xml:space="preserve">15/01/2026</t>
  </si>
  <si>
    <t xml:space="preserve">14/01/2026</t>
  </si>
  <si>
    <t xml:space="preserve">13/01/2026</t>
  </si>
  <si>
    <t xml:space="preserve">12/01/2026</t>
  </si>
  <si>
    <t xml:space="preserve">09/01/2026</t>
  </si>
  <si>
    <t xml:space="preserve">08/01/2026</t>
  </si>
  <si>
    <t xml:space="preserve">07/01/2026</t>
  </si>
  <si>
    <t xml:space="preserve">06/01/2026</t>
  </si>
  <si>
    <t xml:space="preserve">05/01/2026</t>
  </si>
  <si>
    <t xml:space="preserve">02/01/2026</t>
  </si>
  <si>
    <t xml:space="preserve">31/12/2025</t>
  </si>
  <si>
    <t xml:space="preserve">30/12/2025</t>
  </si>
  <si>
    <t xml:space="preserve">29/12/2025</t>
  </si>
  <si>
    <t xml:space="preserve">26/12/2025</t>
  </si>
  <si>
    <t xml:space="preserve">24/12/2025</t>
  </si>
  <si>
    <t xml:space="preserve">23/12/2025</t>
  </si>
  <si>
    <t xml:space="preserve">22/12/2025</t>
  </si>
  <si>
    <t xml:space="preserve">19/12/2025</t>
  </si>
  <si>
    <t xml:space="preserve">18/12/2025</t>
  </si>
  <si>
    <t xml:space="preserve">17/12/2025</t>
  </si>
  <si>
    <t xml:space="preserve">16/12/2025</t>
  </si>
  <si>
    <t xml:space="preserve">15/12/2025</t>
  </si>
  <si>
    <t xml:space="preserve">12/12/2025</t>
  </si>
  <si>
    <t xml:space="preserve">11/12/2025</t>
  </si>
  <si>
    <t xml:space="preserve">10/12/2025</t>
  </si>
  <si>
    <t xml:space="preserve">09/12/2025</t>
  </si>
  <si>
    <t xml:space="preserve">08/12/2025</t>
  </si>
  <si>
    <t xml:space="preserve">05/12/2025</t>
  </si>
  <si>
    <t xml:space="preserve">04/12/2025</t>
  </si>
  <si>
    <t xml:space="preserve">03/12/2025</t>
  </si>
  <si>
    <t xml:space="preserve">02/12/2025</t>
  </si>
  <si>
    <t xml:space="preserve">01/12/2025</t>
  </si>
  <si>
    <t xml:space="preserve">28/11/2025</t>
  </si>
  <si>
    <t xml:space="preserve">26/11/2025</t>
  </si>
  <si>
    <t xml:space="preserve">25/11/2025</t>
  </si>
  <si>
    <t xml:space="preserve">24/11/2025</t>
  </si>
  <si>
    <t xml:space="preserve">21/11/2025</t>
  </si>
  <si>
    <t xml:space="preserve">20/11/2025</t>
  </si>
  <si>
    <t xml:space="preserve">19/11/2025</t>
  </si>
  <si>
    <t xml:space="preserve">18/11/2025</t>
  </si>
  <si>
    <t xml:space="preserve">17/11/2025</t>
  </si>
  <si>
    <t xml:space="preserve">14/11/2025</t>
  </si>
  <si>
    <t xml:space="preserve">13/11/2025</t>
  </si>
  <si>
    <t xml:space="preserve">12/11/2025</t>
  </si>
  <si>
    <t xml:space="preserve">11/11/2025</t>
  </si>
  <si>
    <t xml:space="preserve">10/11/2025</t>
  </si>
  <si>
    <t xml:space="preserve">07/11/2025</t>
  </si>
  <si>
    <t xml:space="preserve">06/11/2025</t>
  </si>
  <si>
    <t xml:space="preserve">05/11/2025</t>
  </si>
  <si>
    <t xml:space="preserve">04/11/2025</t>
  </si>
  <si>
    <t xml:space="preserve">03/11/2025</t>
  </si>
  <si>
    <t xml:space="preserve">31/10/2025</t>
  </si>
  <si>
    <t xml:space="preserve">30/10/2025</t>
  </si>
  <si>
    <t xml:space="preserve">29/10/2025</t>
  </si>
  <si>
    <t xml:space="preserve">28/10/2025</t>
  </si>
  <si>
    <t xml:space="preserve">27/10/2025</t>
  </si>
  <si>
    <t xml:space="preserve">24/10/2025</t>
  </si>
  <si>
    <t xml:space="preserve">23/10/2025</t>
  </si>
  <si>
    <t xml:space="preserve">22/10/2025</t>
  </si>
  <si>
    <t xml:space="preserve">21/10/2025</t>
  </si>
  <si>
    <t xml:space="preserve">20/10/2025</t>
  </si>
  <si>
    <t xml:space="preserve">17/10/2025</t>
  </si>
  <si>
    <t xml:space="preserve">16/10/2025</t>
  </si>
  <si>
    <t xml:space="preserve">15/10/2025</t>
  </si>
  <si>
    <t xml:space="preserve">14/10/2025</t>
  </si>
  <si>
    <t xml:space="preserve">13/10/2025</t>
  </si>
  <si>
    <t xml:space="preserve">10/10/2025</t>
  </si>
  <si>
    <t xml:space="preserve">09/10/2025</t>
  </si>
  <si>
    <t xml:space="preserve">08/10/2025</t>
  </si>
  <si>
    <t xml:space="preserve">07/10/2025</t>
  </si>
  <si>
    <t xml:space="preserve">06/10/2025</t>
  </si>
  <si>
    <t xml:space="preserve">03/10/2025</t>
  </si>
  <si>
    <t xml:space="preserve">02/10/2025</t>
  </si>
  <si>
    <t xml:space="preserve">01/10/2025</t>
  </si>
  <si>
    <t xml:space="preserve">30/09/2025</t>
  </si>
  <si>
    <t xml:space="preserve">29/09/2025</t>
  </si>
  <si>
    <t xml:space="preserve">26/09/2025</t>
  </si>
  <si>
    <t xml:space="preserve">25/09/2025</t>
  </si>
  <si>
    <t xml:space="preserve">24/09/2025</t>
  </si>
  <si>
    <t xml:space="preserve">23/09/2025</t>
  </si>
  <si>
    <t xml:space="preserve">22/09/2025</t>
  </si>
  <si>
    <t xml:space="preserve">19/09/2025</t>
  </si>
  <si>
    <t xml:space="preserve">18/09/2025</t>
  </si>
  <si>
    <t xml:space="preserve">17/09/2025</t>
  </si>
  <si>
    <t xml:space="preserve">16/09/2025</t>
  </si>
  <si>
    <t xml:space="preserve">15/09/2025</t>
  </si>
  <si>
    <t xml:space="preserve">12/09/2025</t>
  </si>
  <si>
    <t xml:space="preserve">11/09/2025</t>
  </si>
  <si>
    <t xml:space="preserve">10/09/2025</t>
  </si>
  <si>
    <t xml:space="preserve">09/09/2025</t>
  </si>
  <si>
    <t xml:space="preserve">08/09/2025</t>
  </si>
  <si>
    <t xml:space="preserve">05/09/2025</t>
  </si>
  <si>
    <t xml:space="preserve">04/09/2025</t>
  </si>
  <si>
    <t xml:space="preserve">03/09/2025</t>
  </si>
  <si>
    <t xml:space="preserve">02/09/2025</t>
  </si>
  <si>
    <t xml:space="preserve">29/08/2025</t>
  </si>
  <si>
    <t xml:space="preserve">28/08/2025</t>
  </si>
  <si>
    <t xml:space="preserve">27/08/2025</t>
  </si>
  <si>
    <t xml:space="preserve">26/08/2025</t>
  </si>
  <si>
    <t xml:space="preserve">25/08/2025</t>
  </si>
  <si>
    <t xml:space="preserve">22/08/2025</t>
  </si>
  <si>
    <t xml:space="preserve">21/08/2025</t>
  </si>
  <si>
    <t xml:space="preserve">20/08/2025</t>
  </si>
  <si>
    <t xml:space="preserve">19/08/2025</t>
  </si>
  <si>
    <t xml:space="preserve">18/08/2025</t>
  </si>
  <si>
    <t xml:space="preserve">15/08/2025</t>
  </si>
  <si>
    <t xml:space="preserve">14/08/2025</t>
  </si>
  <si>
    <t xml:space="preserve">13/08/2025</t>
  </si>
  <si>
    <t xml:space="preserve">12/08/2025</t>
  </si>
  <si>
    <t xml:space="preserve">11/08/2025</t>
  </si>
  <si>
    <t xml:space="preserve">08/08/2025</t>
  </si>
  <si>
    <t xml:space="preserve">07/08/2025</t>
  </si>
  <si>
    <t xml:space="preserve">06/08/2025</t>
  </si>
  <si>
    <t xml:space="preserve">05/08/2025</t>
  </si>
  <si>
    <t xml:space="preserve">04/08/2025</t>
  </si>
  <si>
    <t xml:space="preserve">01/08/2025</t>
  </si>
  <si>
    <t xml:space="preserve">31/07/2025</t>
  </si>
  <si>
    <t xml:space="preserve">30/07/2025</t>
  </si>
  <si>
    <t xml:space="preserve">29/07/2025</t>
  </si>
  <si>
    <t xml:space="preserve">28/07/2025</t>
  </si>
  <si>
    <t xml:space="preserve">25/07/2025</t>
  </si>
  <si>
    <t xml:space="preserve">24/07/2025</t>
  </si>
  <si>
    <t xml:space="preserve">23/07/2025</t>
  </si>
  <si>
    <t xml:space="preserve">22/07/2025</t>
  </si>
  <si>
    <t xml:space="preserve">21/07/2025</t>
  </si>
  <si>
    <t xml:space="preserve">18/07/2025</t>
  </si>
  <si>
    <t xml:space="preserve">17/07/2025</t>
  </si>
  <si>
    <t xml:space="preserve">16/07/2025</t>
  </si>
  <si>
    <t xml:space="preserve">15/07/2025</t>
  </si>
  <si>
    <t xml:space="preserve">14/07/2025</t>
  </si>
  <si>
    <t xml:space="preserve">11/07/2025</t>
  </si>
  <si>
    <t xml:space="preserve">10/07/2025</t>
  </si>
  <si>
    <t xml:space="preserve">09/07/2025</t>
  </si>
  <si>
    <t xml:space="preserve">08/07/2025</t>
  </si>
  <si>
    <t xml:space="preserve">07/07/2025</t>
  </si>
  <si>
    <t xml:space="preserve">03/07/2025</t>
  </si>
  <si>
    <t xml:space="preserve">02/07/2025</t>
  </si>
  <si>
    <t xml:space="preserve">01/07/2025</t>
  </si>
  <si>
    <t xml:space="preserve">30/06/2025</t>
  </si>
  <si>
    <t xml:space="preserve">27/06/2025</t>
  </si>
  <si>
    <t xml:space="preserve">26/06/2025</t>
  </si>
  <si>
    <t xml:space="preserve">25/06/2025</t>
  </si>
  <si>
    <t xml:space="preserve">24/06/2025</t>
  </si>
  <si>
    <t xml:space="preserve">23/06/2025</t>
  </si>
  <si>
    <t xml:space="preserve">20/06/2025</t>
  </si>
  <si>
    <t xml:space="preserve">18/06/2025</t>
  </si>
  <si>
    <t xml:space="preserve">17/06/2025</t>
  </si>
  <si>
    <t xml:space="preserve">16/06/2025</t>
  </si>
  <si>
    <t xml:space="preserve">13/06/2025</t>
  </si>
  <si>
    <t xml:space="preserve">12/06/2025</t>
  </si>
  <si>
    <t xml:space="preserve">11/06/2025</t>
  </si>
  <si>
    <t xml:space="preserve">10/06/2025</t>
  </si>
  <si>
    <t xml:space="preserve">09/06/2025</t>
  </si>
  <si>
    <t xml:space="preserve">06/06/2025</t>
  </si>
  <si>
    <t xml:space="preserve">05/06/2025</t>
  </si>
  <si>
    <t xml:space="preserve">04/06/2025</t>
  </si>
  <si>
    <t xml:space="preserve">03/06/2025</t>
  </si>
  <si>
    <t xml:space="preserve">02/06/2025</t>
  </si>
  <si>
    <t xml:space="preserve">30/05/2025</t>
  </si>
  <si>
    <t xml:space="preserve">29/05/2025</t>
  </si>
  <si>
    <t xml:space="preserve">28/05/2025</t>
  </si>
  <si>
    <t xml:space="preserve">27/05/2025</t>
  </si>
  <si>
    <t xml:space="preserve">23/05/2025</t>
  </si>
  <si>
    <t xml:space="preserve">22/05/2025</t>
  </si>
  <si>
    <t xml:space="preserve">21/05/2025</t>
  </si>
  <si>
    <t xml:space="preserve">20/05/2025</t>
  </si>
  <si>
    <t xml:space="preserve">19/05/2025</t>
  </si>
  <si>
    <t xml:space="preserve">16/05/2025</t>
  </si>
  <si>
    <t xml:space="preserve">15/05/2025</t>
  </si>
  <si>
    <t xml:space="preserve">14/05/2025</t>
  </si>
  <si>
    <t xml:space="preserve">13/05/2025</t>
  </si>
  <si>
    <t xml:space="preserve">12/05/2025</t>
  </si>
  <si>
    <t xml:space="preserve">09/05/2025</t>
  </si>
  <si>
    <t xml:space="preserve">08/05/2025</t>
  </si>
  <si>
    <t xml:space="preserve">07/05/2025</t>
  </si>
  <si>
    <t xml:space="preserve">06/05/2025</t>
  </si>
  <si>
    <t xml:space="preserve">05/05/2025</t>
  </si>
  <si>
    <t xml:space="preserve">02/05/2025</t>
  </si>
  <si>
    <t xml:space="preserve">01/05/2025</t>
  </si>
  <si>
    <t xml:space="preserve">30/04/2025</t>
  </si>
  <si>
    <t xml:space="preserve">29/04/2025</t>
  </si>
  <si>
    <t xml:space="preserve">28/04/2025</t>
  </si>
  <si>
    <t xml:space="preserve">25/04/2025</t>
  </si>
  <si>
    <t xml:space="preserve">24/04/2025</t>
  </si>
  <si>
    <t xml:space="preserve">23/04/2025</t>
  </si>
  <si>
    <t xml:space="preserve">22/04/2025</t>
  </si>
  <si>
    <t xml:space="preserve">21/04/2025</t>
  </si>
  <si>
    <t xml:space="preserve">17/04/2025</t>
  </si>
  <si>
    <t xml:space="preserve">16/04/2025</t>
  </si>
  <si>
    <t xml:space="preserve">15/04/2025</t>
  </si>
  <si>
    <t xml:space="preserve">14/04/2025</t>
  </si>
  <si>
    <t xml:space="preserve">11/04/2025</t>
  </si>
  <si>
    <t xml:space="preserve">10/04/2025</t>
  </si>
  <si>
    <t xml:space="preserve">09/04/2025</t>
  </si>
  <si>
    <t xml:space="preserve">08/04/2025</t>
  </si>
  <si>
    <t xml:space="preserve">07/04/2025</t>
  </si>
  <si>
    <t xml:space="preserve">04/04/2025</t>
  </si>
  <si>
    <t xml:space="preserve">03/04/2025</t>
  </si>
  <si>
    <t xml:space="preserve">02/04/2025</t>
  </si>
  <si>
    <t xml:space="preserve">01/04/2025</t>
  </si>
  <si>
    <t xml:space="preserve">31/03/2025</t>
  </si>
  <si>
    <t xml:space="preserve">28/03/2025</t>
  </si>
  <si>
    <t xml:space="preserve">27/03/2025</t>
  </si>
  <si>
    <t xml:space="preserve">26/03/2025</t>
  </si>
  <si>
    <t xml:space="preserve">25/03/2025</t>
  </si>
  <si>
    <t xml:space="preserve">24/03/2025</t>
  </si>
  <si>
    <t xml:space="preserve">21/03/2025</t>
  </si>
  <si>
    <t xml:space="preserve">20/03/2025</t>
  </si>
  <si>
    <t xml:space="preserve">19/03/2025</t>
  </si>
  <si>
    <t xml:space="preserve">18/03/2025</t>
  </si>
  <si>
    <t xml:space="preserve">17/03/2025</t>
  </si>
  <si>
    <t xml:space="preserve">14/03/2025</t>
  </si>
  <si>
    <t xml:space="preserve">13/03/2025</t>
  </si>
  <si>
    <t xml:space="preserve">12/03/2025</t>
  </si>
  <si>
    <t xml:space="preserve">11/03/2025</t>
  </si>
  <si>
    <t xml:space="preserve">10/03/2025</t>
  </si>
  <si>
    <t xml:space="preserve">07/03/2025</t>
  </si>
  <si>
    <t xml:space="preserve">06/03/2025</t>
  </si>
  <si>
    <t xml:space="preserve">05/03/2025</t>
  </si>
  <si>
    <t xml:space="preserve">04/03/2025</t>
  </si>
  <si>
    <t xml:space="preserve">03/03/2025</t>
  </si>
  <si>
    <t xml:space="preserve">28/02/2025</t>
  </si>
  <si>
    <t xml:space="preserve">27/02/2025</t>
  </si>
  <si>
    <t xml:space="preserve">26/02/2025</t>
  </si>
  <si>
    <t xml:space="preserve">25/02/2025</t>
  </si>
  <si>
    <t xml:space="preserve">24/02/2025</t>
  </si>
  <si>
    <t xml:space="preserve">21/02/2025</t>
  </si>
  <si>
    <t xml:space="preserve">20/02/2025</t>
  </si>
  <si>
    <t xml:space="preserve">19/02/2025</t>
  </si>
  <si>
    <t xml:space="preserve">18/02/2025</t>
  </si>
  <si>
    <t xml:space="preserve">14/02/2025</t>
  </si>
  <si>
    <t xml:space="preserve">13/02/2025</t>
  </si>
  <si>
    <t xml:space="preserve">12/02/2025</t>
  </si>
  <si>
    <t xml:space="preserve">11/02/2025</t>
  </si>
  <si>
    <t xml:space="preserve">10/02/2025</t>
  </si>
  <si>
    <t xml:space="preserve">07/02/2025</t>
  </si>
  <si>
    <t xml:space="preserve">06/02/2025</t>
  </si>
  <si>
    <t xml:space="preserve">05/02/2025</t>
  </si>
  <si>
    <t xml:space="preserve">04/02/2025</t>
  </si>
  <si>
    <t xml:space="preserve">03/02/2025</t>
  </si>
  <si>
    <t xml:space="preserve">31/01/2025</t>
  </si>
  <si>
    <t xml:space="preserve">30/01/2025</t>
  </si>
  <si>
    <t xml:space="preserve">29/01/2025</t>
  </si>
  <si>
    <t xml:space="preserve">28/01/2025</t>
  </si>
  <si>
    <t xml:space="preserve">27/01/2025</t>
  </si>
  <si>
    <t xml:space="preserve">24/01/2025</t>
  </si>
  <si>
    <t xml:space="preserve">23/01/2025</t>
  </si>
  <si>
    <t xml:space="preserve">22/01/2025</t>
  </si>
  <si>
    <t xml:space="preserve">21/01/2025</t>
  </si>
  <si>
    <t xml:space="preserve">17/01/2025</t>
  </si>
  <si>
    <t xml:space="preserve">16/01/2025</t>
  </si>
  <si>
    <t xml:space="preserve">15/01/2025</t>
  </si>
  <si>
    <t xml:space="preserve">14/01/2025</t>
  </si>
  <si>
    <t xml:space="preserve">13/01/2025</t>
  </si>
  <si>
    <t xml:space="preserve">10/01/2025</t>
  </si>
  <si>
    <t xml:space="preserve">08/01/2025</t>
  </si>
  <si>
    <t xml:space="preserve">07/01/2025</t>
  </si>
  <si>
    <t xml:space="preserve">06/01/2025</t>
  </si>
  <si>
    <t xml:space="preserve">03/01/2025</t>
  </si>
  <si>
    <t xml:space="preserve">02/01/2025</t>
  </si>
  <si>
    <t xml:space="preserve">31/12/2024</t>
  </si>
  <si>
    <t xml:space="preserve">30/12/2024</t>
  </si>
  <si>
    <t xml:space="preserve">27/12/2024</t>
  </si>
  <si>
    <t xml:space="preserve">26/12/2024</t>
  </si>
  <si>
    <t xml:space="preserve">24/12/2024</t>
  </si>
  <si>
    <t xml:space="preserve">23/12/2024</t>
  </si>
  <si>
    <t xml:space="preserve">20/12/2024</t>
  </si>
  <si>
    <t xml:space="preserve">19/12/2024</t>
  </si>
  <si>
    <t xml:space="preserve">18/12/2024</t>
  </si>
  <si>
    <t xml:space="preserve">17/12/2024</t>
  </si>
  <si>
    <t xml:space="preserve">16/12/2024</t>
  </si>
  <si>
    <t xml:space="preserve">13/12/2024</t>
  </si>
  <si>
    <t xml:space="preserve">12/12/2024</t>
  </si>
  <si>
    <t xml:space="preserve">11/12/2024</t>
  </si>
  <si>
    <t xml:space="preserve">10/12/2024</t>
  </si>
  <si>
    <t xml:space="preserve">09/12/2024</t>
  </si>
  <si>
    <t xml:space="preserve">06/12/2024</t>
  </si>
  <si>
    <t xml:space="preserve">05/12/2024</t>
  </si>
  <si>
    <t xml:space="preserve">04/12/2024</t>
  </si>
  <si>
    <t xml:space="preserve">03/12/2024</t>
  </si>
  <si>
    <t xml:space="preserve">02/12/2024</t>
  </si>
  <si>
    <t xml:space="preserve">29/11/2024</t>
  </si>
  <si>
    <t xml:space="preserve">27/11/2024</t>
  </si>
  <si>
    <t xml:space="preserve">26/11/2024</t>
  </si>
  <si>
    <t xml:space="preserve">25/11/2024</t>
  </si>
  <si>
    <t xml:space="preserve">22/11/2024</t>
  </si>
  <si>
    <t xml:space="preserve">21/11/2024</t>
  </si>
  <si>
    <t xml:space="preserve">20/11/2024</t>
  </si>
  <si>
    <t xml:space="preserve">19/11/2024</t>
  </si>
  <si>
    <t xml:space="preserve">18/11/2024</t>
  </si>
  <si>
    <t xml:space="preserve">15/11/2024</t>
  </si>
  <si>
    <t xml:space="preserve">14/11/2024</t>
  </si>
  <si>
    <t xml:space="preserve">13/11/2024</t>
  </si>
  <si>
    <t xml:space="preserve">12/11/2024</t>
  </si>
  <si>
    <t xml:space="preserve">11/11/2024</t>
  </si>
  <si>
    <t xml:space="preserve">08/11/2024</t>
  </si>
  <si>
    <t xml:space="preserve">07/11/2024</t>
  </si>
  <si>
    <t xml:space="preserve">06/11/2024</t>
  </si>
  <si>
    <t xml:space="preserve">05/11/2024</t>
  </si>
  <si>
    <t xml:space="preserve">04/11/2024</t>
  </si>
  <si>
    <t xml:space="preserve">01/11/2024</t>
  </si>
  <si>
    <t xml:space="preserve">31/10/2024</t>
  </si>
  <si>
    <t xml:space="preserve">30/10/2024</t>
  </si>
  <si>
    <t xml:space="preserve">29/10/2024</t>
  </si>
  <si>
    <t xml:space="preserve">28/10/2024</t>
  </si>
  <si>
    <t xml:space="preserve">25/10/2024</t>
  </si>
  <si>
    <t xml:space="preserve">24/10/2024</t>
  </si>
  <si>
    <t xml:space="preserve">23/10/2024</t>
  </si>
  <si>
    <t xml:space="preserve">22/10/2024</t>
  </si>
  <si>
    <t xml:space="preserve">21/10/2024</t>
  </si>
  <si>
    <t xml:space="preserve">18/10/2024</t>
  </si>
  <si>
    <t xml:space="preserve">17/10/2024</t>
  </si>
  <si>
    <t xml:space="preserve">16/10/2024</t>
  </si>
  <si>
    <t xml:space="preserve">15/10/2024</t>
  </si>
  <si>
    <t xml:space="preserve">14/10/2024</t>
  </si>
  <si>
    <t xml:space="preserve">11/10/2024</t>
  </si>
  <si>
    <t xml:space="preserve">10/10/2024</t>
  </si>
  <si>
    <t xml:space="preserve">09/10/2024</t>
  </si>
  <si>
    <t xml:space="preserve">08/10/2024</t>
  </si>
  <si>
    <t xml:space="preserve">07/10/2024</t>
  </si>
  <si>
    <t xml:space="preserve">04/10/2024</t>
  </si>
  <si>
    <t xml:space="preserve">03/10/2024</t>
  </si>
  <si>
    <t xml:space="preserve">02/10/2024</t>
  </si>
  <si>
    <t xml:space="preserve">01/10/2024</t>
  </si>
  <si>
    <t xml:space="preserve">30/09/2024</t>
  </si>
  <si>
    <t xml:space="preserve">27/09/2024</t>
  </si>
  <si>
    <t xml:space="preserve">26/09/2024</t>
  </si>
  <si>
    <t xml:space="preserve">25/09/2024</t>
  </si>
  <si>
    <t xml:space="preserve">24/09/2024</t>
  </si>
  <si>
    <t xml:space="preserve">23/09/2024</t>
  </si>
  <si>
    <t xml:space="preserve">20/09/2024</t>
  </si>
  <si>
    <t xml:space="preserve">19/09/2024</t>
  </si>
  <si>
    <t xml:space="preserve">18/09/2024</t>
  </si>
  <si>
    <t xml:space="preserve">17/09/2024</t>
  </si>
  <si>
    <t xml:space="preserve">16/09/2024</t>
  </si>
  <si>
    <t xml:space="preserve">13/09/2024</t>
  </si>
  <si>
    <t xml:space="preserve">12/09/2024</t>
  </si>
  <si>
    <t xml:space="preserve">11/09/2024</t>
  </si>
  <si>
    <t xml:space="preserve">10/09/2024</t>
  </si>
  <si>
    <t xml:space="preserve">09/09/2024</t>
  </si>
  <si>
    <t xml:space="preserve">06/09/2024</t>
  </si>
  <si>
    <t xml:space="preserve">05/09/2024</t>
  </si>
  <si>
    <t xml:space="preserve">04/09/2024</t>
  </si>
  <si>
    <t xml:space="preserve">03/09/2024</t>
  </si>
  <si>
    <t xml:space="preserve">30/08/2024</t>
  </si>
  <si>
    <t xml:space="preserve">29/08/2024</t>
  </si>
  <si>
    <t xml:space="preserve">28/08/2024</t>
  </si>
  <si>
    <t xml:space="preserve">27/08/2024</t>
  </si>
  <si>
    <t xml:space="preserve">26/08/2024</t>
  </si>
  <si>
    <t xml:space="preserve">23/08/2024</t>
  </si>
  <si>
    <t xml:space="preserve">22/08/2024</t>
  </si>
  <si>
    <t xml:space="preserve">21/08/2024</t>
  </si>
  <si>
    <t xml:space="preserve">20/08/2024</t>
  </si>
  <si>
    <t xml:space="preserve">19/08/2024</t>
  </si>
  <si>
    <t xml:space="preserve">16/08/2024</t>
  </si>
  <si>
    <t xml:space="preserve">15/08/2024</t>
  </si>
  <si>
    <t xml:space="preserve">14/08/2024</t>
  </si>
  <si>
    <t xml:space="preserve">13/08/2024</t>
  </si>
  <si>
    <t xml:space="preserve">12/08/2024</t>
  </si>
  <si>
    <t xml:space="preserve">09/08/2024</t>
  </si>
  <si>
    <t xml:space="preserve">08/08/2024</t>
  </si>
  <si>
    <t xml:space="preserve">07/08/2024</t>
  </si>
  <si>
    <t xml:space="preserve">06/08/2024</t>
  </si>
  <si>
    <t xml:space="preserve">05/08/2024</t>
  </si>
  <si>
    <t xml:space="preserve">02/08/2024</t>
  </si>
  <si>
    <t xml:space="preserve">01/08/2024</t>
  </si>
  <si>
    <t xml:space="preserve">31/07/2024</t>
  </si>
  <si>
    <t xml:space="preserve">30/07/2024</t>
  </si>
  <si>
    <t xml:space="preserve">29/07/2024</t>
  </si>
  <si>
    <t xml:space="preserve">26/07/2024</t>
  </si>
  <si>
    <t xml:space="preserve">25/07/2024</t>
  </si>
  <si>
    <t xml:space="preserve">24/07/2024</t>
  </si>
  <si>
    <t xml:space="preserve">23/07/2024</t>
  </si>
  <si>
    <t xml:space="preserve">22/07/2024</t>
  </si>
  <si>
    <t xml:space="preserve">19/07/2024</t>
  </si>
  <si>
    <t xml:space="preserve">18/07/2024</t>
  </si>
  <si>
    <t xml:space="preserve">17/07/2024</t>
  </si>
  <si>
    <t xml:space="preserve">16/07/2024</t>
  </si>
  <si>
    <t xml:space="preserve">15/07/2024</t>
  </si>
  <si>
    <t xml:space="preserve">12/07/2024</t>
  </si>
  <si>
    <t xml:space="preserve">11/07/2024</t>
  </si>
  <si>
    <t xml:space="preserve">10/07/2024</t>
  </si>
  <si>
    <t xml:space="preserve">09/07/2024</t>
  </si>
  <si>
    <t xml:space="preserve">08/07/2024</t>
  </si>
  <si>
    <t xml:space="preserve">05/07/2024</t>
  </si>
  <si>
    <t xml:space="preserve">03/07/2024</t>
  </si>
  <si>
    <t xml:space="preserve">02/07/2024</t>
  </si>
  <si>
    <t xml:space="preserve">01/07/2024</t>
  </si>
  <si>
    <t xml:space="preserve">28/06/2024</t>
  </si>
  <si>
    <t xml:space="preserve">27/06/2024</t>
  </si>
  <si>
    <t xml:space="preserve">26/06/2024</t>
  </si>
  <si>
    <t xml:space="preserve">25/06/2024</t>
  </si>
  <si>
    <t xml:space="preserve">24/06/2024</t>
  </si>
  <si>
    <t xml:space="preserve">21/06/2024</t>
  </si>
  <si>
    <t xml:space="preserve">20/06/2024</t>
  </si>
  <si>
    <t xml:space="preserve">18/06/2024</t>
  </si>
  <si>
    <t xml:space="preserve">17/06/2024</t>
  </si>
  <si>
    <t xml:space="preserve">14/06/2024</t>
  </si>
  <si>
    <t xml:space="preserve">13/06/2024</t>
  </si>
  <si>
    <t xml:space="preserve">12/06/2024</t>
  </si>
  <si>
    <t xml:space="preserve">11/06/2024</t>
  </si>
  <si>
    <t xml:space="preserve">10/06/2024</t>
  </si>
  <si>
    <t xml:space="preserve">07/06/2024</t>
  </si>
  <si>
    <t xml:space="preserve">06/06/2024</t>
  </si>
  <si>
    <t xml:space="preserve">05/06/2024</t>
  </si>
  <si>
    <t xml:space="preserve">04/06/2024</t>
  </si>
  <si>
    <t xml:space="preserve">03/06/2024</t>
  </si>
  <si>
    <t xml:space="preserve">31/05/2024</t>
  </si>
  <si>
    <t xml:space="preserve">30/05/2024</t>
  </si>
  <si>
    <t xml:space="preserve">29/05/2024</t>
  </si>
  <si>
    <t xml:space="preserve">28/05/2024</t>
  </si>
  <si>
    <t xml:space="preserve">24/05/2024</t>
  </si>
  <si>
    <t xml:space="preserve">23/05/2024</t>
  </si>
  <si>
    <t xml:space="preserve">22/05/2024</t>
  </si>
  <si>
    <t xml:space="preserve">21/05/2024</t>
  </si>
  <si>
    <t xml:space="preserve">20/05/2024</t>
  </si>
  <si>
    <t xml:space="preserve">17/05/2024</t>
  </si>
  <si>
    <t xml:space="preserve">16/05/2024</t>
  </si>
  <si>
    <t xml:space="preserve">15/05/2024</t>
  </si>
  <si>
    <t xml:space="preserve">14/05/2024</t>
  </si>
  <si>
    <t xml:space="preserve">13/05/2024</t>
  </si>
  <si>
    <t xml:space="preserve">10/05/2024</t>
  </si>
  <si>
    <t xml:space="preserve">09/05/2024</t>
  </si>
  <si>
    <t xml:space="preserve">08/05/2024</t>
  </si>
  <si>
    <t xml:space="preserve">07/05/2024</t>
  </si>
  <si>
    <t xml:space="preserve">06/05/2024</t>
  </si>
  <si>
    <t xml:space="preserve">03/05/2024</t>
  </si>
  <si>
    <t xml:space="preserve">02/05/2024</t>
  </si>
  <si>
    <t xml:space="preserve">01/05/2024</t>
  </si>
  <si>
    <t xml:space="preserve">30/04/2024</t>
  </si>
  <si>
    <t xml:space="preserve">29/04/2024</t>
  </si>
  <si>
    <t xml:space="preserve">26/04/2024</t>
  </si>
  <si>
    <t xml:space="preserve">25/04/2024</t>
  </si>
  <si>
    <t xml:space="preserve">24/04/2024</t>
  </si>
  <si>
    <t xml:space="preserve">23/04/2024</t>
  </si>
  <si>
    <t xml:space="preserve">22/04/2024</t>
  </si>
  <si>
    <t xml:space="preserve">19/04/2024</t>
  </si>
  <si>
    <t xml:space="preserve">18/04/2024</t>
  </si>
  <si>
    <t xml:space="preserve">17/04/2024</t>
  </si>
  <si>
    <t xml:space="preserve">16/04/2024</t>
  </si>
  <si>
    <t xml:space="preserve">15/04/2024</t>
  </si>
  <si>
    <t xml:space="preserve">12/04/2024</t>
  </si>
  <si>
    <t xml:space="preserve">11/04/2024</t>
  </si>
  <si>
    <t xml:space="preserve">10/04/2024</t>
  </si>
  <si>
    <t xml:space="preserve">09/04/2024</t>
  </si>
  <si>
    <t xml:space="preserve">08/04/2024</t>
  </si>
  <si>
    <t xml:space="preserve">05/04/2024</t>
  </si>
  <si>
    <t xml:space="preserve">04/04/2024</t>
  </si>
  <si>
    <t xml:space="preserve">03/04/2024</t>
  </si>
  <si>
    <t xml:space="preserve">02/04/2024</t>
  </si>
  <si>
    <t xml:space="preserve">01/04/2024</t>
  </si>
  <si>
    <t xml:space="preserve">28/03/2024</t>
  </si>
  <si>
    <t xml:space="preserve">27/03/2024</t>
  </si>
  <si>
    <t xml:space="preserve">26/03/2024</t>
  </si>
  <si>
    <t xml:space="preserve">25/03/2024</t>
  </si>
  <si>
    <t xml:space="preserve">22/03/2024</t>
  </si>
  <si>
    <t xml:space="preserve">21/03/2024</t>
  </si>
  <si>
    <t xml:space="preserve">20/03/2024</t>
  </si>
  <si>
    <t xml:space="preserve">19/03/2024</t>
  </si>
  <si>
    <t xml:space="preserve">18/03/2024</t>
  </si>
  <si>
    <t xml:space="preserve">15/03/2024</t>
  </si>
  <si>
    <t xml:space="preserve">14/03/2024</t>
  </si>
  <si>
    <t xml:space="preserve">13/03/2024</t>
  </si>
  <si>
    <t xml:space="preserve">12/03/2024</t>
  </si>
  <si>
    <t xml:space="preserve">11/03/2024</t>
  </si>
  <si>
    <t xml:space="preserve">08/03/2024</t>
  </si>
  <si>
    <t xml:space="preserve">07/03/2024</t>
  </si>
  <si>
    <t xml:space="preserve">06/03/2024</t>
  </si>
  <si>
    <t xml:space="preserve">05/03/2024</t>
  </si>
  <si>
    <t xml:space="preserve">04/03/2024</t>
  </si>
  <si>
    <t xml:space="preserve">01/03/2024</t>
  </si>
  <si>
    <t xml:space="preserve">29/02/2024</t>
  </si>
  <si>
    <t xml:space="preserve">28/02/2024</t>
  </si>
  <si>
    <t xml:space="preserve">27/02/2024</t>
  </si>
  <si>
    <t xml:space="preserve">26/02/2024</t>
  </si>
  <si>
    <t xml:space="preserve">23/02/2024</t>
  </si>
  <si>
    <t xml:space="preserve">22/02/2024</t>
  </si>
  <si>
    <t xml:space="preserve">21/02/2024</t>
  </si>
  <si>
    <t xml:space="preserve">20/02/2024</t>
  </si>
  <si>
    <t xml:space="preserve">16/02/2024</t>
  </si>
  <si>
    <t xml:space="preserve">15/02/2024</t>
  </si>
  <si>
    <t xml:space="preserve">14/02/2024</t>
  </si>
  <si>
    <t xml:space="preserve">13/02/2024</t>
  </si>
  <si>
    <t xml:space="preserve">12/02/2024</t>
  </si>
  <si>
    <t xml:space="preserve">09/02/2024</t>
  </si>
  <si>
    <t xml:space="preserve">08/02/2024</t>
  </si>
  <si>
    <t xml:space="preserve">07/02/2024</t>
  </si>
  <si>
    <t xml:space="preserve">06/02/2024</t>
  </si>
  <si>
    <t xml:space="preserve">05/02/2024</t>
  </si>
  <si>
    <t xml:space="preserve">02/02/2024</t>
  </si>
  <si>
    <t xml:space="preserve">01/02/2024</t>
  </si>
  <si>
    <t xml:space="preserve">31/01/2024</t>
  </si>
  <si>
    <t xml:space="preserve">30/01/2024</t>
  </si>
  <si>
    <t xml:space="preserve">29/01/2024</t>
  </si>
  <si>
    <t xml:space="preserve">26/01/2024</t>
  </si>
  <si>
    <t xml:space="preserve">25/01/2024</t>
  </si>
  <si>
    <t xml:space="preserve">24/01/2024</t>
  </si>
  <si>
    <t xml:space="preserve">23/01/2024</t>
  </si>
  <si>
    <t xml:space="preserve">22/01/2024</t>
  </si>
  <si>
    <t xml:space="preserve">19/01/2024</t>
  </si>
  <si>
    <t xml:space="preserve">18/01/2024</t>
  </si>
  <si>
    <t xml:space="preserve">17/01/2024</t>
  </si>
  <si>
    <t xml:space="preserve">16/01/2024</t>
  </si>
  <si>
    <t xml:space="preserve">12/01/2024</t>
  </si>
  <si>
    <t xml:space="preserve">11/01/2024</t>
  </si>
  <si>
    <t xml:space="preserve">10/01/2024</t>
  </si>
  <si>
    <t xml:space="preserve">09/01/2024</t>
  </si>
  <si>
    <t xml:space="preserve">08/01/2024</t>
  </si>
  <si>
    <t xml:space="preserve">05/01/2024</t>
  </si>
  <si>
    <t xml:space="preserve">04/01/2024</t>
  </si>
  <si>
    <t xml:space="preserve">03/01/2024</t>
  </si>
  <si>
    <t xml:space="preserve">02/01/2024</t>
  </si>
  <si>
    <t xml:space="preserve">29/12/2023</t>
  </si>
  <si>
    <t xml:space="preserve">28/12/2023</t>
  </si>
  <si>
    <t xml:space="preserve">27/12/2023</t>
  </si>
  <si>
    <t xml:space="preserve">26/12/2023</t>
  </si>
  <si>
    <t xml:space="preserve">22/12/2023</t>
  </si>
  <si>
    <t xml:space="preserve">21/12/2023</t>
  </si>
  <si>
    <t xml:space="preserve">20/12/2023</t>
  </si>
  <si>
    <t xml:space="preserve">19/12/2023</t>
  </si>
  <si>
    <t xml:space="preserve">18/12/2023</t>
  </si>
  <si>
    <t xml:space="preserve">15/12/2023</t>
  </si>
  <si>
    <t xml:space="preserve">14/12/2023</t>
  </si>
  <si>
    <t xml:space="preserve">13/12/2023</t>
  </si>
  <si>
    <t xml:space="preserve">12/12/2023</t>
  </si>
  <si>
    <t xml:space="preserve">11/12/2023</t>
  </si>
  <si>
    <t xml:space="preserve">08/12/2023</t>
  </si>
  <si>
    <t xml:space="preserve">07/12/2023</t>
  </si>
  <si>
    <t xml:space="preserve">06/12/2023</t>
  </si>
  <si>
    <t xml:space="preserve">05/12/2023</t>
  </si>
  <si>
    <t xml:space="preserve">04/12/2023</t>
  </si>
  <si>
    <t xml:space="preserve">01/12/2023</t>
  </si>
  <si>
    <t xml:space="preserve">30/11/2023</t>
  </si>
  <si>
    <t xml:space="preserve">29/11/2023</t>
  </si>
  <si>
    <t xml:space="preserve">28/11/2023</t>
  </si>
  <si>
    <t xml:space="preserve">27/11/2023</t>
  </si>
  <si>
    <t xml:space="preserve">24/11/2023</t>
  </si>
  <si>
    <t xml:space="preserve">22/11/2023</t>
  </si>
  <si>
    <t xml:space="preserve">21/11/2023</t>
  </si>
  <si>
    <t xml:space="preserve">20/11/2023</t>
  </si>
  <si>
    <t xml:space="preserve">17/11/2023</t>
  </si>
  <si>
    <t xml:space="preserve">16/11/2023</t>
  </si>
  <si>
    <t xml:space="preserve">15/11/2023</t>
  </si>
  <si>
    <t xml:space="preserve">14/11/2023</t>
  </si>
  <si>
    <t xml:space="preserve">13/11/2023</t>
  </si>
  <si>
    <t xml:space="preserve">10/11/2023</t>
  </si>
  <si>
    <t xml:space="preserve">09/11/2023</t>
  </si>
  <si>
    <t xml:space="preserve">08/11/2023</t>
  </si>
  <si>
    <t xml:space="preserve">07/11/2023</t>
  </si>
  <si>
    <t xml:space="preserve">06/11/2023</t>
  </si>
  <si>
    <t xml:space="preserve">03/11/2023</t>
  </si>
  <si>
    <t xml:space="preserve">02/11/2023</t>
  </si>
  <si>
    <t xml:space="preserve">01/11/2023</t>
  </si>
  <si>
    <t xml:space="preserve">31/10/2023</t>
  </si>
  <si>
    <t xml:space="preserve">30/10/2023</t>
  </si>
  <si>
    <t xml:space="preserve">27/10/2023</t>
  </si>
  <si>
    <t xml:space="preserve">26/10/2023</t>
  </si>
  <si>
    <t xml:space="preserve">25/10/2023</t>
  </si>
  <si>
    <t xml:space="preserve">24/10/2023</t>
  </si>
  <si>
    <t xml:space="preserve">23/10/2023</t>
  </si>
  <si>
    <t xml:space="preserve">20/10/2023</t>
  </si>
  <si>
    <t xml:space="preserve">19/10/2023</t>
  </si>
  <si>
    <t xml:space="preserve">18/10/2023</t>
  </si>
  <si>
    <t xml:space="preserve">17/10/2023</t>
  </si>
  <si>
    <t xml:space="preserve">16/10/2023</t>
  </si>
  <si>
    <t xml:space="preserve">13/10/2023</t>
  </si>
  <si>
    <t xml:space="preserve">12/10/2023</t>
  </si>
  <si>
    <t xml:space="preserve">11/10/2023</t>
  </si>
  <si>
    <t xml:space="preserve">10/10/2023</t>
  </si>
  <si>
    <t xml:space="preserve">09/10/2023</t>
  </si>
  <si>
    <t xml:space="preserve">06/10/2023</t>
  </si>
  <si>
    <t xml:space="preserve">05/10/2023</t>
  </si>
  <si>
    <t xml:space="preserve">04/10/2023</t>
  </si>
  <si>
    <t xml:space="preserve">03/10/2023</t>
  </si>
  <si>
    <t xml:space="preserve">02/10/2023</t>
  </si>
  <si>
    <t xml:space="preserve">29/09/2023</t>
  </si>
  <si>
    <t xml:space="preserve">28/09/2023</t>
  </si>
  <si>
    <t xml:space="preserve">27/09/2023</t>
  </si>
  <si>
    <t xml:space="preserve">26/09/2023</t>
  </si>
  <si>
    <t xml:space="preserve">25/09/2023</t>
  </si>
  <si>
    <t xml:space="preserve">22/09/2023</t>
  </si>
  <si>
    <t xml:space="preserve">21/09/2023</t>
  </si>
  <si>
    <t xml:space="preserve">20/09/2023</t>
  </si>
  <si>
    <t xml:space="preserve">19/09/2023</t>
  </si>
  <si>
    <t xml:space="preserve">18/09/2023</t>
  </si>
  <si>
    <t xml:space="preserve">15/09/2023</t>
  </si>
  <si>
    <t xml:space="preserve">14/09/2023</t>
  </si>
  <si>
    <t xml:space="preserve">13/09/2023</t>
  </si>
  <si>
    <t xml:space="preserve">12/09/2023</t>
  </si>
  <si>
    <t xml:space="preserve">11/09/2023</t>
  </si>
  <si>
    <t xml:space="preserve">08/09/2023</t>
  </si>
  <si>
    <t xml:space="preserve">07/09/2023</t>
  </si>
  <si>
    <t xml:space="preserve">06/09/2023</t>
  </si>
  <si>
    <t xml:space="preserve">05/09/2023</t>
  </si>
  <si>
    <t xml:space="preserve">01/09/2023</t>
  </si>
  <si>
    <t xml:space="preserve">31/08/2023</t>
  </si>
  <si>
    <t xml:space="preserve">30/08/2023</t>
  </si>
  <si>
    <t xml:space="preserve">29/08/2023</t>
  </si>
  <si>
    <t xml:space="preserve">28/08/2023</t>
  </si>
  <si>
    <t xml:space="preserve">25/08/2023</t>
  </si>
  <si>
    <t xml:space="preserve">24/08/2023</t>
  </si>
  <si>
    <t xml:space="preserve">23/08/2023</t>
  </si>
  <si>
    <t xml:space="preserve">22/08/2023</t>
  </si>
  <si>
    <t xml:space="preserve">21/08/2023</t>
  </si>
  <si>
    <t xml:space="preserve">18/08/2023</t>
  </si>
  <si>
    <t xml:space="preserve">17/08/2023</t>
  </si>
  <si>
    <t xml:space="preserve">16/08/2023</t>
  </si>
  <si>
    <t xml:space="preserve">15/08/2023</t>
  </si>
  <si>
    <t xml:space="preserve">14/08/2023</t>
  </si>
  <si>
    <t xml:space="preserve">11/08/2023</t>
  </si>
  <si>
    <t xml:space="preserve">10/08/2023</t>
  </si>
  <si>
    <t xml:space="preserve">09/08/2023</t>
  </si>
  <si>
    <t xml:space="preserve">08/08/2023</t>
  </si>
  <si>
    <t xml:space="preserve">07/08/2023</t>
  </si>
  <si>
    <t xml:space="preserve">04/08/2023</t>
  </si>
  <si>
    <t xml:space="preserve">Comparable Trading Multiples</t>
  </si>
  <si>
    <t xml:space="preserve">Comparables</t>
  </si>
  <si>
    <t xml:space="preserve">Company Information</t>
  </si>
  <si>
    <t xml:space="preserve">Income data</t>
  </si>
  <si>
    <t xml:space="preserve">Market and financial position data</t>
  </si>
  <si>
    <t xml:space="preserve">Multiples</t>
  </si>
  <si>
    <t xml:space="preserve">Inclusion</t>
  </si>
  <si>
    <t xml:space="preserve">Ticker</t>
  </si>
  <si>
    <t xml:space="preserve">Name</t>
  </si>
  <si>
    <t xml:space="preserve">Sector</t>
  </si>
  <si>
    <t xml:space="preserve">Industry</t>
  </si>
  <si>
    <t xml:space="preserve">Sales</t>
  </si>
  <si>
    <t xml:space="preserve">EBITDA</t>
  </si>
  <si>
    <t xml:space="preserve">Earnings</t>
  </si>
  <si>
    <t xml:space="preserve">Share count</t>
  </si>
  <si>
    <t xml:space="preserve">Market cap</t>
  </si>
  <si>
    <t xml:space="preserve">Debt</t>
  </si>
  <si>
    <t xml:space="preserve">Cash</t>
  </si>
  <si>
    <t xml:space="preserve">EV</t>
  </si>
  <si>
    <t xml:space="preserve">EV/Sales</t>
  </si>
  <si>
    <t xml:space="preserve">EV/EBITDA</t>
  </si>
  <si>
    <t xml:space="preserve">Building Products</t>
  </si>
  <si>
    <t xml:space="preserve">AAON</t>
  </si>
  <si>
    <t xml:space="preserve">X</t>
  </si>
  <si>
    <t xml:space="preserve">FBIN</t>
  </si>
  <si>
    <t xml:space="preserve">Fortune Brands Innovations</t>
  </si>
  <si>
    <t xml:space="preserve">LPX</t>
  </si>
  <si>
    <t xml:space="preserve">Louisiana-Pacific</t>
  </si>
  <si>
    <t xml:space="preserve">OC</t>
  </si>
  <si>
    <t xml:space="preserve">Owens Corning</t>
  </si>
  <si>
    <t xml:space="preserve">TREX</t>
  </si>
  <si>
    <t xml:space="preserve">Trex</t>
  </si>
  <si>
    <t xml:space="preserve">UFPI</t>
  </si>
  <si>
    <t xml:space="preserve">UFP Industries</t>
  </si>
  <si>
    <t xml:space="preserve">WMS</t>
  </si>
  <si>
    <t xml:space="preserve">Advanced Drainage Systems</t>
  </si>
  <si>
    <t xml:space="preserve">WTS</t>
  </si>
  <si>
    <t xml:space="preserve">Watts Water Technologies</t>
  </si>
  <si>
    <t xml:space="preserve">Valuation</t>
  </si>
  <si>
    <t xml:space="preserve">Implied equity value</t>
  </si>
  <si>
    <t xml:space="preserve">Implied share price</t>
  </si>
  <si>
    <t xml:space="preserve">Discounted Cash Flow</t>
  </si>
  <si>
    <t xml:space="preserve">Switches</t>
  </si>
  <si>
    <t xml:space="preserve">Assumption</t>
  </si>
  <si>
    <t xml:space="preserve">Reference</t>
  </si>
  <si>
    <t xml:space="preserve">WACC</t>
  </si>
  <si>
    <t xml:space="preserve">TGR</t>
  </si>
  <si>
    <t xml:space="preserve">Income items</t>
  </si>
  <si>
    <t xml:space="preserve">Actuals</t>
  </si>
  <si>
    <t xml:space="preserve">Projections</t>
  </si>
  <si>
    <t xml:space="preserve">Items</t>
  </si>
  <si>
    <t xml:space="preserve">Wood products</t>
  </si>
  <si>
    <t xml:space="preserve">North America</t>
  </si>
  <si>
    <t xml:space="preserve">Europe</t>
  </si>
  <si>
    <t xml:space="preserve">Others</t>
  </si>
  <si>
    <t xml:space="preserve">Concrete products</t>
  </si>
  <si>
    <t xml:space="preserve">Cost of sales</t>
  </si>
  <si>
    <t xml:space="preserve">% of sales</t>
  </si>
  <si>
    <t xml:space="preserve">Gross Profit</t>
  </si>
  <si>
    <t xml:space="preserve">SG&amp;A Expense</t>
  </si>
  <si>
    <t xml:space="preserve">Other Expense</t>
  </si>
  <si>
    <t xml:space="preserve">Operating Income</t>
  </si>
  <si>
    <t xml:space="preserve">Capital items</t>
  </si>
  <si>
    <t xml:space="preserve">Working Assets</t>
  </si>
  <si>
    <t xml:space="preserve">Days outstanding (sales)</t>
  </si>
  <si>
    <t xml:space="preserve">Trade Receivables</t>
  </si>
  <si>
    <t xml:space="preserve">Inventories</t>
  </si>
  <si>
    <t xml:space="preserve">Other Working Assets</t>
  </si>
  <si>
    <t xml:space="preserve">Working Liabilities</t>
  </si>
  <si>
    <t xml:space="preserve">Days outstanding (cost of sales)</t>
  </si>
  <si>
    <t xml:space="preserve">Trade Payables</t>
  </si>
  <si>
    <t xml:space="preserve">Other Working Liabilities</t>
  </si>
  <si>
    <t xml:space="preserve">Net Working Capital</t>
  </si>
  <si>
    <t xml:space="preserve">Turnover</t>
  </si>
  <si>
    <t xml:space="preserve">Fixed Assets</t>
  </si>
  <si>
    <t xml:space="preserve">Tangibles</t>
  </si>
  <si>
    <t xml:space="preserve">Intangibles</t>
  </si>
  <si>
    <t xml:space="preserve">Other Fixed Assets</t>
  </si>
  <si>
    <t xml:space="preserve">Fixed Liabilities</t>
  </si>
  <si>
    <t xml:space="preserve">Fixed Capital</t>
  </si>
  <si>
    <t xml:space="preserve">Invested Capital</t>
  </si>
  <si>
    <t xml:space="preserve">Cash Items</t>
  </si>
  <si>
    <t xml:space="preserve">D&amp;A Expense</t>
  </si>
  <si>
    <t xml:space="preserve">% of fixed capital</t>
  </si>
  <si>
    <t xml:space="preserve">Capital Expenditure</t>
  </si>
  <si>
    <t xml:space="preserve">Discounted cash flow</t>
  </si>
  <si>
    <t xml:space="preserve">D&amp;A expense</t>
  </si>
  <si>
    <t xml:space="preserve">Taxes</t>
  </si>
  <si>
    <t xml:space="preserve">% tax rate</t>
  </si>
  <si>
    <t xml:space="preserve">Delta Net Working Capital</t>
  </si>
  <si>
    <t xml:space="preserve">Unlevered free cash flow</t>
  </si>
  <si>
    <t xml:space="preserve">% of revenue</t>
  </si>
  <si>
    <t xml:space="preserve">Discounted free cash flow</t>
  </si>
  <si>
    <t xml:space="preserve">Discount rate</t>
  </si>
  <si>
    <t xml:space="preserve">Discount period</t>
  </si>
  <si>
    <t xml:space="preserve">Terminal value</t>
  </si>
  <si>
    <t xml:space="preserve">Terminal growth rate</t>
  </si>
  <si>
    <t xml:space="preserve">Terminal discount rate</t>
  </si>
  <si>
    <t xml:space="preserve">Discounted terminal value</t>
  </si>
  <si>
    <t xml:space="preserve">Implied enterprise value</t>
  </si>
  <si>
    <t xml:space="preserve">Share count (K)</t>
  </si>
  <si>
    <t xml:space="preserve">Cost of capital</t>
  </si>
  <si>
    <t xml:space="preserve">Cost of Capital</t>
  </si>
  <si>
    <t xml:space="preserve">Weighted Average Cost of Capital</t>
  </si>
  <si>
    <t xml:space="preserve">Note</t>
  </si>
  <si>
    <t xml:space="preserve">WACC = % equity * cost of equity + % debt * cost of debt</t>
  </si>
  <si>
    <t xml:space="preserve">% of equity</t>
  </si>
  <si>
    <t xml:space="preserve">Net Debt</t>
  </si>
  <si>
    <t xml:space="preserve">% of debt</t>
  </si>
  <si>
    <t xml:space="preserve">Enterprise value</t>
  </si>
  <si>
    <t xml:space="preserve">Risk free rate</t>
  </si>
  <si>
    <t xml:space="preserve">Risk premium</t>
  </si>
  <si>
    <t xml:space="preserve">  </t>
  </si>
  <si>
    <t xml:space="preserve">Share beta</t>
  </si>
  <si>
    <t xml:space="preserve">Cost of equity</t>
  </si>
  <si>
    <t xml:space="preserve">Interest rate</t>
  </si>
  <si>
    <t xml:space="preserve">Tax rate</t>
  </si>
  <si>
    <t xml:space="preserve">Cost of debt</t>
  </si>
  <si>
    <t xml:space="preserve">WACC: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</si>
</sst>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dd/mm/yyyy"/>
    <numFmt numFmtId="166" formatCode="0.00"/>
    <numFmt numFmtId="167" formatCode="#,##0"/>
    <numFmt numFmtId="168" formatCode="0.0%"/>
    <numFmt numFmtId="169" formatCode="0.00%"/>
    <numFmt numFmtId="170" formatCode="0.0"/>
    <numFmt numFmtId="171" formatCode="0%"/>
    <numFmt numFmtId="172" formatCode="0"/>
    <numFmt numFmtId="173" formatCode="dd/mm/yyyy;@"/>
    <numFmt numFmtId="174" formatCode="0.0\x"/>
    <numFmt numFmtId="175" formatCode="#,##0.00"/>
  </numFmts>
  <fonts count="3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E8E8E8"/>
      <name val="Arial"/>
      <family val="0"/>
      <charset val="1"/>
    </font>
    <font>
      <b val="true"/>
      <sz val="20"/>
      <color rgb="FFE8E8E8"/>
      <name val="Arial"/>
      <family val="0"/>
      <charset val="1"/>
    </font>
    <font>
      <sz val="16"/>
      <color rgb="FFE8E8E8"/>
      <name val="Arial"/>
      <family val="0"/>
      <charset val="1"/>
    </font>
    <font>
      <b val="true"/>
      <sz val="12"/>
      <color rgb="FFE8E8E8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E8E8E8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i val="true"/>
      <sz val="10"/>
      <color theme="1"/>
      <name val="Arial"/>
      <family val="0"/>
      <charset val="1"/>
    </font>
    <font>
      <sz val="10"/>
      <color rgb="FF0070C0"/>
      <name val="Arial"/>
      <family val="0"/>
      <charset val="1"/>
    </font>
    <font>
      <i val="true"/>
      <sz val="10"/>
      <color theme="1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7B1FA2"/>
      <name val="Arial"/>
      <family val="0"/>
      <charset val="1"/>
    </font>
    <font>
      <b val="true"/>
      <sz val="10"/>
      <color rgb="FF7B1FA2"/>
      <name val="Arial"/>
      <family val="0"/>
      <charset val="1"/>
    </font>
    <font>
      <sz val="10"/>
      <color rgb="FF388E3C"/>
      <name val="Arial"/>
      <family val="0"/>
      <charset val="1"/>
    </font>
    <font>
      <b val="true"/>
      <sz val="10"/>
      <color rgb="FF388E3C"/>
      <name val="Arial"/>
      <family val="0"/>
      <charset val="1"/>
    </font>
    <font>
      <sz val="10"/>
      <color rgb="FF1E88E5"/>
      <name val="Arial"/>
      <family val="0"/>
      <charset val="1"/>
    </font>
    <font>
      <sz val="9"/>
      <color rgb="FF595959"/>
      <name val="Calibri"/>
      <family val="2"/>
    </font>
    <font>
      <sz val="11"/>
      <color theme="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388E3C"/>
      <name val="Arial"/>
      <family val="0"/>
      <charset val="1"/>
    </font>
    <font>
      <sz val="10"/>
      <color rgb="FFFF0000"/>
      <name val="Arial"/>
      <family val="0"/>
      <charset val="1"/>
    </font>
    <font>
      <sz val="10"/>
      <color rgb="FF00B050"/>
      <name val="Arial"/>
      <family val="0"/>
      <charset val="1"/>
    </font>
    <font>
      <sz val="11"/>
      <color rgb="FF1E88E5"/>
      <name val="Arial"/>
      <family val="0"/>
      <charset val="1"/>
    </font>
    <font>
      <i val="true"/>
      <sz val="10"/>
      <color rgb="FF1E88E5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1E88E5"/>
      <name val="Arial"/>
      <family val="0"/>
      <charset val="1"/>
    </font>
    <font>
      <b val="true"/>
      <sz val="11"/>
      <color rgb="FF1E88E5"/>
      <name val="Arial"/>
      <family val="0"/>
      <charset val="1"/>
    </font>
    <font>
      <sz val="11"/>
      <color rgb="FF0070C0"/>
      <name val="Arial"/>
      <family val="0"/>
      <charset val="1"/>
    </font>
    <font>
      <sz val="11"/>
      <color rgb="FF388E3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51F3A"/>
        <bgColor rgb="FF003366"/>
      </patternFill>
    </fill>
    <fill>
      <patternFill patternType="solid">
        <fgColor rgb="FFBBDEFB"/>
        <bgColor rgb="FFD9D9D9"/>
      </patternFill>
    </fill>
    <fill>
      <patternFill patternType="solid">
        <fgColor rgb="FFFFECC7"/>
        <bgColor rgb="FFE8E8E8"/>
      </patternFill>
    </fill>
    <fill>
      <patternFill patternType="solid">
        <fgColor rgb="FFE8E8E8"/>
        <bgColor rgb="FFD9D9D9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thick">
        <color rgb="FFE8E8E8"/>
      </left>
      <right/>
      <top style="thick">
        <color rgb="FFE8E8E8"/>
      </top>
      <bottom/>
      <diagonal/>
    </border>
    <border diagonalUp="false" diagonalDown="false">
      <left/>
      <right/>
      <top style="thick">
        <color rgb="FFE8E8E8"/>
      </top>
      <bottom/>
      <diagonal/>
    </border>
    <border diagonalUp="false" diagonalDown="false">
      <left/>
      <right style="thick">
        <color rgb="FFE8E8E8"/>
      </right>
      <top style="thick">
        <color rgb="FFE8E8E8"/>
      </top>
      <bottom/>
      <diagonal/>
    </border>
    <border diagonalUp="false" diagonalDown="false">
      <left style="thick">
        <color rgb="FFE8E8E8"/>
      </left>
      <right/>
      <top/>
      <bottom/>
      <diagonal/>
    </border>
    <border diagonalUp="false" diagonalDown="false">
      <left/>
      <right/>
      <top/>
      <bottom style="medium">
        <color rgb="FFE8E8E8"/>
      </bottom>
      <diagonal/>
    </border>
    <border diagonalUp="false" diagonalDown="false">
      <left/>
      <right style="thick">
        <color rgb="FFE8E8E8"/>
      </right>
      <top/>
      <bottom/>
      <diagonal/>
    </border>
    <border diagonalUp="false" diagonalDown="false">
      <left style="thick">
        <color rgb="FFE8E8E8"/>
      </left>
      <right/>
      <top/>
      <bottom style="thick">
        <color rgb="FFE8E8E8"/>
      </bottom>
      <diagonal/>
    </border>
    <border diagonalUp="false" diagonalDown="false">
      <left/>
      <right/>
      <top/>
      <bottom style="thick">
        <color rgb="FFE8E8E8"/>
      </bottom>
      <diagonal/>
    </border>
    <border diagonalUp="false" diagonalDown="false">
      <left/>
      <right style="thick">
        <color rgb="FFE8E8E8"/>
      </right>
      <top/>
      <bottom style="thick">
        <color rgb="FFE8E8E8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dotted"/>
      <right/>
      <top style="dotted"/>
      <bottom style="dotted"/>
      <diagonal/>
    </border>
    <border diagonalUp="false" diagonalDown="false">
      <left/>
      <right/>
      <top style="dotted"/>
      <bottom style="dotted"/>
      <diagonal/>
    </border>
    <border diagonalUp="false" diagonalDown="false">
      <left/>
      <right style="dotted"/>
      <top style="dotted"/>
      <bottom style="dotted"/>
      <diagonal/>
    </border>
    <border diagonalUp="false" diagonalDown="false">
      <left/>
      <right/>
      <top/>
      <bottom style="thin"/>
      <diagonal/>
    </border>
    <border diagonalUp="false" diagonalDown="false">
      <left style="dotted"/>
      <right style="dotted"/>
      <top/>
      <bottom style="dotted"/>
      <diagonal/>
    </border>
    <border diagonalUp="false" diagonalDown="false">
      <left style="dotted"/>
      <right style="dotted"/>
      <top style="dotted"/>
      <bottom style="dotted"/>
      <diagonal/>
    </border>
    <border diagonalUp="false" diagonalDown="false">
      <left style="dotted"/>
      <right/>
      <top style="dotted"/>
      <bottom/>
      <diagonal/>
    </border>
    <border diagonalUp="false" diagonalDown="false">
      <left/>
      <right/>
      <top style="dotted"/>
      <bottom/>
      <diagonal/>
    </border>
    <border diagonalUp="false" diagonalDown="false">
      <left/>
      <right style="dotted"/>
      <top style="dotted"/>
      <bottom/>
      <diagonal/>
    </border>
    <border diagonalUp="false" diagonalDown="false">
      <left style="dotted"/>
      <right/>
      <top/>
      <bottom/>
      <diagonal/>
    </border>
    <border diagonalUp="false" diagonalDown="false">
      <left/>
      <right style="dotted"/>
      <top/>
      <bottom/>
      <diagonal/>
    </border>
    <border diagonalUp="false" diagonalDown="false">
      <left style="dotted"/>
      <right/>
      <top/>
      <bottom style="dotted"/>
      <diagonal/>
    </border>
    <border diagonalUp="false" diagonalDown="false">
      <left/>
      <right/>
      <top/>
      <bottom style="dotted"/>
      <diagonal/>
    </border>
    <border diagonalUp="false" diagonalDown="false">
      <left/>
      <right style="dotted"/>
      <top/>
      <bottom style="dotted"/>
      <diagonal/>
    </border>
    <border diagonalUp="false" diagonalDown="false">
      <left style="dotted"/>
      <right style="dotted"/>
      <top/>
      <bottom/>
      <diagonal/>
    </border>
    <border diagonalUp="false" diagonalDown="false">
      <left/>
      <right/>
      <top style="thin"/>
      <bottom style="medium">
        <color theme="1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2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8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3" borderId="13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3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9" fillId="4" borderId="15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9" fillId="4" borderId="16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3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3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6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0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3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8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0" fillId="0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2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1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4" fillId="0" borderId="12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12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2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6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4" fillId="0" borderId="0" xfId="19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1" fontId="15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3" fillId="0" borderId="14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3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2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7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2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14" fillId="0" borderId="2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28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2" fillId="0" borderId="29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3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5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3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3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8" fontId="13" fillId="0" borderId="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3" fillId="0" borderId="31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7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30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8" fontId="13" fillId="0" borderId="0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8" fillId="4" borderId="16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general" vertical="bottom" textRotation="0" wrapText="false" indent="3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3" shrinkToFit="false"/>
      <protection locked="true" hidden="false"/>
    </xf>
    <xf numFmtId="164" fontId="13" fillId="0" borderId="32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4" fontId="13" fillId="0" borderId="14" xfId="0" applyFont="true" applyBorder="true" applyAlignment="true" applyProtection="false">
      <alignment horizontal="general" vertical="bottom" textRotation="0" wrapText="false" indent="3" shrinkToFit="false"/>
      <protection locked="true" hidden="false"/>
    </xf>
    <xf numFmtId="168" fontId="13" fillId="0" borderId="14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13" fillId="0" borderId="2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2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2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29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8" fontId="8" fillId="0" borderId="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0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8" fontId="13" fillId="5" borderId="0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32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8" fontId="13" fillId="5" borderId="14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3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3" borderId="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3" borderId="31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3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3" fillId="3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3" borderId="14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3" borderId="33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4" fontId="10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29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13" fillId="0" borderId="35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35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35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29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general" vertical="bottom" textRotation="0" wrapText="false" indent="2" shrinkToFit="false"/>
      <protection locked="true" hidden="false"/>
    </xf>
    <xf numFmtId="170" fontId="13" fillId="0" borderId="0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8" fillId="4" borderId="16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4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8" fillId="0" borderId="2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31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14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33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4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5" borderId="35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5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0" fillId="0" borderId="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3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2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3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13" fillId="5" borderId="14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4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33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8" fillId="4" borderId="16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3" borderId="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31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9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3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31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37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8" fillId="0" borderId="0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3" borderId="35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general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B1FA2"/>
      <rgbColor rgb="FF00B050"/>
      <rgbColor rgb="FFD9D9D9"/>
      <rgbColor rgb="FF808080"/>
      <rgbColor rgb="FF9999FF"/>
      <rgbColor rgb="FF993366"/>
      <rgbColor rgb="FFFFECC7"/>
      <rgbColor rgb="FFCCFFFF"/>
      <rgbColor rgb="FF660066"/>
      <rgbColor rgb="FFFF8080"/>
      <rgbColor rgb="FF0070C0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E88E5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88E3C"/>
      <rgbColor rgb="FF003300"/>
      <rgbColor rgb="FF333300"/>
      <rgbColor rgb="FF993300"/>
      <rgbColor rgb="FF993366"/>
      <rgbColor rgb="FF333399"/>
      <rgbColor rgb="FF151F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barChart>
        <c:barDir val="bar"/>
        <c:grouping val="stacked"/>
        <c:varyColors val="0"/>
        <c:ser>
          <c:idx val="0"/>
          <c:order val="0"/>
          <c:tx>
            <c:strRef>
              <c:f>Summary!$C$37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chemeClr val="tx1"/>
                    </a:solidFill>
                    <a:uFillTx/>
                    <a:latin typeface="Calibri"/>
                    <a:ea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Summary!$B$38:$B$43</c:f>
              <c:strCache>
                <c:ptCount val="6"/>
                <c:pt idx="0">
                  <c:v>Trading price</c:v>
                </c:pt>
                <c:pt idx="1">
                  <c:v>EV/Revenue</c:v>
                </c:pt>
                <c:pt idx="2">
                  <c:v>EV/Ebitda</c:v>
                </c:pt>
                <c:pt idx="3">
                  <c:v>P/Sales</c:v>
                </c:pt>
                <c:pt idx="4">
                  <c:v>P/Earnings</c:v>
                </c:pt>
                <c:pt idx="5">
                  <c:v>DCF</c:v>
                </c:pt>
              </c:strCache>
            </c:strRef>
          </c:cat>
          <c:val>
            <c:numRef>
              <c:f>Summary!$C$38:$C$43</c:f>
              <c:numCache>
                <c:formatCode>0.00</c:formatCode>
                <c:ptCount val="6"/>
                <c:pt idx="0">
                  <c:v>172.290176124117</c:v>
                </c:pt>
                <c:pt idx="1">
                  <c:v>173.153157015133</c:v>
                </c:pt>
                <c:pt idx="2">
                  <c:v>190.397873971445</c:v>
                </c:pt>
                <c:pt idx="3">
                  <c:v>154.054735447312</c:v>
                </c:pt>
                <c:pt idx="4">
                  <c:v>232.135637830401</c:v>
                </c:pt>
                <c:pt idx="5">
                  <c:v>171.66344772509</c:v>
                </c:pt>
              </c:numCache>
            </c:numRef>
          </c:val>
        </c:ser>
        <c:ser>
          <c:idx val="1"/>
          <c:order val="1"/>
          <c:tx>
            <c:strRef>
              <c:f>Summary!$D$37</c:f>
              <c:strCache>
                <c:ptCount val="1"/>
                <c:pt idx="0">
                  <c:v>Length</c:v>
                </c:pt>
              </c:strCache>
            </c:strRef>
          </c:tx>
          <c:spPr>
            <a:ln w="76320">
              <a:solidFill>
                <a:schemeClr val="accent2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chemeClr val="tx1"/>
                    </a:solidFill>
                    <a:uFillTx/>
                    <a:latin typeface="Calibri"/>
                    <a:ea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Summary!$B$38:$B$43</c:f>
              <c:strCache>
                <c:ptCount val="6"/>
                <c:pt idx="0">
                  <c:v>Trading price</c:v>
                </c:pt>
                <c:pt idx="1">
                  <c:v>EV/Revenue</c:v>
                </c:pt>
                <c:pt idx="2">
                  <c:v>EV/Ebitda</c:v>
                </c:pt>
                <c:pt idx="3">
                  <c:v>P/Sales</c:v>
                </c:pt>
                <c:pt idx="4">
                  <c:v>P/Earnings</c:v>
                </c:pt>
                <c:pt idx="5">
                  <c:v>DCF</c:v>
                </c:pt>
              </c:strCache>
            </c:strRef>
          </c:cat>
          <c:val>
            <c:numRef>
              <c:f>Summary!$D$38:$D$43</c:f>
              <c:numCache>
                <c:formatCode>0.00</c:formatCode>
                <c:ptCount val="6"/>
                <c:pt idx="0">
                  <c:v>18.1358080130649</c:v>
                </c:pt>
                <c:pt idx="1">
                  <c:v>18.2266481068561</c:v>
                </c:pt>
                <c:pt idx="2">
                  <c:v>20.0418814706784</c:v>
                </c:pt>
                <c:pt idx="3">
                  <c:v>16.2162879418223</c:v>
                </c:pt>
                <c:pt idx="4">
                  <c:v>24.435330297937</c:v>
                </c:pt>
                <c:pt idx="5">
                  <c:v>18.069836602641</c:v>
                </c:pt>
              </c:numCache>
            </c:numRef>
          </c:val>
        </c:ser>
        <c:ser>
          <c:idx val="2"/>
          <c:order val="2"/>
          <c:tx>
            <c:strRef>
              <c:f>Summary!$E$37</c:f>
              <c:strCache>
                <c:ptCount val="1"/>
                <c:pt idx="0">
                  <c:v>End</c:v>
                </c:pt>
              </c:strCache>
            </c:strRef>
          </c:tx>
          <c:spPr>
            <a:noFill/>
            <a:ln w="2844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chemeClr val="tx1"/>
                    </a:solidFill>
                    <a:uFillTx/>
                    <a:latin typeface="Calibri"/>
                    <a:ea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Summary!$B$38:$B$43</c:f>
              <c:strCache>
                <c:ptCount val="6"/>
                <c:pt idx="0">
                  <c:v>Trading price</c:v>
                </c:pt>
                <c:pt idx="1">
                  <c:v>EV/Revenue</c:v>
                </c:pt>
                <c:pt idx="2">
                  <c:v>EV/Ebitda</c:v>
                </c:pt>
                <c:pt idx="3">
                  <c:v>P/Sales</c:v>
                </c:pt>
                <c:pt idx="4">
                  <c:v>P/Earnings</c:v>
                </c:pt>
                <c:pt idx="5">
                  <c:v>DCF</c:v>
                </c:pt>
              </c:strCache>
            </c:strRef>
          </c:cat>
          <c:val>
            <c:numRef>
              <c:f>Summary!$E$38:$E$43</c:f>
              <c:numCache>
                <c:formatCode>0.00</c:formatCode>
                <c:ptCount val="6"/>
                <c:pt idx="0">
                  <c:v>190.425984137182</c:v>
                </c:pt>
                <c:pt idx="1">
                  <c:v>191.379805121989</c:v>
                </c:pt>
                <c:pt idx="2">
                  <c:v>210.439755442123</c:v>
                </c:pt>
                <c:pt idx="3">
                  <c:v>170.271023389134</c:v>
                </c:pt>
                <c:pt idx="4">
                  <c:v>256.570968128338</c:v>
                </c:pt>
                <c:pt idx="5">
                  <c:v>189.733284327731</c:v>
                </c:pt>
              </c:numCache>
            </c:numRef>
          </c:val>
        </c:ser>
        <c:gapWidth val="150"/>
        <c:overlap val="100"/>
        <c:axId val="12674467"/>
        <c:axId val="46649090"/>
      </c:barChart>
      <c:catAx>
        <c:axId val="126744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  <a:ea typeface="Arial"/>
              </a:defRPr>
            </a:pPr>
          </a:p>
        </c:txPr>
        <c:crossAx val="46649090"/>
        <c:crosses val="autoZero"/>
        <c:auto val="1"/>
        <c:lblAlgn val="ctr"/>
        <c:lblOffset val="100"/>
        <c:noMultiLvlLbl val="0"/>
      </c:catAx>
      <c:valAx>
        <c:axId val="46649090"/>
        <c:scaling>
          <c:orientation val="minMax"/>
          <c:max val="250"/>
          <c:min val="100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low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  <a:ea typeface="Arial"/>
              </a:defRPr>
            </a:pPr>
          </a:p>
        </c:txPr>
        <c:crossAx val="126744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495000</xdr:colOff>
      <xdr:row>35</xdr:row>
      <xdr:rowOff>100800</xdr:rowOff>
    </xdr:from>
    <xdr:to>
      <xdr:col>5</xdr:col>
      <xdr:colOff>972720</xdr:colOff>
      <xdr:row>51</xdr:row>
      <xdr:rowOff>127800</xdr:rowOff>
    </xdr:to>
    <xdr:graphicFrame>
      <xdr:nvGraphicFramePr>
        <xdr:cNvPr id="1" name=""/>
        <xdr:cNvGraphicFramePr/>
      </xdr:nvGraphicFramePr>
      <xdr:xfrm>
        <a:off x="495000" y="6444360"/>
        <a:ext cx="5169240" cy="292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1484375" defaultRowHeight="14.25" customHeight="false" zeroHeight="false" outlineLevelRow="0" outlineLevelCol="0"/>
  <cols>
    <col collapsed="false" customWidth="false" hidden="false" outlineLevel="0" max="2" min="1" style="1" width="10.71"/>
    <col collapsed="false" customWidth="true" hidden="false" outlineLevel="0" max="4" min="3" style="1" width="20.71"/>
    <col collapsed="false" customWidth="false" hidden="false" outlineLevel="0" max="16384" min="5" style="1" width="10.71"/>
  </cols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>
      <c r="B4" s="2"/>
      <c r="C4" s="3"/>
      <c r="D4" s="3"/>
      <c r="E4" s="3"/>
      <c r="F4" s="4"/>
    </row>
    <row r="5" customFormat="false" ht="24.45" hidden="false" customHeight="false" outlineLevel="0" collapsed="false">
      <c r="B5" s="5"/>
      <c r="C5" s="6" t="s">
        <v>0</v>
      </c>
      <c r="D5" s="7"/>
      <c r="E5" s="7"/>
      <c r="F5" s="8"/>
    </row>
    <row r="6" customFormat="false" ht="19.7" hidden="false" customHeight="false" outlineLevel="0" collapsed="false">
      <c r="B6" s="5"/>
      <c r="C6" s="9" t="s">
        <v>1</v>
      </c>
      <c r="F6" s="8"/>
    </row>
    <row r="7" customFormat="false" ht="15" hidden="false" customHeight="false" outlineLevel="0" collapsed="false">
      <c r="B7" s="5"/>
      <c r="F7" s="8"/>
    </row>
    <row r="8" customFormat="false" ht="15" hidden="false" customHeight="false" outlineLevel="0" collapsed="false">
      <c r="B8" s="5"/>
      <c r="C8" s="10" t="s">
        <v>2</v>
      </c>
      <c r="D8" s="11" t="s">
        <v>0</v>
      </c>
      <c r="F8" s="8"/>
    </row>
    <row r="9" customFormat="false" ht="15" hidden="false" customHeight="false" outlineLevel="0" collapsed="false">
      <c r="B9" s="5"/>
      <c r="C9" s="12" t="s">
        <v>3</v>
      </c>
      <c r="D9" s="11" t="s">
        <v>4</v>
      </c>
      <c r="F9" s="8"/>
    </row>
    <row r="10" customFormat="false" ht="15" hidden="false" customHeight="false" outlineLevel="0" collapsed="false">
      <c r="B10" s="5"/>
      <c r="C10" s="12" t="s">
        <v>5</v>
      </c>
      <c r="D10" s="11" t="s">
        <v>6</v>
      </c>
      <c r="F10" s="8"/>
    </row>
    <row r="11" customFormat="false" ht="15" hidden="false" customHeight="false" outlineLevel="0" collapsed="false">
      <c r="B11" s="5"/>
      <c r="C11" s="12" t="s">
        <v>7</v>
      </c>
      <c r="D11" s="13" t="n">
        <v>46235</v>
      </c>
      <c r="F11" s="8"/>
    </row>
    <row r="12" customFormat="false" ht="15" hidden="false" customHeight="false" outlineLevel="0" collapsed="false">
      <c r="B12" s="5"/>
      <c r="C12" s="12" t="s">
        <v>8</v>
      </c>
      <c r="D12" s="11" t="n">
        <v>187.74</v>
      </c>
      <c r="F12" s="8"/>
    </row>
    <row r="13" customFormat="false" ht="15" hidden="false" customHeight="false" outlineLevel="0" collapsed="false">
      <c r="B13" s="14"/>
      <c r="C13" s="15"/>
      <c r="D13" s="15"/>
      <c r="E13" s="15"/>
      <c r="F13" s="16"/>
    </row>
    <row r="14" customFormat="false" ht="16.5" hidden="false" customHeight="false" outlineLevel="0" collapsed="false">
      <c r="C14" s="17"/>
    </row>
    <row r="15" customFormat="false" ht="16.5" hidden="false" customHeight="false" outlineLevel="0" collapsed="false">
      <c r="C15" s="17"/>
    </row>
    <row r="16" customFormat="false" ht="16.5" hidden="false" customHeight="false" outlineLevel="0" collapsed="false">
      <c r="C16" s="17"/>
    </row>
    <row r="17" customFormat="false" ht="16.5" hidden="false" customHeight="false" outlineLevel="0" collapsed="false">
      <c r="C17" s="17"/>
    </row>
    <row r="18" customFormat="false" ht="14.25" hidden="false" customHeight="false" outlineLevel="0" collapsed="false">
      <c r="C18" s="17"/>
    </row>
    <row r="19" customFormat="false" ht="14.25" hidden="false" customHeight="false" outlineLevel="0" collapsed="false">
      <c r="C19" s="18"/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7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1" activeCellId="0" sqref="A1"/>
    </sheetView>
  </sheetViews>
  <sheetFormatPr defaultColWidth="14.71484375" defaultRowHeight="14.25" customHeight="false" zeroHeight="false" outlineLevelRow="0" outlineLevelCol="0"/>
  <cols>
    <col collapsed="false" customWidth="true" hidden="false" outlineLevel="0" max="1" min="1" style="19" width="7.71"/>
    <col collapsed="false" customWidth="false" hidden="false" outlineLevel="0" max="16384" min="2" style="20" width="14.71"/>
  </cols>
  <sheetData>
    <row r="1" s="22" customFormat="true" ht="14.25" hidden="false" customHeight="false" outlineLevel="0" collapsed="false">
      <c r="A1" s="21"/>
    </row>
    <row r="2" s="22" customFormat="true" ht="15" hidden="false" customHeight="false" outlineLevel="0" collapsed="false">
      <c r="A2" s="21"/>
      <c r="B2" s="23" t="s">
        <v>9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3" s="22" customFormat="true" ht="14.25" hidden="false" customHeight="false" outlineLevel="0" collapsed="false">
      <c r="A3" s="21"/>
    </row>
    <row r="5" customFormat="false" ht="14.25" hidden="false" customHeight="false" outlineLevel="0" collapsed="false">
      <c r="A5" s="25" t="s">
        <v>10</v>
      </c>
      <c r="B5" s="22" t="s">
        <v>11</v>
      </c>
      <c r="C5" s="22"/>
      <c r="D5" s="22"/>
      <c r="E5" s="22"/>
      <c r="F5" s="22"/>
    </row>
    <row r="7" customFormat="false" ht="14.25" hidden="false" customHeight="false" outlineLevel="0" collapsed="false">
      <c r="B7" s="26" t="s">
        <v>2</v>
      </c>
      <c r="C7" s="27" t="str">
        <f aca="false">Cover!D8</f>
        <v>Simpson Manufacturing</v>
      </c>
    </row>
    <row r="8" customFormat="false" ht="14.25" hidden="false" customHeight="false" outlineLevel="0" collapsed="false">
      <c r="B8" s="26" t="s">
        <v>3</v>
      </c>
      <c r="C8" s="27" t="str">
        <f aca="false">Cover!D9</f>
        <v>SSD</v>
      </c>
    </row>
    <row r="9" customFormat="false" ht="14.25" hidden="false" customHeight="false" outlineLevel="0" collapsed="false">
      <c r="B9" s="26" t="s">
        <v>5</v>
      </c>
      <c r="C9" s="20" t="str">
        <f aca="false">Cover!D10</f>
        <v>Industrials</v>
      </c>
    </row>
    <row r="10" customFormat="false" ht="14.25" hidden="false" customHeight="false" outlineLevel="0" collapsed="false">
      <c r="B10" s="26" t="s">
        <v>7</v>
      </c>
      <c r="C10" s="28" t="n">
        <f aca="false">Cover!D11</f>
        <v>46235</v>
      </c>
      <c r="F10" s="29"/>
    </row>
    <row r="11" customFormat="false" ht="14.25" hidden="false" customHeight="false" outlineLevel="0" collapsed="false">
      <c r="B11" s="26" t="s">
        <v>8</v>
      </c>
      <c r="C11" s="27" t="n">
        <f aca="false">Cover!D12</f>
        <v>187.74</v>
      </c>
      <c r="E11" s="26"/>
      <c r="F11" s="30"/>
    </row>
    <row r="13" customFormat="false" ht="14.25" hidden="false" customHeight="false" outlineLevel="0" collapsed="false">
      <c r="A13" s="25" t="s">
        <v>10</v>
      </c>
      <c r="B13" s="22" t="s">
        <v>9</v>
      </c>
      <c r="C13" s="22"/>
      <c r="D13" s="22"/>
      <c r="E13" s="22"/>
      <c r="F13" s="22"/>
    </row>
    <row r="15" customFormat="false" ht="14.25" hidden="false" customHeight="false" outlineLevel="0" collapsed="false">
      <c r="B15" s="31" t="s">
        <v>12</v>
      </c>
      <c r="C15" s="31"/>
      <c r="D15" s="32" t="s">
        <v>13</v>
      </c>
      <c r="E15" s="33" t="s">
        <v>14</v>
      </c>
      <c r="F15" s="33"/>
    </row>
    <row r="16" customFormat="false" ht="14.25" hidden="false" customHeight="false" outlineLevel="0" collapsed="false">
      <c r="B16" s="20" t="s">
        <v>15</v>
      </c>
      <c r="D16" s="34" t="n">
        <v>2421.897984</v>
      </c>
      <c r="E16" s="35" t="s">
        <v>16</v>
      </c>
      <c r="F16" s="20" t="s">
        <v>17</v>
      </c>
    </row>
    <row r="17" customFormat="false" ht="14.25" hidden="false" customHeight="false" outlineLevel="0" collapsed="false">
      <c r="B17" s="36" t="s">
        <v>18</v>
      </c>
      <c r="C17" s="37"/>
      <c r="D17" s="38"/>
    </row>
    <row r="18" customFormat="false" ht="14.25" hidden="false" customHeight="false" outlineLevel="0" collapsed="false">
      <c r="B18" s="20" t="s">
        <v>19</v>
      </c>
      <c r="D18" s="34" t="n">
        <v>579.369024</v>
      </c>
      <c r="E18" s="35" t="s">
        <v>16</v>
      </c>
    </row>
    <row r="19" customFormat="false" ht="14.25" hidden="false" customHeight="false" outlineLevel="0" collapsed="false">
      <c r="B19" s="36" t="s">
        <v>20</v>
      </c>
      <c r="C19" s="37"/>
      <c r="D19" s="38" t="n">
        <f aca="false">D18/$D$16</f>
        <v>0.239221068693866</v>
      </c>
    </row>
    <row r="20" customFormat="false" ht="14.25" hidden="false" customHeight="false" outlineLevel="0" collapsed="false">
      <c r="B20" s="20" t="s">
        <v>21</v>
      </c>
      <c r="D20" s="34" t="n">
        <v>378.916</v>
      </c>
      <c r="E20" s="35" t="s">
        <v>16</v>
      </c>
    </row>
    <row r="21" customFormat="false" ht="14.25" hidden="false" customHeight="false" outlineLevel="0" collapsed="false">
      <c r="B21" s="35" t="s">
        <v>20</v>
      </c>
      <c r="D21" s="38" t="n">
        <f aca="false">D20/$D$16</f>
        <v>0.156454153933513</v>
      </c>
    </row>
    <row r="22" customFormat="false" ht="14.25" hidden="false" customHeight="false" outlineLevel="0" collapsed="false">
      <c r="D22" s="39"/>
    </row>
    <row r="23" customFormat="false" ht="14.25" hidden="false" customHeight="false" outlineLevel="0" collapsed="false">
      <c r="B23" s="20" t="s">
        <v>22</v>
      </c>
      <c r="D23" s="40" t="n">
        <v>0.01</v>
      </c>
      <c r="E23" s="35" t="s">
        <v>23</v>
      </c>
      <c r="G23" s="20" t="s">
        <v>17</v>
      </c>
    </row>
    <row r="24" customFormat="false" ht="14.25" hidden="false" customHeight="false" outlineLevel="0" collapsed="false">
      <c r="B24" s="20" t="s">
        <v>24</v>
      </c>
      <c r="D24" s="40" t="n">
        <v>0.25</v>
      </c>
      <c r="E24" s="35" t="s">
        <v>25</v>
      </c>
    </row>
    <row r="25" customFormat="false" ht="14.25" hidden="false" customHeight="false" outlineLevel="0" collapsed="false">
      <c r="D25" s="39"/>
    </row>
    <row r="26" customFormat="false" ht="14.25" hidden="false" customHeight="false" outlineLevel="0" collapsed="false">
      <c r="B26" s="20" t="s">
        <v>26</v>
      </c>
      <c r="D26" s="34" t="n">
        <v>481.739008</v>
      </c>
      <c r="E26" s="35" t="s">
        <v>16</v>
      </c>
    </row>
    <row r="27" customFormat="false" ht="14.25" hidden="false" customHeight="false" outlineLevel="0" collapsed="false">
      <c r="B27" s="20" t="s">
        <v>27</v>
      </c>
      <c r="D27" s="34" t="n">
        <v>341.004992</v>
      </c>
      <c r="E27" s="35" t="s">
        <v>16</v>
      </c>
    </row>
    <row r="28" customFormat="false" ht="14.25" hidden="false" customHeight="false" outlineLevel="0" collapsed="false">
      <c r="D28" s="39"/>
    </row>
    <row r="29" customFormat="false" ht="14.25" hidden="false" customHeight="false" outlineLevel="0" collapsed="false">
      <c r="B29" s="20" t="s">
        <v>28</v>
      </c>
      <c r="D29" s="41" t="n">
        <v>187.74</v>
      </c>
      <c r="E29" s="35" t="s">
        <v>16</v>
      </c>
    </row>
    <row r="30" customFormat="false" ht="14.25" hidden="false" customHeight="false" outlineLevel="0" collapsed="false">
      <c r="B30" s="20" t="s">
        <v>29</v>
      </c>
      <c r="D30" s="34" t="n">
        <v>41.138325</v>
      </c>
      <c r="E30" s="35" t="s">
        <v>16</v>
      </c>
    </row>
    <row r="31" customFormat="false" ht="14.25" hidden="false" customHeight="false" outlineLevel="0" collapsed="false">
      <c r="B31" s="20" t="s">
        <v>30</v>
      </c>
      <c r="D31" s="34" t="n">
        <v>7905.551872</v>
      </c>
      <c r="E31" s="35" t="s">
        <v>16</v>
      </c>
    </row>
    <row r="32" customFormat="false" ht="14.25" hidden="false" customHeight="false" outlineLevel="0" collapsed="false">
      <c r="B32" s="20" t="s">
        <v>31</v>
      </c>
      <c r="D32" s="42" t="n">
        <v>1.32</v>
      </c>
      <c r="E32" s="35" t="s">
        <v>16</v>
      </c>
    </row>
    <row r="33" customFormat="false" ht="14.25" hidden="false" customHeight="false" outlineLevel="0" collapsed="false">
      <c r="D33" s="39"/>
    </row>
    <row r="34" customFormat="false" ht="14.25" hidden="false" customHeight="false" outlineLevel="0" collapsed="false">
      <c r="B34" s="20" t="s">
        <v>32</v>
      </c>
      <c r="D34" s="40" t="n">
        <v>0.035</v>
      </c>
      <c r="E34" s="35" t="s">
        <v>33</v>
      </c>
      <c r="G34" s="20" t="s">
        <v>17</v>
      </c>
    </row>
    <row r="35" customFormat="false" ht="14.25" hidden="false" customHeight="false" outlineLevel="0" collapsed="false">
      <c r="B35" s="20" t="s">
        <v>34</v>
      </c>
      <c r="D35" s="40" t="n">
        <v>0.05</v>
      </c>
      <c r="E35" s="35" t="s">
        <v>33</v>
      </c>
      <c r="G35" s="20" t="s">
        <v>17</v>
      </c>
    </row>
    <row r="37" customFormat="false" ht="14.25" hidden="false" customHeight="false" outlineLevel="0" collapsed="false">
      <c r="A37" s="25" t="s">
        <v>10</v>
      </c>
      <c r="B37" s="22" t="s">
        <v>35</v>
      </c>
      <c r="C37" s="22"/>
      <c r="D37" s="22"/>
      <c r="E37" s="22"/>
      <c r="F37" s="2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4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1" activeCellId="0" sqref="A1"/>
    </sheetView>
  </sheetViews>
  <sheetFormatPr defaultColWidth="14.71484375" defaultRowHeight="14.25" customHeight="false" zeroHeight="false" outlineLevelRow="0" outlineLevelCol="0"/>
  <cols>
    <col collapsed="false" customWidth="true" hidden="false" outlineLevel="0" max="1" min="1" style="25" width="7.71"/>
    <col collapsed="false" customWidth="false" hidden="false" outlineLevel="0" max="16384" min="2" style="20" width="14.71"/>
  </cols>
  <sheetData>
    <row r="1" s="22" customFormat="true" ht="14.25" hidden="false" customHeight="false" outlineLevel="0" collapsed="false">
      <c r="A1" s="21"/>
    </row>
    <row r="2" s="22" customFormat="true" ht="15" hidden="false" customHeight="false" outlineLevel="0" collapsed="false">
      <c r="A2" s="21"/>
      <c r="B2" s="23" t="s">
        <v>36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="22" customFormat="true" ht="14.25" hidden="false" customHeight="false" outlineLevel="0" collapsed="false">
      <c r="A3" s="21"/>
    </row>
    <row r="5" customFormat="false" ht="14.25" hidden="false" customHeight="false" outlineLevel="0" collapsed="false">
      <c r="A5" s="25" t="s">
        <v>10</v>
      </c>
      <c r="B5" s="22" t="s">
        <v>11</v>
      </c>
      <c r="C5" s="22"/>
      <c r="D5" s="22"/>
      <c r="E5" s="22"/>
      <c r="F5" s="22"/>
    </row>
    <row r="7" customFormat="false" ht="14.25" hidden="false" customHeight="false" outlineLevel="0" collapsed="false">
      <c r="B7" s="26" t="s">
        <v>2</v>
      </c>
      <c r="C7" s="43" t="str">
        <f aca="false">Cover!D8</f>
        <v>Simpson Manufacturing</v>
      </c>
    </row>
    <row r="8" customFormat="false" ht="14.25" hidden="false" customHeight="false" outlineLevel="0" collapsed="false">
      <c r="B8" s="26" t="s">
        <v>3</v>
      </c>
      <c r="C8" s="43" t="str">
        <f aca="false">Cover!D9</f>
        <v>SSD</v>
      </c>
      <c r="H8" s="25"/>
    </row>
    <row r="9" customFormat="false" ht="14.25" hidden="false" customHeight="false" outlineLevel="0" collapsed="false">
      <c r="B9" s="26" t="s">
        <v>5</v>
      </c>
      <c r="C9" s="44" t="str">
        <f aca="false">Cover!D10</f>
        <v>Industrials</v>
      </c>
    </row>
    <row r="10" customFormat="false" ht="14.25" hidden="false" customHeight="false" outlineLevel="0" collapsed="false">
      <c r="B10" s="26" t="s">
        <v>7</v>
      </c>
      <c r="C10" s="45" t="n">
        <f aca="false">Cover!D11</f>
        <v>46235</v>
      </c>
      <c r="H10" s="29"/>
    </row>
    <row r="11" customFormat="false" ht="14.25" hidden="false" customHeight="false" outlineLevel="0" collapsed="false">
      <c r="B11" s="26" t="s">
        <v>8</v>
      </c>
      <c r="C11" s="43" t="n">
        <f aca="false">Cover!D12</f>
        <v>187.74</v>
      </c>
      <c r="H11" s="46"/>
    </row>
    <row r="12" customFormat="false" ht="14.25" hidden="false" customHeight="false" outlineLevel="0" collapsed="false">
      <c r="B12" s="26"/>
      <c r="C12" s="27"/>
    </row>
    <row r="13" customFormat="false" ht="14.25" hidden="false" customHeight="false" outlineLevel="0" collapsed="false">
      <c r="A13" s="25" t="s">
        <v>10</v>
      </c>
      <c r="B13" s="22" t="s">
        <v>37</v>
      </c>
      <c r="C13" s="22"/>
      <c r="D13" s="22"/>
      <c r="E13" s="22"/>
      <c r="F13" s="22"/>
    </row>
    <row r="15" customFormat="false" ht="14.25" hidden="false" customHeight="false" outlineLevel="0" collapsed="false">
      <c r="B15" s="47" t="s">
        <v>38</v>
      </c>
      <c r="C15" s="48" t="s">
        <v>39</v>
      </c>
      <c r="D15" s="48" t="s">
        <v>40</v>
      </c>
    </row>
    <row r="16" customFormat="false" ht="14.25" hidden="false" customHeight="false" outlineLevel="0" collapsed="false">
      <c r="B16" s="20" t="s">
        <v>41</v>
      </c>
      <c r="C16" s="49" t="n">
        <f aca="false">E33</f>
        <v>196.775395785742</v>
      </c>
      <c r="D16" s="46" t="n">
        <f aca="false">C16/$C$11-1</f>
        <v>0.04812717474029</v>
      </c>
    </row>
    <row r="17" customFormat="false" ht="14.25" hidden="false" customHeight="false" outlineLevel="0" collapsed="false">
      <c r="B17" s="50" t="s">
        <v>42</v>
      </c>
      <c r="C17" s="51" t="n">
        <f aca="false">D33</f>
        <v>187.405138843564</v>
      </c>
      <c r="D17" s="52" t="n">
        <f aca="false">C17/$C$11-1</f>
        <v>-0.00178364310448575</v>
      </c>
    </row>
    <row r="18" customFormat="false" ht="14.25" hidden="false" customHeight="false" outlineLevel="0" collapsed="false">
      <c r="B18" s="20" t="s">
        <v>43</v>
      </c>
      <c r="C18" s="49" t="n">
        <f aca="false">C33</f>
        <v>178.034881901386</v>
      </c>
      <c r="D18" s="53" t="n">
        <f aca="false">C18/$C$11-1</f>
        <v>-0.0516944609492613</v>
      </c>
    </row>
    <row r="20" customFormat="false" ht="14.25" hidden="false" customHeight="false" outlineLevel="0" collapsed="false">
      <c r="A20" s="25" t="s">
        <v>10</v>
      </c>
      <c r="B20" s="22" t="s">
        <v>44</v>
      </c>
      <c r="C20" s="22"/>
      <c r="D20" s="22"/>
      <c r="E20" s="22"/>
      <c r="F20" s="22"/>
    </row>
    <row r="22" customFormat="false" ht="14.25" hidden="false" customHeight="false" outlineLevel="0" collapsed="false">
      <c r="C22" s="54"/>
      <c r="D22" s="55" t="s">
        <v>45</v>
      </c>
      <c r="E22" s="54"/>
    </row>
    <row r="23" customFormat="false" ht="14.25" hidden="false" customHeight="false" outlineLevel="0" collapsed="false">
      <c r="B23" s="31" t="s">
        <v>46</v>
      </c>
      <c r="C23" s="48" t="s">
        <v>47</v>
      </c>
      <c r="D23" s="48" t="s">
        <v>48</v>
      </c>
      <c r="E23" s="48" t="s">
        <v>49</v>
      </c>
      <c r="F23" s="48" t="s">
        <v>50</v>
      </c>
    </row>
    <row r="24" customFormat="false" ht="14.25" hidden="false" customHeight="false" outlineLevel="0" collapsed="false">
      <c r="B24" s="20" t="s">
        <v>51</v>
      </c>
      <c r="C24" s="56" t="n">
        <f aca="false">TP!C16</f>
        <v>172.290176124117</v>
      </c>
      <c r="D24" s="57" t="n">
        <f aca="false">TP!D16</f>
        <v>181.358080130649</v>
      </c>
      <c r="E24" s="56" t="n">
        <f aca="false">TP!E16</f>
        <v>190.425984137182</v>
      </c>
      <c r="F24" s="58" t="n">
        <v>0.1</v>
      </c>
    </row>
    <row r="25" customFormat="false" ht="14.25" hidden="false" customHeight="false" outlineLevel="0" collapsed="false">
      <c r="B25" s="20" t="s">
        <v>52</v>
      </c>
      <c r="C25" s="56" t="n">
        <f aca="false">MLTP!C16</f>
        <v>173.153157015133</v>
      </c>
      <c r="D25" s="57" t="n">
        <f aca="false">MLTP!D16</f>
        <v>182.266481068561</v>
      </c>
      <c r="E25" s="56" t="n">
        <f aca="false">MLTP!E16</f>
        <v>191.379805121989</v>
      </c>
      <c r="F25" s="59" t="n">
        <v>0.1</v>
      </c>
    </row>
    <row r="26" customFormat="false" ht="14.25" hidden="false" customHeight="false" outlineLevel="0" collapsed="false">
      <c r="B26" s="20" t="s">
        <v>53</v>
      </c>
      <c r="C26" s="56" t="n">
        <f aca="false">MLTP!C17</f>
        <v>190.397873971445</v>
      </c>
      <c r="D26" s="57" t="n">
        <f aca="false">MLTP!D17</f>
        <v>200.418814706784</v>
      </c>
      <c r="E26" s="56" t="n">
        <f aca="false">MLTP!E17</f>
        <v>210.439755442123</v>
      </c>
      <c r="F26" s="59" t="n">
        <v>0.1</v>
      </c>
    </row>
    <row r="27" customFormat="false" ht="14.25" hidden="false" customHeight="false" outlineLevel="0" collapsed="false">
      <c r="B27" s="20" t="s">
        <v>54</v>
      </c>
      <c r="C27" s="56" t="n">
        <f aca="false">MLTP!C18</f>
        <v>154.054735447312</v>
      </c>
      <c r="D27" s="57" t="n">
        <f aca="false">MLTP!D18</f>
        <v>162.162879418223</v>
      </c>
      <c r="E27" s="56" t="n">
        <f aca="false">MLTP!E18</f>
        <v>170.271023389134</v>
      </c>
      <c r="F27" s="59" t="n">
        <v>0.1</v>
      </c>
    </row>
    <row r="28" customFormat="false" ht="14.25" hidden="false" customHeight="false" outlineLevel="0" collapsed="false">
      <c r="B28" s="20" t="s">
        <v>55</v>
      </c>
      <c r="C28" s="56" t="n">
        <f aca="false">MLTP!C19</f>
        <v>232.135637830401</v>
      </c>
      <c r="D28" s="57" t="n">
        <f aca="false">MLTP!D19</f>
        <v>244.35330297937</v>
      </c>
      <c r="E28" s="56" t="n">
        <f aca="false">MLTP!E19</f>
        <v>256.570968128338</v>
      </c>
      <c r="F28" s="59" t="n">
        <v>0.1</v>
      </c>
    </row>
    <row r="29" customFormat="false" ht="14.25" hidden="false" customHeight="false" outlineLevel="0" collapsed="false">
      <c r="B29" s="20" t="s">
        <v>56</v>
      </c>
      <c r="C29" s="56" t="n">
        <f aca="false">DCF!C16</f>
        <v>171.66344772509</v>
      </c>
      <c r="D29" s="57" t="n">
        <f aca="false">DCF!D16</f>
        <v>180.69836602641</v>
      </c>
      <c r="E29" s="56" t="n">
        <f aca="false">DCF!E16</f>
        <v>189.733284327731</v>
      </c>
      <c r="F29" s="59" t="n">
        <v>0.5</v>
      </c>
    </row>
    <row r="30" customFormat="false" ht="14.25" hidden="false" customHeight="false" outlineLevel="0" collapsed="false">
      <c r="C30" s="60"/>
      <c r="D30" s="60"/>
      <c r="E30" s="60"/>
    </row>
    <row r="31" customFormat="false" ht="14.25" hidden="false" customHeight="false" outlineLevel="0" collapsed="false">
      <c r="B31" s="61" t="s">
        <v>57</v>
      </c>
      <c r="C31" s="62" t="n">
        <f aca="false">AVERAGE(C$24:C$29)</f>
        <v>182.282504685583</v>
      </c>
      <c r="D31" s="63" t="n">
        <f aca="false">AVERAGE(D$24:D$29)</f>
        <v>191.876320721666</v>
      </c>
      <c r="E31" s="62" t="n">
        <f aca="false">AVERAGE(E$24:E$29)</f>
        <v>201.47013675775</v>
      </c>
      <c r="F31" s="64"/>
    </row>
    <row r="32" customFormat="false" ht="14.25" hidden="false" customHeight="false" outlineLevel="0" collapsed="false">
      <c r="B32" s="65" t="s">
        <v>58</v>
      </c>
      <c r="C32" s="66" t="n">
        <f aca="false">MEDIAN(C$24:C$29)</f>
        <v>172.721666569625</v>
      </c>
      <c r="D32" s="67" t="n">
        <f aca="false">MEDIAN(D$24:D$29)</f>
        <v>181.812280599605</v>
      </c>
      <c r="E32" s="66" t="n">
        <f aca="false">MEDIAN(E$24:E$29)</f>
        <v>190.902894629586</v>
      </c>
      <c r="F32" s="68"/>
    </row>
    <row r="33" customFormat="false" ht="14.25" hidden="false" customHeight="false" outlineLevel="0" collapsed="false">
      <c r="B33" s="69" t="s">
        <v>59</v>
      </c>
      <c r="C33" s="70" t="n">
        <f aca="false">SUMPRODUCT(C24:C29,$F$24:$F$29)</f>
        <v>178.034881901386</v>
      </c>
      <c r="D33" s="71" t="n">
        <f aca="false">SUMPRODUCT(D24:D29,F24:F29)</f>
        <v>187.405138843564</v>
      </c>
      <c r="E33" s="70" t="n">
        <f aca="false">SUMPRODUCT(E24:E29,$F$24:$F$29)</f>
        <v>196.775395785742</v>
      </c>
      <c r="F33" s="72"/>
    </row>
    <row r="35" customFormat="false" ht="14.25" hidden="false" customHeight="false" outlineLevel="0" collapsed="false">
      <c r="A35" s="25" t="s">
        <v>10</v>
      </c>
      <c r="B35" s="22" t="s">
        <v>60</v>
      </c>
      <c r="C35" s="22"/>
      <c r="D35" s="22"/>
      <c r="E35" s="22"/>
      <c r="F35" s="22"/>
    </row>
    <row r="37" customFormat="false" ht="14.25" hidden="false" customHeight="false" outlineLevel="0" collapsed="false">
      <c r="B37" s="73" t="s">
        <v>46</v>
      </c>
      <c r="C37" s="74" t="s">
        <v>61</v>
      </c>
      <c r="D37" s="74" t="s">
        <v>62</v>
      </c>
      <c r="E37" s="74" t="s">
        <v>35</v>
      </c>
      <c r="F37" s="74"/>
      <c r="I37" s="75"/>
      <c r="J37" s="75"/>
      <c r="K37" s="75"/>
    </row>
    <row r="38" customFormat="false" ht="14.25" hidden="false" customHeight="false" outlineLevel="0" collapsed="false">
      <c r="B38" s="20" t="str">
        <f aca="false">B24</f>
        <v>Trading price</v>
      </c>
      <c r="C38" s="76" t="n">
        <f aca="false">C24</f>
        <v>172.290176124117</v>
      </c>
      <c r="D38" s="76" t="n">
        <f aca="false">E24-C24</f>
        <v>18.1358080130649</v>
      </c>
      <c r="E38" s="76" t="n">
        <f aca="false">C38+D38</f>
        <v>190.425984137182</v>
      </c>
      <c r="F38" s="76"/>
      <c r="I38" s="77"/>
      <c r="J38" s="77"/>
      <c r="K38" s="77"/>
    </row>
    <row r="39" customFormat="false" ht="14.25" hidden="false" customHeight="false" outlineLevel="0" collapsed="false">
      <c r="B39" s="20" t="str">
        <f aca="false">B25</f>
        <v>EV/Revenue</v>
      </c>
      <c r="C39" s="76" t="n">
        <f aca="false">C25</f>
        <v>173.153157015133</v>
      </c>
      <c r="D39" s="76" t="n">
        <f aca="false">E25-C25</f>
        <v>18.2266481068561</v>
      </c>
      <c r="E39" s="76" t="n">
        <f aca="false">C39+D39</f>
        <v>191.379805121989</v>
      </c>
      <c r="F39" s="76"/>
      <c r="I39" s="77"/>
      <c r="J39" s="77"/>
      <c r="K39" s="77"/>
    </row>
    <row r="40" customFormat="false" ht="14.25" hidden="false" customHeight="false" outlineLevel="0" collapsed="false">
      <c r="B40" s="20" t="str">
        <f aca="false">B26</f>
        <v>EV/Ebitda</v>
      </c>
      <c r="C40" s="76" t="n">
        <f aca="false">C26</f>
        <v>190.397873971445</v>
      </c>
      <c r="D40" s="76" t="n">
        <f aca="false">E26-C26</f>
        <v>20.0418814706784</v>
      </c>
      <c r="E40" s="76" t="n">
        <f aca="false">C40+D40</f>
        <v>210.439755442123</v>
      </c>
      <c r="F40" s="76"/>
      <c r="I40" s="77"/>
      <c r="J40" s="77"/>
      <c r="K40" s="77"/>
    </row>
    <row r="41" customFormat="false" ht="14.25" hidden="false" customHeight="false" outlineLevel="0" collapsed="false">
      <c r="B41" s="20" t="str">
        <f aca="false">B27</f>
        <v>P/Sales</v>
      </c>
      <c r="C41" s="76" t="n">
        <f aca="false">C27</f>
        <v>154.054735447312</v>
      </c>
      <c r="D41" s="76" t="n">
        <f aca="false">E27-C27</f>
        <v>16.2162879418223</v>
      </c>
      <c r="E41" s="76" t="n">
        <f aca="false">C41+D41</f>
        <v>170.271023389134</v>
      </c>
      <c r="F41" s="76"/>
      <c r="I41" s="77"/>
      <c r="J41" s="77"/>
      <c r="K41" s="77"/>
    </row>
    <row r="42" customFormat="false" ht="14.25" hidden="false" customHeight="false" outlineLevel="0" collapsed="false">
      <c r="B42" s="20" t="str">
        <f aca="false">B28</f>
        <v>P/Earnings</v>
      </c>
      <c r="C42" s="76" t="n">
        <f aca="false">C28</f>
        <v>232.135637830401</v>
      </c>
      <c r="D42" s="76" t="n">
        <f aca="false">E28-C28</f>
        <v>24.435330297937</v>
      </c>
      <c r="E42" s="76" t="n">
        <f aca="false">C42+D42</f>
        <v>256.570968128338</v>
      </c>
      <c r="F42" s="76"/>
      <c r="I42" s="77"/>
      <c r="J42" s="77"/>
      <c r="K42" s="77"/>
    </row>
    <row r="43" customFormat="false" ht="14.25" hidden="false" customHeight="false" outlineLevel="0" collapsed="false">
      <c r="B43" s="20" t="str">
        <f aca="false">B29</f>
        <v>DCF</v>
      </c>
      <c r="C43" s="76" t="n">
        <f aca="false">C29</f>
        <v>171.66344772509</v>
      </c>
      <c r="D43" s="76" t="n">
        <f aca="false">E29-C29</f>
        <v>18.069836602641</v>
      </c>
      <c r="E43" s="76" t="n">
        <f aca="false">C43+D43</f>
        <v>189.733284327731</v>
      </c>
      <c r="F43" s="76"/>
      <c r="I43" s="77"/>
      <c r="J43" s="77"/>
      <c r="K43" s="77"/>
    </row>
    <row r="45" customFormat="false" ht="14.25" hidden="false" customHeight="false" outlineLevel="0" collapsed="false">
      <c r="B45" s="78" t="s">
        <v>63</v>
      </c>
      <c r="C45" s="73"/>
    </row>
    <row r="46" customFormat="false" ht="14.25" hidden="false" customHeight="false" outlineLevel="0" collapsed="false">
      <c r="B46" s="37" t="s">
        <v>64</v>
      </c>
      <c r="C46" s="79" t="n">
        <f aca="false">ROUNDDOWN(MIN(C38:C43),-1)-10</f>
        <v>140</v>
      </c>
    </row>
    <row r="47" customFormat="false" ht="14.25" hidden="false" customHeight="false" outlineLevel="0" collapsed="false">
      <c r="B47" s="37" t="s">
        <v>65</v>
      </c>
      <c r="C47" s="79" t="n">
        <f aca="false">ROUNDUP(MAX(E38:E43),-1)+10</f>
        <v>270</v>
      </c>
    </row>
    <row r="54" customFormat="false" ht="14.25" hidden="false" customHeight="false" outlineLevel="0" collapsed="false">
      <c r="A54" s="25" t="s">
        <v>10</v>
      </c>
      <c r="B54" s="22" t="s">
        <v>35</v>
      </c>
      <c r="C54" s="22"/>
      <c r="D54" s="22"/>
      <c r="E54" s="22"/>
      <c r="F54" s="2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71484375" defaultRowHeight="14.25" customHeight="false" zeroHeight="false" outlineLevelRow="0" outlineLevelCol="0"/>
  <cols>
    <col collapsed="false" customWidth="true" hidden="false" outlineLevel="0" max="1" min="1" style="25" width="7.71"/>
    <col collapsed="false" customWidth="false" hidden="false" outlineLevel="0" max="16384" min="2" style="20" width="14.71"/>
  </cols>
  <sheetData>
    <row r="1" s="22" customFormat="true" ht="14.25" hidden="false" customHeight="false" outlineLevel="0" collapsed="false">
      <c r="A1" s="21"/>
    </row>
    <row r="2" s="22" customFormat="true" ht="15" hidden="false" customHeight="false" outlineLevel="0" collapsed="false">
      <c r="A2" s="21"/>
      <c r="B2" s="23" t="s">
        <v>66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="22" customFormat="true" ht="14.25" hidden="false" customHeight="false" outlineLevel="0" collapsed="false">
      <c r="A3" s="21"/>
    </row>
    <row r="5" customFormat="false" ht="14.25" hidden="false" customHeight="false" outlineLevel="0" collapsed="false">
      <c r="A5" s="25" t="s">
        <v>10</v>
      </c>
      <c r="B5" s="22" t="s">
        <v>11</v>
      </c>
      <c r="C5" s="22"/>
      <c r="D5" s="22"/>
      <c r="E5" s="22"/>
      <c r="F5" s="22"/>
    </row>
    <row r="7" customFormat="false" ht="14.25" hidden="false" customHeight="false" outlineLevel="0" collapsed="false">
      <c r="B7" s="26" t="s">
        <v>2</v>
      </c>
      <c r="C7" s="27" t="str">
        <f aca="false">Cover!D8</f>
        <v>Simpson Manufacturing</v>
      </c>
    </row>
    <row r="8" customFormat="false" ht="14.25" hidden="false" customHeight="false" outlineLevel="0" collapsed="false">
      <c r="B8" s="26" t="s">
        <v>3</v>
      </c>
      <c r="C8" s="27" t="str">
        <f aca="false">Cover!D9</f>
        <v>SSD</v>
      </c>
    </row>
    <row r="9" customFormat="false" ht="14.25" hidden="false" customHeight="false" outlineLevel="0" collapsed="false">
      <c r="B9" s="26" t="s">
        <v>5</v>
      </c>
      <c r="C9" s="20" t="str">
        <f aca="false">Cover!D10</f>
        <v>Industrials</v>
      </c>
    </row>
    <row r="10" customFormat="false" ht="14.25" hidden="false" customHeight="false" outlineLevel="0" collapsed="false">
      <c r="B10" s="26" t="s">
        <v>7</v>
      </c>
      <c r="C10" s="28" t="n">
        <f aca="false">Cover!D11</f>
        <v>46235</v>
      </c>
      <c r="F10" s="29"/>
      <c r="G10" s="46"/>
      <c r="H10" s="29"/>
    </row>
    <row r="11" customFormat="false" ht="14.25" hidden="false" customHeight="false" outlineLevel="0" collapsed="false">
      <c r="B11" s="26" t="s">
        <v>8</v>
      </c>
      <c r="C11" s="27" t="n">
        <f aca="false">Cover!D12</f>
        <v>187.74</v>
      </c>
      <c r="E11" s="26"/>
      <c r="F11" s="30"/>
      <c r="G11" s="80"/>
      <c r="H11" s="53"/>
    </row>
    <row r="12" customFormat="false" ht="14.25" hidden="false" customHeight="false" outlineLevel="0" collapsed="false">
      <c r="B12" s="26"/>
      <c r="C12" s="27"/>
      <c r="F12" s="29"/>
      <c r="G12" s="81"/>
    </row>
    <row r="13" customFormat="false" ht="14.25" hidden="false" customHeight="false" outlineLevel="0" collapsed="false">
      <c r="A13" s="25" t="s">
        <v>10</v>
      </c>
      <c r="B13" s="22" t="s">
        <v>67</v>
      </c>
      <c r="C13" s="22"/>
      <c r="D13" s="22"/>
      <c r="E13" s="22"/>
      <c r="F13" s="22"/>
    </row>
    <row r="15" customFormat="false" ht="14.25" hidden="false" customHeight="false" outlineLevel="0" collapsed="false">
      <c r="B15" s="47" t="s">
        <v>46</v>
      </c>
      <c r="C15" s="48" t="s">
        <v>68</v>
      </c>
      <c r="D15" s="48" t="s">
        <v>48</v>
      </c>
      <c r="E15" s="48" t="s">
        <v>49</v>
      </c>
    </row>
    <row r="16" customFormat="false" ht="14.25" hidden="false" customHeight="false" outlineLevel="0" collapsed="false">
      <c r="B16" s="20" t="s">
        <v>51</v>
      </c>
      <c r="C16" s="82" t="n">
        <f aca="false">D16*0.95</f>
        <v>172.290176124117</v>
      </c>
      <c r="D16" s="83" t="n">
        <f aca="false">C21</f>
        <v>181.358080130649</v>
      </c>
      <c r="E16" s="82" t="n">
        <f aca="false">D16*1.05</f>
        <v>190.425984137182</v>
      </c>
    </row>
    <row r="18" customFormat="false" ht="14.25" hidden="false" customHeight="false" outlineLevel="0" collapsed="false">
      <c r="A18" s="25" t="s">
        <v>10</v>
      </c>
      <c r="B18" s="22" t="s">
        <v>69</v>
      </c>
      <c r="C18" s="22"/>
      <c r="D18" s="22"/>
      <c r="E18" s="22"/>
      <c r="F18" s="22"/>
    </row>
    <row r="20" customFormat="false" ht="14.25" hidden="false" customHeight="false" outlineLevel="0" collapsed="false">
      <c r="B20" s="31" t="s">
        <v>70</v>
      </c>
      <c r="C20" s="32" t="s">
        <v>13</v>
      </c>
      <c r="E20" s="31" t="s">
        <v>71</v>
      </c>
      <c r="F20" s="32"/>
    </row>
    <row r="21" customFormat="false" ht="14.25" hidden="false" customHeight="false" outlineLevel="0" collapsed="false">
      <c r="B21" s="20" t="s">
        <v>57</v>
      </c>
      <c r="C21" s="60" t="n">
        <f aca="false">AVERAGE($C$32:$C$282)</f>
        <v>181.358080130649</v>
      </c>
      <c r="E21" s="20" t="s">
        <v>72</v>
      </c>
      <c r="F21" s="84" t="n">
        <v>52</v>
      </c>
      <c r="I21" s="77"/>
    </row>
    <row r="22" customFormat="false" ht="14.25" hidden="false" customHeight="false" outlineLevel="0" collapsed="false">
      <c r="B22" s="20" t="s">
        <v>73</v>
      </c>
      <c r="C22" s="60" t="n">
        <f aca="false">MAX($C$32:$C$282)</f>
        <v>209.750198364258</v>
      </c>
      <c r="E22" s="35" t="s">
        <v>74</v>
      </c>
      <c r="F22" s="85" t="n">
        <f aca="false">C10-F21*7</f>
        <v>45871</v>
      </c>
      <c r="I22" s="77"/>
    </row>
    <row r="23" customFormat="false" ht="14.25" hidden="false" customHeight="false" outlineLevel="0" collapsed="false">
      <c r="B23" s="20" t="s">
        <v>75</v>
      </c>
      <c r="C23" s="60" t="n">
        <f aca="false">QUARTILE($C$32:$C$282,3)</f>
        <v>189.85620880127</v>
      </c>
      <c r="I23" s="77"/>
    </row>
    <row r="24" customFormat="false" ht="14.25" hidden="false" customHeight="false" outlineLevel="0" collapsed="false">
      <c r="B24" s="50" t="s">
        <v>76</v>
      </c>
      <c r="C24" s="86" t="n">
        <f aca="false">MEDIAN($C$32:$C$282)</f>
        <v>181.731582641602</v>
      </c>
      <c r="I24" s="77"/>
    </row>
    <row r="25" customFormat="false" ht="14.25" hidden="false" customHeight="false" outlineLevel="0" collapsed="false">
      <c r="B25" s="20" t="s">
        <v>77</v>
      </c>
      <c r="C25" s="60" t="n">
        <f aca="false">QUARTILE($C$32:$C$282,1)</f>
        <v>170.439636230469</v>
      </c>
      <c r="I25" s="77"/>
    </row>
    <row r="26" customFormat="false" ht="14.25" hidden="false" customHeight="false" outlineLevel="0" collapsed="false">
      <c r="B26" s="20" t="s">
        <v>78</v>
      </c>
      <c r="C26" s="60" t="n">
        <f aca="false">MIN($C$32:$C$282)</f>
        <v>157.216644287109</v>
      </c>
      <c r="I26" s="77"/>
    </row>
    <row r="27" customFormat="false" ht="14.25" hidden="false" customHeight="false" outlineLevel="0" collapsed="false">
      <c r="B27" s="20" t="s">
        <v>79</v>
      </c>
      <c r="C27" s="60" t="n">
        <f aca="false">STDEV($C$32:$C$282)</f>
        <v>11.7670297506661</v>
      </c>
      <c r="I27" s="77"/>
    </row>
    <row r="29" customFormat="false" ht="14.25" hidden="false" customHeight="false" outlineLevel="0" collapsed="false">
      <c r="A29" s="25" t="s">
        <v>10</v>
      </c>
      <c r="B29" s="22" t="s">
        <v>80</v>
      </c>
      <c r="C29" s="22"/>
      <c r="D29" s="22"/>
      <c r="E29" s="22"/>
      <c r="F29" s="22"/>
    </row>
    <row r="31" customFormat="false" ht="14.25" hidden="false" customHeight="false" outlineLevel="0" collapsed="false">
      <c r="B31" s="87" t="s">
        <v>81</v>
      </c>
      <c r="C31" s="88" t="s">
        <v>82</v>
      </c>
    </row>
    <row r="32" customFormat="false" ht="14.25" hidden="false" customHeight="false" outlineLevel="0" collapsed="false">
      <c r="B32" s="89" t="s">
        <v>83</v>
      </c>
      <c r="C32" s="90" t="n">
        <v>187.740005493164</v>
      </c>
    </row>
    <row r="33" customFormat="false" ht="14.25" hidden="false" customHeight="false" outlineLevel="0" collapsed="false">
      <c r="B33" s="89" t="s">
        <v>84</v>
      </c>
      <c r="C33" s="90" t="n">
        <v>186.669998168945</v>
      </c>
    </row>
    <row r="34" customFormat="false" ht="14.25" hidden="false" customHeight="false" outlineLevel="0" collapsed="false">
      <c r="B34" s="89" t="s">
        <v>85</v>
      </c>
      <c r="C34" s="90" t="n">
        <v>189.479995727539</v>
      </c>
    </row>
    <row r="35" customFormat="false" ht="14.25" hidden="false" customHeight="false" outlineLevel="0" collapsed="false">
      <c r="B35" s="89" t="s">
        <v>86</v>
      </c>
      <c r="C35" s="90" t="n">
        <v>198.279998779297</v>
      </c>
    </row>
    <row r="36" customFormat="false" ht="14.25" hidden="false" customHeight="false" outlineLevel="0" collapsed="false">
      <c r="B36" s="89" t="s">
        <v>87</v>
      </c>
      <c r="C36" s="90" t="n">
        <v>193.240005493164</v>
      </c>
    </row>
    <row r="37" customFormat="false" ht="14.25" hidden="false" customHeight="false" outlineLevel="0" collapsed="false">
      <c r="B37" s="89" t="s">
        <v>88</v>
      </c>
      <c r="C37" s="90" t="n">
        <v>193.880004882813</v>
      </c>
    </row>
    <row r="38" customFormat="false" ht="14.25" hidden="false" customHeight="false" outlineLevel="0" collapsed="false">
      <c r="B38" s="89" t="s">
        <v>89</v>
      </c>
      <c r="C38" s="90" t="n">
        <v>189.259994506836</v>
      </c>
    </row>
    <row r="39" customFormat="false" ht="14.25" hidden="false" customHeight="false" outlineLevel="0" collapsed="false">
      <c r="B39" s="89" t="s">
        <v>90</v>
      </c>
      <c r="C39" s="90" t="n">
        <v>186.800003051758</v>
      </c>
    </row>
    <row r="40" customFormat="false" ht="14.25" hidden="false" customHeight="false" outlineLevel="0" collapsed="false">
      <c r="B40" s="89" t="s">
        <v>91</v>
      </c>
      <c r="C40" s="90" t="n">
        <v>185.399993896484</v>
      </c>
    </row>
    <row r="41" customFormat="false" ht="14.25" hidden="false" customHeight="false" outlineLevel="0" collapsed="false">
      <c r="B41" s="89" t="s">
        <v>92</v>
      </c>
      <c r="C41" s="90" t="n">
        <v>185.679992675781</v>
      </c>
    </row>
    <row r="42" customFormat="false" ht="14.25" hidden="false" customHeight="false" outlineLevel="0" collapsed="false">
      <c r="B42" s="89" t="s">
        <v>93</v>
      </c>
      <c r="C42" s="90" t="n">
        <v>189.199996948242</v>
      </c>
    </row>
    <row r="43" customFormat="false" ht="14.25" hidden="false" customHeight="false" outlineLevel="0" collapsed="false">
      <c r="B43" s="89" t="s">
        <v>94</v>
      </c>
      <c r="C43" s="90" t="n">
        <v>193.800003051758</v>
      </c>
    </row>
    <row r="44" customFormat="false" ht="14.25" hidden="false" customHeight="false" outlineLevel="0" collapsed="false">
      <c r="B44" s="89" t="s">
        <v>95</v>
      </c>
      <c r="C44" s="90" t="n">
        <v>189.610000610352</v>
      </c>
    </row>
    <row r="45" customFormat="false" ht="14.25" hidden="false" customHeight="false" outlineLevel="0" collapsed="false">
      <c r="B45" s="89" t="s">
        <v>96</v>
      </c>
      <c r="C45" s="90" t="n">
        <v>189.179992675781</v>
      </c>
    </row>
    <row r="46" customFormat="false" ht="14.25" hidden="false" customHeight="false" outlineLevel="0" collapsed="false">
      <c r="B46" s="89" t="s">
        <v>97</v>
      </c>
      <c r="C46" s="90" t="n">
        <v>185.600006103516</v>
      </c>
    </row>
    <row r="47" customFormat="false" ht="14.25" hidden="false" customHeight="false" outlineLevel="0" collapsed="false">
      <c r="B47" s="89" t="s">
        <v>98</v>
      </c>
      <c r="C47" s="90" t="n">
        <v>188.800003051758</v>
      </c>
    </row>
    <row r="48" customFormat="false" ht="14.25" hidden="false" customHeight="false" outlineLevel="0" collapsed="false">
      <c r="B48" s="89" t="s">
        <v>99</v>
      </c>
      <c r="C48" s="90" t="n">
        <v>188.600006103516</v>
      </c>
    </row>
    <row r="49" customFormat="false" ht="14.25" hidden="false" customHeight="false" outlineLevel="0" collapsed="false">
      <c r="B49" s="89" t="s">
        <v>100</v>
      </c>
      <c r="C49" s="90" t="n">
        <v>187.100006103516</v>
      </c>
    </row>
    <row r="50" customFormat="false" ht="14.25" hidden="false" customHeight="false" outlineLevel="0" collapsed="false">
      <c r="B50" s="89" t="s">
        <v>101</v>
      </c>
      <c r="C50" s="90" t="n">
        <v>192.110000610352</v>
      </c>
    </row>
    <row r="51" customFormat="false" ht="14.25" hidden="false" customHeight="false" outlineLevel="0" collapsed="false">
      <c r="B51" s="89" t="s">
        <v>102</v>
      </c>
      <c r="C51" s="90" t="n">
        <v>197.619995117188</v>
      </c>
    </row>
    <row r="52" customFormat="false" ht="14.25" hidden="false" customHeight="false" outlineLevel="0" collapsed="false">
      <c r="B52" s="89" t="s">
        <v>103</v>
      </c>
      <c r="C52" s="90" t="n">
        <v>200.720001220703</v>
      </c>
    </row>
    <row r="53" customFormat="false" ht="14.25" hidden="false" customHeight="false" outlineLevel="0" collapsed="false">
      <c r="B53" s="89" t="s">
        <v>104</v>
      </c>
      <c r="C53" s="90" t="n">
        <v>203.119995117188</v>
      </c>
    </row>
    <row r="54" customFormat="false" ht="14.25" hidden="false" customHeight="false" outlineLevel="0" collapsed="false">
      <c r="B54" s="89" t="s">
        <v>105</v>
      </c>
      <c r="C54" s="90" t="n">
        <v>209.041259765625</v>
      </c>
    </row>
    <row r="55" customFormat="false" ht="14.25" hidden="false" customHeight="false" outlineLevel="0" collapsed="false">
      <c r="B55" s="89" t="s">
        <v>106</v>
      </c>
      <c r="C55" s="90" t="n">
        <v>208.921417236328</v>
      </c>
    </row>
    <row r="56" customFormat="false" ht="14.25" hidden="false" customHeight="false" outlineLevel="0" collapsed="false">
      <c r="B56" s="89" t="s">
        <v>107</v>
      </c>
      <c r="C56" s="90" t="n">
        <v>209.750198364258</v>
      </c>
    </row>
    <row r="57" customFormat="false" ht="14.25" hidden="false" customHeight="false" outlineLevel="0" collapsed="false">
      <c r="B57" s="89" t="s">
        <v>108</v>
      </c>
      <c r="C57" s="90" t="n">
        <v>209.330825805664</v>
      </c>
    </row>
    <row r="58" customFormat="false" ht="14.25" hidden="false" customHeight="false" outlineLevel="0" collapsed="false">
      <c r="B58" s="89" t="s">
        <v>109</v>
      </c>
      <c r="C58" s="90" t="n">
        <v>206.275344848633</v>
      </c>
    </row>
    <row r="59" customFormat="false" ht="14.25" hidden="false" customHeight="false" outlineLevel="0" collapsed="false">
      <c r="B59" s="89" t="s">
        <v>110</v>
      </c>
      <c r="C59" s="90" t="n">
        <v>197.418426513672</v>
      </c>
    </row>
    <row r="60" customFormat="false" ht="14.25" hidden="false" customHeight="false" outlineLevel="0" collapsed="false">
      <c r="B60" s="89" t="s">
        <v>111</v>
      </c>
      <c r="C60" s="90" t="n">
        <v>197.987579345703</v>
      </c>
    </row>
    <row r="61" customFormat="false" ht="14.25" hidden="false" customHeight="false" outlineLevel="0" collapsed="false">
      <c r="B61" s="89" t="s">
        <v>112</v>
      </c>
      <c r="C61" s="90" t="n">
        <v>199.844833374023</v>
      </c>
    </row>
    <row r="62" customFormat="false" ht="14.25" hidden="false" customHeight="false" outlineLevel="0" collapsed="false">
      <c r="B62" s="89" t="s">
        <v>113</v>
      </c>
      <c r="C62" s="90" t="n">
        <v>191.507141113281</v>
      </c>
    </row>
    <row r="63" customFormat="false" ht="14.25" hidden="false" customHeight="false" outlineLevel="0" collapsed="false">
      <c r="B63" s="89" t="s">
        <v>114</v>
      </c>
      <c r="C63" s="90" t="n">
        <v>195.261611938477</v>
      </c>
    </row>
    <row r="64" customFormat="false" ht="14.25" hidden="false" customHeight="false" outlineLevel="0" collapsed="false">
      <c r="B64" s="89" t="s">
        <v>115</v>
      </c>
      <c r="C64" s="90" t="n">
        <v>193.354415893555</v>
      </c>
    </row>
    <row r="65" customFormat="false" ht="14.25" hidden="false" customHeight="false" outlineLevel="0" collapsed="false">
      <c r="B65" s="89" t="s">
        <v>116</v>
      </c>
      <c r="C65" s="90" t="n">
        <v>192.785263061523</v>
      </c>
    </row>
    <row r="66" customFormat="false" ht="14.25" hidden="false" customHeight="false" outlineLevel="0" collapsed="false">
      <c r="B66" s="89" t="s">
        <v>117</v>
      </c>
      <c r="C66" s="90" t="n">
        <v>193.404342651367</v>
      </c>
    </row>
    <row r="67" customFormat="false" ht="14.25" hidden="false" customHeight="false" outlineLevel="0" collapsed="false">
      <c r="B67" s="89" t="s">
        <v>118</v>
      </c>
      <c r="C67" s="90" t="n">
        <v>185.945358276367</v>
      </c>
    </row>
    <row r="68" customFormat="false" ht="14.25" hidden="false" customHeight="false" outlineLevel="0" collapsed="false">
      <c r="B68" s="89" t="s">
        <v>119</v>
      </c>
      <c r="C68" s="90" t="n">
        <v>192.915069580078</v>
      </c>
    </row>
    <row r="69" customFormat="false" ht="14.25" hidden="false" customHeight="false" outlineLevel="0" collapsed="false">
      <c r="B69" s="89" t="s">
        <v>120</v>
      </c>
      <c r="C69" s="90" t="n">
        <v>185.515991210938</v>
      </c>
    </row>
    <row r="70" customFormat="false" ht="14.25" hidden="false" customHeight="false" outlineLevel="0" collapsed="false">
      <c r="B70" s="89" t="s">
        <v>121</v>
      </c>
      <c r="C70" s="90" t="n">
        <v>185.136566162109</v>
      </c>
    </row>
    <row r="71" customFormat="false" ht="14.25" hidden="false" customHeight="false" outlineLevel="0" collapsed="false">
      <c r="B71" s="89" t="s">
        <v>122</v>
      </c>
      <c r="C71" s="90" t="n">
        <v>186.534484863281</v>
      </c>
    </row>
    <row r="72" customFormat="false" ht="14.25" hidden="false" customHeight="false" outlineLevel="0" collapsed="false">
      <c r="B72" s="89" t="s">
        <v>123</v>
      </c>
      <c r="C72" s="90" t="n">
        <v>187.922439575195</v>
      </c>
    </row>
    <row r="73" customFormat="false" ht="14.25" hidden="false" customHeight="false" outlineLevel="0" collapsed="false">
      <c r="B73" s="89" t="s">
        <v>124</v>
      </c>
      <c r="C73" s="90" t="n">
        <v>187.523040771484</v>
      </c>
    </row>
    <row r="74" customFormat="false" ht="14.25" hidden="false" customHeight="false" outlineLevel="0" collapsed="false">
      <c r="B74" s="89" t="s">
        <v>125</v>
      </c>
      <c r="C74" s="90" t="n">
        <v>187.233459472656</v>
      </c>
    </row>
    <row r="75" customFormat="false" ht="14.25" hidden="false" customHeight="false" outlineLevel="0" collapsed="false">
      <c r="B75" s="89" t="s">
        <v>126</v>
      </c>
      <c r="C75" s="90" t="n">
        <v>189.460174560547</v>
      </c>
    </row>
    <row r="76" customFormat="false" ht="14.25" hidden="false" customHeight="false" outlineLevel="0" collapsed="false">
      <c r="B76" s="89" t="s">
        <v>127</v>
      </c>
      <c r="C76" s="90" t="n">
        <v>190.928009033203</v>
      </c>
    </row>
    <row r="77" customFormat="false" ht="14.25" hidden="false" customHeight="false" outlineLevel="0" collapsed="false">
      <c r="B77" s="89" t="s">
        <v>128</v>
      </c>
      <c r="C77" s="90" t="n">
        <v>190.558547973633</v>
      </c>
    </row>
    <row r="78" customFormat="false" ht="14.25" hidden="false" customHeight="false" outlineLevel="0" collapsed="false">
      <c r="B78" s="89" t="s">
        <v>129</v>
      </c>
      <c r="C78" s="90" t="n">
        <v>189.28044128418</v>
      </c>
    </row>
    <row r="79" customFormat="false" ht="14.25" hidden="false" customHeight="false" outlineLevel="0" collapsed="false">
      <c r="B79" s="89" t="s">
        <v>130</v>
      </c>
      <c r="C79" s="90" t="n">
        <v>184.73713684082</v>
      </c>
    </row>
    <row r="80" customFormat="false" ht="14.25" hidden="false" customHeight="false" outlineLevel="0" collapsed="false">
      <c r="B80" s="89" t="s">
        <v>131</v>
      </c>
      <c r="C80" s="90" t="n">
        <v>184.427597045898</v>
      </c>
    </row>
    <row r="81" customFormat="false" ht="14.25" hidden="false" customHeight="false" outlineLevel="0" collapsed="false">
      <c r="B81" s="89" t="s">
        <v>132</v>
      </c>
      <c r="C81" s="90" t="n">
        <v>184.727157592773</v>
      </c>
    </row>
    <row r="82" customFormat="false" ht="14.25" hidden="false" customHeight="false" outlineLevel="0" collapsed="false">
      <c r="B82" s="89" t="s">
        <v>133</v>
      </c>
      <c r="C82" s="90" t="n">
        <v>177.747467041016</v>
      </c>
    </row>
    <row r="83" customFormat="false" ht="14.25" hidden="false" customHeight="false" outlineLevel="0" collapsed="false">
      <c r="B83" s="89" t="s">
        <v>134</v>
      </c>
      <c r="C83" s="90" t="n">
        <v>181.731582641602</v>
      </c>
    </row>
    <row r="84" customFormat="false" ht="14.25" hidden="false" customHeight="false" outlineLevel="0" collapsed="false">
      <c r="B84" s="89" t="s">
        <v>135</v>
      </c>
      <c r="C84" s="90" t="n">
        <v>178.356567382813</v>
      </c>
    </row>
    <row r="85" customFormat="false" ht="14.25" hidden="false" customHeight="false" outlineLevel="0" collapsed="false">
      <c r="B85" s="89" t="s">
        <v>136</v>
      </c>
      <c r="C85" s="90" t="n">
        <v>185.3662109375</v>
      </c>
    </row>
    <row r="86" customFormat="false" ht="14.25" hidden="false" customHeight="false" outlineLevel="0" collapsed="false">
      <c r="B86" s="89" t="s">
        <v>137</v>
      </c>
      <c r="C86" s="90" t="n">
        <v>184.138031005859</v>
      </c>
    </row>
    <row r="87" customFormat="false" ht="14.25" hidden="false" customHeight="false" outlineLevel="0" collapsed="false">
      <c r="B87" s="89" t="s">
        <v>138</v>
      </c>
      <c r="C87" s="90" t="n">
        <v>183.928344726563</v>
      </c>
    </row>
    <row r="88" customFormat="false" ht="14.25" hidden="false" customHeight="false" outlineLevel="0" collapsed="false">
      <c r="B88" s="89" t="s">
        <v>139</v>
      </c>
      <c r="C88" s="90" t="n">
        <v>185.346237182617</v>
      </c>
    </row>
    <row r="89" customFormat="false" ht="14.25" hidden="false" customHeight="false" outlineLevel="0" collapsed="false">
      <c r="B89" s="89" t="s">
        <v>140</v>
      </c>
      <c r="C89" s="90" t="n">
        <v>188.331832885742</v>
      </c>
    </row>
    <row r="90" customFormat="false" ht="14.25" hidden="false" customHeight="false" outlineLevel="0" collapsed="false">
      <c r="B90" s="89" t="s">
        <v>141</v>
      </c>
      <c r="C90" s="90" t="n">
        <v>192.325942993164</v>
      </c>
    </row>
    <row r="91" customFormat="false" ht="14.25" hidden="false" customHeight="false" outlineLevel="0" collapsed="false">
      <c r="B91" s="89" t="s">
        <v>142</v>
      </c>
      <c r="C91" s="90" t="n">
        <v>193.993469238281</v>
      </c>
    </row>
    <row r="92" customFormat="false" ht="14.25" hidden="false" customHeight="false" outlineLevel="0" collapsed="false">
      <c r="B92" s="89" t="s">
        <v>143</v>
      </c>
      <c r="C92" s="90" t="n">
        <v>189.869567871094</v>
      </c>
    </row>
    <row r="93" customFormat="false" ht="14.25" hidden="false" customHeight="false" outlineLevel="0" collapsed="false">
      <c r="B93" s="89" t="s">
        <v>144</v>
      </c>
      <c r="C93" s="90" t="n">
        <v>186.434646606445</v>
      </c>
    </row>
    <row r="94" customFormat="false" ht="14.25" hidden="false" customHeight="false" outlineLevel="0" collapsed="false">
      <c r="B94" s="89" t="s">
        <v>145</v>
      </c>
      <c r="C94" s="90" t="n">
        <v>191.76676940918</v>
      </c>
    </row>
    <row r="95" customFormat="false" ht="14.25" hidden="false" customHeight="false" outlineLevel="0" collapsed="false">
      <c r="B95" s="89" t="s">
        <v>146</v>
      </c>
      <c r="C95" s="90" t="n">
        <v>190.448699951172</v>
      </c>
    </row>
    <row r="96" customFormat="false" ht="14.25" hidden="false" customHeight="false" outlineLevel="0" collapsed="false">
      <c r="B96" s="89" t="s">
        <v>147</v>
      </c>
      <c r="C96" s="90" t="n">
        <v>188.42170715332</v>
      </c>
    </row>
    <row r="97" customFormat="false" ht="14.25" hidden="false" customHeight="false" outlineLevel="0" collapsed="false">
      <c r="B97" s="89" t="s">
        <v>148</v>
      </c>
      <c r="C97" s="90" t="n">
        <v>190.798202514648</v>
      </c>
    </row>
    <row r="98" customFormat="false" ht="14.25" hidden="false" customHeight="false" outlineLevel="0" collapsed="false">
      <c r="B98" s="89" t="s">
        <v>149</v>
      </c>
      <c r="C98" s="90" t="n">
        <v>186.234924316406</v>
      </c>
    </row>
    <row r="99" customFormat="false" ht="14.25" hidden="false" customHeight="false" outlineLevel="0" collapsed="false">
      <c r="B99" s="89" t="s">
        <v>150</v>
      </c>
      <c r="C99" s="90" t="n">
        <v>181.302230834961</v>
      </c>
    </row>
    <row r="100" customFormat="false" ht="14.25" hidden="false" customHeight="false" outlineLevel="0" collapsed="false">
      <c r="B100" s="89" t="s">
        <v>151</v>
      </c>
      <c r="C100" s="90" t="n">
        <v>185.056671142578</v>
      </c>
    </row>
    <row r="101" customFormat="false" ht="14.25" hidden="false" customHeight="false" outlineLevel="0" collapsed="false">
      <c r="B101" s="89" t="s">
        <v>152</v>
      </c>
      <c r="C101" s="90" t="n">
        <v>185.196472167969</v>
      </c>
    </row>
    <row r="102" customFormat="false" ht="14.25" hidden="false" customHeight="false" outlineLevel="0" collapsed="false">
      <c r="B102" s="89" t="s">
        <v>153</v>
      </c>
      <c r="C102" s="90" t="n">
        <v>181.811477661133</v>
      </c>
    </row>
    <row r="103" customFormat="false" ht="14.25" hidden="false" customHeight="false" outlineLevel="0" collapsed="false">
      <c r="B103" s="89" t="s">
        <v>154</v>
      </c>
      <c r="C103" s="90" t="n">
        <v>180.503402709961</v>
      </c>
    </row>
    <row r="104" customFormat="false" ht="14.25" hidden="false" customHeight="false" outlineLevel="0" collapsed="false">
      <c r="B104" s="89" t="s">
        <v>155</v>
      </c>
      <c r="C104" s="90" t="n">
        <v>176.010040283203</v>
      </c>
    </row>
    <row r="105" customFormat="false" ht="14.25" hidden="false" customHeight="false" outlineLevel="0" collapsed="false">
      <c r="B105" s="89" t="s">
        <v>156</v>
      </c>
      <c r="C105" s="90" t="n">
        <v>169.609497070313</v>
      </c>
    </row>
    <row r="106" customFormat="false" ht="14.25" hidden="false" customHeight="false" outlineLevel="0" collapsed="false">
      <c r="B106" s="89" t="s">
        <v>157</v>
      </c>
      <c r="C106" s="90" t="n">
        <v>172.335464477539</v>
      </c>
    </row>
    <row r="107" customFormat="false" ht="14.25" hidden="false" customHeight="false" outlineLevel="0" collapsed="false">
      <c r="B107" s="89" t="s">
        <v>158</v>
      </c>
      <c r="C107" s="90" t="n">
        <v>177.627655029297</v>
      </c>
    </row>
    <row r="108" customFormat="false" ht="14.25" hidden="false" customHeight="false" outlineLevel="0" collapsed="false">
      <c r="B108" s="89" t="s">
        <v>159</v>
      </c>
      <c r="C108" s="90" t="n">
        <v>179.53483581543</v>
      </c>
    </row>
    <row r="109" customFormat="false" ht="14.25" hidden="false" customHeight="false" outlineLevel="0" collapsed="false">
      <c r="B109" s="89" t="s">
        <v>160</v>
      </c>
      <c r="C109" s="90" t="n">
        <v>175.890213012695</v>
      </c>
    </row>
    <row r="110" customFormat="false" ht="14.25" hidden="false" customHeight="false" outlineLevel="0" collapsed="false">
      <c r="B110" s="89" t="s">
        <v>161</v>
      </c>
      <c r="C110" s="90" t="n">
        <v>177.467880249023</v>
      </c>
    </row>
    <row r="111" customFormat="false" ht="14.25" hidden="false" customHeight="false" outlineLevel="0" collapsed="false">
      <c r="B111" s="89" t="s">
        <v>162</v>
      </c>
      <c r="C111" s="90" t="n">
        <v>174.921630859375</v>
      </c>
    </row>
    <row r="112" customFormat="false" ht="14.25" hidden="false" customHeight="false" outlineLevel="0" collapsed="false">
      <c r="B112" s="89" t="s">
        <v>163</v>
      </c>
      <c r="C112" s="90" t="n">
        <v>166.294387817383</v>
      </c>
    </row>
    <row r="113" customFormat="false" ht="14.25" hidden="false" customHeight="false" outlineLevel="0" collapsed="false">
      <c r="B113" s="89" t="s">
        <v>164</v>
      </c>
      <c r="C113" s="90" t="n">
        <v>167.362808227539</v>
      </c>
    </row>
    <row r="114" customFormat="false" ht="14.25" hidden="false" customHeight="false" outlineLevel="0" collapsed="false">
      <c r="B114" s="89" t="s">
        <v>165</v>
      </c>
      <c r="C114" s="90" t="n">
        <v>166.054748535156</v>
      </c>
    </row>
    <row r="115" customFormat="false" ht="14.25" hidden="false" customHeight="false" outlineLevel="0" collapsed="false">
      <c r="B115" s="89" t="s">
        <v>166</v>
      </c>
      <c r="C115" s="90" t="n">
        <v>170.508178710938</v>
      </c>
    </row>
    <row r="116" customFormat="false" ht="14.25" hidden="false" customHeight="false" outlineLevel="0" collapsed="false">
      <c r="B116" s="89" t="s">
        <v>167</v>
      </c>
      <c r="C116" s="90" t="n">
        <v>171.076370239258</v>
      </c>
    </row>
    <row r="117" customFormat="false" ht="14.25" hidden="false" customHeight="false" outlineLevel="0" collapsed="false">
      <c r="B117" s="89" t="s">
        <v>168</v>
      </c>
      <c r="C117" s="90" t="n">
        <v>166.64045715332</v>
      </c>
    </row>
    <row r="118" customFormat="false" ht="14.25" hidden="false" customHeight="false" outlineLevel="0" collapsed="false">
      <c r="B118" s="89" t="s">
        <v>169</v>
      </c>
      <c r="C118" s="90" t="n">
        <v>167.846633911133</v>
      </c>
    </row>
    <row r="119" customFormat="false" ht="14.25" hidden="false" customHeight="false" outlineLevel="0" collapsed="false">
      <c r="B119" s="89" t="s">
        <v>170</v>
      </c>
      <c r="C119" s="90" t="n">
        <v>170.587921142578</v>
      </c>
    </row>
    <row r="120" customFormat="false" ht="14.25" hidden="false" customHeight="false" outlineLevel="0" collapsed="false">
      <c r="B120" s="89" t="s">
        <v>171</v>
      </c>
      <c r="C120" s="90" t="n">
        <v>174.276184082031</v>
      </c>
    </row>
    <row r="121" customFormat="false" ht="14.25" hidden="false" customHeight="false" outlineLevel="0" collapsed="false">
      <c r="B121" s="89" t="s">
        <v>172</v>
      </c>
      <c r="C121" s="90" t="n">
        <v>172.302474975586</v>
      </c>
    </row>
    <row r="122" customFormat="false" ht="14.25" hidden="false" customHeight="false" outlineLevel="0" collapsed="false">
      <c r="B122" s="89" t="s">
        <v>173</v>
      </c>
      <c r="C122" s="90" t="n">
        <v>170.787292480469</v>
      </c>
    </row>
    <row r="123" customFormat="false" ht="14.25" hidden="false" customHeight="false" outlineLevel="0" collapsed="false">
      <c r="B123" s="89" t="s">
        <v>174</v>
      </c>
      <c r="C123" s="90" t="n">
        <v>166.490936279297</v>
      </c>
    </row>
    <row r="124" customFormat="false" ht="14.25" hidden="false" customHeight="false" outlineLevel="0" collapsed="false">
      <c r="B124" s="89" t="s">
        <v>175</v>
      </c>
      <c r="C124" s="90" t="n">
        <v>170.558013916016</v>
      </c>
    </row>
    <row r="125" customFormat="false" ht="14.25" hidden="false" customHeight="false" outlineLevel="0" collapsed="false">
      <c r="B125" s="89" t="s">
        <v>176</v>
      </c>
      <c r="C125" s="90" t="n">
        <v>174.445663452148</v>
      </c>
    </row>
    <row r="126" customFormat="false" ht="14.25" hidden="false" customHeight="false" outlineLevel="0" collapsed="false">
      <c r="B126" s="89" t="s">
        <v>177</v>
      </c>
      <c r="C126" s="90" t="n">
        <v>177.236785888672</v>
      </c>
    </row>
    <row r="127" customFormat="false" ht="14.25" hidden="false" customHeight="false" outlineLevel="0" collapsed="false">
      <c r="B127" s="89" t="s">
        <v>178</v>
      </c>
      <c r="C127" s="90" t="n">
        <v>177.685363769531</v>
      </c>
    </row>
    <row r="128" customFormat="false" ht="14.25" hidden="false" customHeight="false" outlineLevel="0" collapsed="false">
      <c r="B128" s="89" t="s">
        <v>179</v>
      </c>
      <c r="C128" s="90" t="n">
        <v>177.396286010742</v>
      </c>
    </row>
    <row r="129" customFormat="false" ht="14.25" hidden="false" customHeight="false" outlineLevel="0" collapsed="false">
      <c r="B129" s="89" t="s">
        <v>180</v>
      </c>
      <c r="C129" s="90" t="n">
        <v>177.795013427734</v>
      </c>
    </row>
    <row r="130" customFormat="false" ht="14.25" hidden="false" customHeight="false" outlineLevel="0" collapsed="false">
      <c r="B130" s="89" t="s">
        <v>181</v>
      </c>
      <c r="C130" s="90" t="n">
        <v>180.147537231445</v>
      </c>
    </row>
    <row r="131" customFormat="false" ht="14.25" hidden="false" customHeight="false" outlineLevel="0" collapsed="false">
      <c r="B131" s="89" t="s">
        <v>182</v>
      </c>
      <c r="C131" s="90" t="n">
        <v>181.084564208984</v>
      </c>
    </row>
    <row r="132" customFormat="false" ht="14.25" hidden="false" customHeight="false" outlineLevel="0" collapsed="false">
      <c r="B132" s="89" t="s">
        <v>183</v>
      </c>
      <c r="C132" s="90" t="n">
        <v>184.523635864258</v>
      </c>
    </row>
    <row r="133" customFormat="false" ht="14.25" hidden="false" customHeight="false" outlineLevel="0" collapsed="false">
      <c r="B133" s="89" t="s">
        <v>184</v>
      </c>
      <c r="C133" s="90" t="n">
        <v>185.430755615234</v>
      </c>
    </row>
    <row r="134" customFormat="false" ht="14.25" hidden="false" customHeight="false" outlineLevel="0" collapsed="false">
      <c r="B134" s="89" t="s">
        <v>185</v>
      </c>
      <c r="C134" s="90" t="n">
        <v>187.972671508789</v>
      </c>
    </row>
    <row r="135" customFormat="false" ht="14.25" hidden="false" customHeight="false" outlineLevel="0" collapsed="false">
      <c r="B135" s="89" t="s">
        <v>186</v>
      </c>
      <c r="C135" s="90" t="n">
        <v>190.833587646484</v>
      </c>
    </row>
    <row r="136" customFormat="false" ht="14.25" hidden="false" customHeight="false" outlineLevel="0" collapsed="false">
      <c r="B136" s="89" t="s">
        <v>187</v>
      </c>
      <c r="C136" s="90" t="n">
        <v>190.175674438477</v>
      </c>
    </row>
    <row r="137" customFormat="false" ht="14.25" hidden="false" customHeight="false" outlineLevel="0" collapsed="false">
      <c r="B137" s="89" t="s">
        <v>188</v>
      </c>
      <c r="C137" s="90" t="n">
        <v>192.348770141602</v>
      </c>
    </row>
    <row r="138" customFormat="false" ht="14.25" hidden="false" customHeight="false" outlineLevel="0" collapsed="false">
      <c r="B138" s="89" t="s">
        <v>189</v>
      </c>
      <c r="C138" s="90" t="n">
        <v>192.956832885742</v>
      </c>
    </row>
    <row r="139" customFormat="false" ht="14.25" hidden="false" customHeight="false" outlineLevel="0" collapsed="false">
      <c r="B139" s="89" t="s">
        <v>190</v>
      </c>
      <c r="C139" s="90" t="n">
        <v>191.930099487305</v>
      </c>
    </row>
    <row r="140" customFormat="false" ht="14.25" hidden="false" customHeight="false" outlineLevel="0" collapsed="false">
      <c r="B140" s="89" t="s">
        <v>191</v>
      </c>
      <c r="C140" s="90" t="n">
        <v>190.743881225586</v>
      </c>
    </row>
    <row r="141" customFormat="false" ht="14.25" hidden="false" customHeight="false" outlineLevel="0" collapsed="false">
      <c r="B141" s="89" t="s">
        <v>192</v>
      </c>
      <c r="C141" s="90" t="n">
        <v>197.193374633789</v>
      </c>
    </row>
    <row r="142" customFormat="false" ht="14.25" hidden="false" customHeight="false" outlineLevel="0" collapsed="false">
      <c r="B142" s="89" t="s">
        <v>193</v>
      </c>
      <c r="C142" s="90" t="n">
        <v>195.688140869141</v>
      </c>
    </row>
    <row r="143" customFormat="false" ht="14.25" hidden="false" customHeight="false" outlineLevel="0" collapsed="false">
      <c r="B143" s="89" t="s">
        <v>194</v>
      </c>
      <c r="C143" s="90" t="n">
        <v>199.386413574219</v>
      </c>
    </row>
    <row r="144" customFormat="false" ht="14.25" hidden="false" customHeight="false" outlineLevel="0" collapsed="false">
      <c r="B144" s="89" t="s">
        <v>195</v>
      </c>
      <c r="C144" s="90" t="n">
        <v>199.575805664063</v>
      </c>
    </row>
    <row r="145" customFormat="false" ht="14.25" hidden="false" customHeight="false" outlineLevel="0" collapsed="false">
      <c r="B145" s="89" t="s">
        <v>196</v>
      </c>
      <c r="C145" s="90" t="n">
        <v>202.705856323242</v>
      </c>
    </row>
    <row r="146" customFormat="false" ht="14.25" hidden="false" customHeight="false" outlineLevel="0" collapsed="false">
      <c r="B146" s="89" t="s">
        <v>197</v>
      </c>
      <c r="C146" s="90" t="n">
        <v>205.377365112305</v>
      </c>
    </row>
    <row r="147" customFormat="false" ht="14.25" hidden="false" customHeight="false" outlineLevel="0" collapsed="false">
      <c r="B147" s="89" t="s">
        <v>198</v>
      </c>
      <c r="C147" s="90" t="n">
        <v>208.347915649414</v>
      </c>
    </row>
    <row r="148" customFormat="false" ht="14.25" hidden="false" customHeight="false" outlineLevel="0" collapsed="false">
      <c r="B148" s="89" t="s">
        <v>199</v>
      </c>
      <c r="C148" s="90" t="n">
        <v>208.547286987305</v>
      </c>
    </row>
    <row r="149" customFormat="false" ht="14.25" hidden="false" customHeight="false" outlineLevel="0" collapsed="false">
      <c r="B149" s="89" t="s">
        <v>200</v>
      </c>
      <c r="C149" s="90" t="n">
        <v>205.23779296875</v>
      </c>
    </row>
    <row r="150" customFormat="false" ht="14.25" hidden="false" customHeight="false" outlineLevel="0" collapsed="false">
      <c r="B150" s="89" t="s">
        <v>201</v>
      </c>
      <c r="C150" s="90" t="n">
        <v>205.168029785156</v>
      </c>
    </row>
    <row r="151" customFormat="false" ht="14.25" hidden="false" customHeight="false" outlineLevel="0" collapsed="false">
      <c r="B151" s="89" t="s">
        <v>202</v>
      </c>
      <c r="C151" s="90" t="n">
        <v>195.448913574219</v>
      </c>
    </row>
    <row r="152" customFormat="false" ht="14.25" hidden="false" customHeight="false" outlineLevel="0" collapsed="false">
      <c r="B152" s="89" t="s">
        <v>203</v>
      </c>
      <c r="C152" s="90" t="n">
        <v>193.664581298828</v>
      </c>
    </row>
    <row r="153" customFormat="false" ht="14.25" hidden="false" customHeight="false" outlineLevel="0" collapsed="false">
      <c r="B153" s="89" t="s">
        <v>204</v>
      </c>
      <c r="C153" s="90" t="n">
        <v>190.793701171875</v>
      </c>
    </row>
    <row r="154" customFormat="false" ht="14.25" hidden="false" customHeight="false" outlineLevel="0" collapsed="false">
      <c r="B154" s="89" t="s">
        <v>205</v>
      </c>
      <c r="C154" s="90" t="n">
        <v>192.737533569336</v>
      </c>
    </row>
    <row r="155" customFormat="false" ht="14.25" hidden="false" customHeight="false" outlineLevel="0" collapsed="false">
      <c r="B155" s="89" t="s">
        <v>206</v>
      </c>
      <c r="C155" s="90" t="n">
        <v>182.589767456055</v>
      </c>
    </row>
    <row r="156" customFormat="false" ht="14.25" hidden="false" customHeight="false" outlineLevel="0" collapsed="false">
      <c r="B156" s="89" t="s">
        <v>207</v>
      </c>
      <c r="C156" s="90" t="n">
        <v>179.110824584961</v>
      </c>
    </row>
    <row r="157" customFormat="false" ht="14.25" hidden="false" customHeight="false" outlineLevel="0" collapsed="false">
      <c r="B157" s="89" t="s">
        <v>208</v>
      </c>
      <c r="C157" s="90" t="n">
        <v>176.220016479492</v>
      </c>
    </row>
    <row r="158" customFormat="false" ht="14.25" hidden="false" customHeight="false" outlineLevel="0" collapsed="false">
      <c r="B158" s="89" t="s">
        <v>209</v>
      </c>
      <c r="C158" s="90" t="n">
        <v>177.426193237305</v>
      </c>
    </row>
    <row r="159" customFormat="false" ht="14.25" hidden="false" customHeight="false" outlineLevel="0" collapsed="false">
      <c r="B159" s="89" t="s">
        <v>210</v>
      </c>
      <c r="C159" s="90" t="n">
        <v>176.897872924805</v>
      </c>
    </row>
    <row r="160" customFormat="false" ht="14.25" hidden="false" customHeight="false" outlineLevel="0" collapsed="false">
      <c r="B160" s="89" t="s">
        <v>211</v>
      </c>
      <c r="C160" s="90" t="n">
        <v>178.841690063477</v>
      </c>
    </row>
    <row r="161" customFormat="false" ht="14.25" hidden="false" customHeight="false" outlineLevel="0" collapsed="false">
      <c r="B161" s="89" t="s">
        <v>212</v>
      </c>
      <c r="C161" s="90" t="n">
        <v>182.071411132813</v>
      </c>
    </row>
    <row r="162" customFormat="false" ht="14.25" hidden="false" customHeight="false" outlineLevel="0" collapsed="false">
      <c r="B162" s="89" t="s">
        <v>213</v>
      </c>
      <c r="C162" s="90" t="n">
        <v>181.67268371582</v>
      </c>
    </row>
    <row r="163" customFormat="false" ht="14.25" hidden="false" customHeight="false" outlineLevel="0" collapsed="false">
      <c r="B163" s="89" t="s">
        <v>214</v>
      </c>
      <c r="C163" s="90" t="n">
        <v>185.699890136719</v>
      </c>
    </row>
    <row r="164" customFormat="false" ht="14.25" hidden="false" customHeight="false" outlineLevel="0" collapsed="false">
      <c r="B164" s="89" t="s">
        <v>215</v>
      </c>
      <c r="C164" s="90" t="n">
        <v>186.517288208008</v>
      </c>
    </row>
    <row r="165" customFormat="false" ht="14.25" hidden="false" customHeight="false" outlineLevel="0" collapsed="false">
      <c r="B165" s="89" t="s">
        <v>216</v>
      </c>
      <c r="C165" s="90" t="n">
        <v>183.167938232422</v>
      </c>
    </row>
    <row r="166" customFormat="false" ht="14.25" hidden="false" customHeight="false" outlineLevel="0" collapsed="false">
      <c r="B166" s="89" t="s">
        <v>217</v>
      </c>
      <c r="C166" s="90" t="n">
        <v>187.534072875977</v>
      </c>
    </row>
    <row r="167" customFormat="false" ht="14.25" hidden="false" customHeight="false" outlineLevel="0" collapsed="false">
      <c r="B167" s="89" t="s">
        <v>218</v>
      </c>
      <c r="C167" s="90" t="n">
        <v>187.185180664063</v>
      </c>
    </row>
    <row r="168" customFormat="false" ht="14.25" hidden="false" customHeight="false" outlineLevel="0" collapsed="false">
      <c r="B168" s="89" t="s">
        <v>219</v>
      </c>
      <c r="C168" s="90" t="n">
        <v>183.437088012695</v>
      </c>
    </row>
    <row r="169" customFormat="false" ht="14.25" hidden="false" customHeight="false" outlineLevel="0" collapsed="false">
      <c r="B169" s="89" t="s">
        <v>220</v>
      </c>
      <c r="C169" s="90" t="n">
        <v>181.493270874023</v>
      </c>
    </row>
    <row r="170" customFormat="false" ht="14.25" hidden="false" customHeight="false" outlineLevel="0" collapsed="false">
      <c r="B170" s="89" t="s">
        <v>221</v>
      </c>
      <c r="C170" s="90" t="n">
        <v>179.280288696289</v>
      </c>
    </row>
    <row r="171" customFormat="false" ht="14.25" hidden="false" customHeight="false" outlineLevel="0" collapsed="false">
      <c r="B171" s="89" t="s">
        <v>222</v>
      </c>
      <c r="C171" s="90" t="n">
        <v>178.472839355469</v>
      </c>
    </row>
    <row r="172" customFormat="false" ht="14.25" hidden="false" customHeight="false" outlineLevel="0" collapsed="false">
      <c r="B172" s="89" t="s">
        <v>223</v>
      </c>
      <c r="C172" s="90" t="n">
        <v>172.461944580078</v>
      </c>
    </row>
    <row r="173" customFormat="false" ht="14.25" hidden="false" customHeight="false" outlineLevel="0" collapsed="false">
      <c r="B173" s="89" t="s">
        <v>224</v>
      </c>
      <c r="C173" s="90" t="n">
        <v>164.796310424805</v>
      </c>
    </row>
    <row r="174" customFormat="false" ht="14.25" hidden="false" customHeight="false" outlineLevel="0" collapsed="false">
      <c r="B174" s="89" t="s">
        <v>225</v>
      </c>
      <c r="C174" s="90" t="n">
        <v>169.670837402344</v>
      </c>
    </row>
    <row r="175" customFormat="false" ht="14.25" hidden="false" customHeight="false" outlineLevel="0" collapsed="false">
      <c r="B175" s="89" t="s">
        <v>226</v>
      </c>
      <c r="C175" s="90" t="n">
        <v>168.564346313477</v>
      </c>
    </row>
    <row r="176" customFormat="false" ht="14.25" hidden="false" customHeight="false" outlineLevel="0" collapsed="false">
      <c r="B176" s="89" t="s">
        <v>227</v>
      </c>
      <c r="C176" s="90" t="n">
        <v>164.198211669922</v>
      </c>
    </row>
    <row r="177" customFormat="false" ht="14.25" hidden="false" customHeight="false" outlineLevel="0" collapsed="false">
      <c r="B177" s="89" t="s">
        <v>228</v>
      </c>
      <c r="C177" s="90" t="n">
        <v>160.669448852539</v>
      </c>
    </row>
    <row r="178" customFormat="false" ht="14.25" hidden="false" customHeight="false" outlineLevel="0" collapsed="false">
      <c r="B178" s="89" t="s">
        <v>229</v>
      </c>
      <c r="C178" s="90" t="n">
        <v>164.072463989258</v>
      </c>
    </row>
    <row r="179" customFormat="false" ht="14.25" hidden="false" customHeight="false" outlineLevel="0" collapsed="false">
      <c r="B179" s="89" t="s">
        <v>230</v>
      </c>
      <c r="C179" s="90" t="n">
        <v>165.415786743164</v>
      </c>
    </row>
    <row r="180" customFormat="false" ht="14.25" hidden="false" customHeight="false" outlineLevel="0" collapsed="false">
      <c r="B180" s="89" t="s">
        <v>231</v>
      </c>
      <c r="C180" s="90" t="n">
        <v>166.351119995117</v>
      </c>
    </row>
    <row r="181" customFormat="false" ht="14.25" hidden="false" customHeight="false" outlineLevel="0" collapsed="false">
      <c r="B181" s="89" t="s">
        <v>232</v>
      </c>
      <c r="C181" s="90" t="n">
        <v>165.783950805664</v>
      </c>
    </row>
    <row r="182" customFormat="false" ht="14.25" hidden="false" customHeight="false" outlineLevel="0" collapsed="false">
      <c r="B182" s="89" t="s">
        <v>233</v>
      </c>
      <c r="C182" s="90" t="n">
        <v>164.480438232422</v>
      </c>
    </row>
    <row r="183" customFormat="false" ht="14.25" hidden="false" customHeight="false" outlineLevel="0" collapsed="false">
      <c r="B183" s="89" t="s">
        <v>234</v>
      </c>
      <c r="C183" s="90" t="n">
        <v>166.599853515625</v>
      </c>
    </row>
    <row r="184" customFormat="false" ht="14.25" hidden="false" customHeight="false" outlineLevel="0" collapsed="false">
      <c r="B184" s="89" t="s">
        <v>235</v>
      </c>
      <c r="C184" s="90" t="n">
        <v>166.03271484375</v>
      </c>
    </row>
    <row r="185" customFormat="false" ht="14.25" hidden="false" customHeight="false" outlineLevel="0" collapsed="false">
      <c r="B185" s="89" t="s">
        <v>236</v>
      </c>
      <c r="C185" s="90" t="n">
        <v>167.047653198242</v>
      </c>
    </row>
    <row r="186" customFormat="false" ht="14.25" hidden="false" customHeight="false" outlineLevel="0" collapsed="false">
      <c r="B186" s="89" t="s">
        <v>237</v>
      </c>
      <c r="C186" s="90" t="n">
        <v>165.654586791992</v>
      </c>
    </row>
    <row r="187" customFormat="false" ht="14.25" hidden="false" customHeight="false" outlineLevel="0" collapsed="false">
      <c r="B187" s="89" t="s">
        <v>238</v>
      </c>
      <c r="C187" s="90" t="n">
        <v>168.132263183594</v>
      </c>
    </row>
    <row r="188" customFormat="false" ht="14.25" hidden="false" customHeight="false" outlineLevel="0" collapsed="false">
      <c r="B188" s="89" t="s">
        <v>239</v>
      </c>
      <c r="C188" s="90" t="n">
        <v>168.042694091797</v>
      </c>
    </row>
    <row r="189" customFormat="false" ht="14.25" hidden="false" customHeight="false" outlineLevel="0" collapsed="false">
      <c r="B189" s="89" t="s">
        <v>240</v>
      </c>
      <c r="C189" s="90" t="n">
        <v>168.629760742188</v>
      </c>
    </row>
    <row r="190" customFormat="false" ht="14.25" hidden="false" customHeight="false" outlineLevel="0" collapsed="false">
      <c r="B190" s="89" t="s">
        <v>241</v>
      </c>
      <c r="C190" s="90" t="n">
        <v>170.331268310547</v>
      </c>
    </row>
    <row r="191" customFormat="false" ht="14.25" hidden="false" customHeight="false" outlineLevel="0" collapsed="false">
      <c r="B191" s="89" t="s">
        <v>242</v>
      </c>
      <c r="C191" s="90" t="n">
        <v>167.475509643555</v>
      </c>
    </row>
    <row r="192" customFormat="false" ht="14.25" hidden="false" customHeight="false" outlineLevel="0" collapsed="false">
      <c r="B192" s="89" t="s">
        <v>243</v>
      </c>
      <c r="C192" s="90" t="n">
        <v>164.152069091797</v>
      </c>
    </row>
    <row r="193" customFormat="false" ht="14.25" hidden="false" customHeight="false" outlineLevel="0" collapsed="false">
      <c r="B193" s="89" t="s">
        <v>244</v>
      </c>
      <c r="C193" s="90" t="n">
        <v>166.012817382813</v>
      </c>
    </row>
    <row r="194" customFormat="false" ht="14.25" hidden="false" customHeight="false" outlineLevel="0" collapsed="false">
      <c r="B194" s="89" t="s">
        <v>245</v>
      </c>
      <c r="C194" s="90" t="n">
        <v>168.629760742188</v>
      </c>
    </row>
    <row r="195" customFormat="false" ht="14.25" hidden="false" customHeight="false" outlineLevel="0" collapsed="false">
      <c r="B195" s="89" t="s">
        <v>246</v>
      </c>
      <c r="C195" s="90" t="n">
        <v>168.201889038086</v>
      </c>
    </row>
    <row r="196" customFormat="false" ht="14.25" hidden="false" customHeight="false" outlineLevel="0" collapsed="false">
      <c r="B196" s="89" t="s">
        <v>247</v>
      </c>
      <c r="C196" s="90" t="n">
        <v>170.032791137695</v>
      </c>
    </row>
    <row r="197" customFormat="false" ht="14.25" hidden="false" customHeight="false" outlineLevel="0" collapsed="false">
      <c r="B197" s="89" t="s">
        <v>248</v>
      </c>
      <c r="C197" s="90" t="n">
        <v>166.570022583008</v>
      </c>
    </row>
    <row r="198" customFormat="false" ht="14.25" hidden="false" customHeight="false" outlineLevel="0" collapsed="false">
      <c r="B198" s="89" t="s">
        <v>249</v>
      </c>
      <c r="C198" s="90" t="n">
        <v>169.495452880859</v>
      </c>
    </row>
    <row r="199" customFormat="false" ht="14.25" hidden="false" customHeight="false" outlineLevel="0" collapsed="false">
      <c r="B199" s="89" t="s">
        <v>250</v>
      </c>
      <c r="C199" s="90" t="n">
        <v>166.55012512207</v>
      </c>
    </row>
    <row r="200" customFormat="false" ht="14.25" hidden="false" customHeight="false" outlineLevel="0" collapsed="false">
      <c r="B200" s="89" t="s">
        <v>251</v>
      </c>
      <c r="C200" s="90" t="n">
        <v>167.356109619141</v>
      </c>
    </row>
    <row r="201" customFormat="false" ht="14.25" hidden="false" customHeight="false" outlineLevel="0" collapsed="false">
      <c r="B201" s="89" t="s">
        <v>252</v>
      </c>
      <c r="C201" s="90" t="n">
        <v>165.425735473633</v>
      </c>
    </row>
    <row r="202" customFormat="false" ht="14.25" hidden="false" customHeight="false" outlineLevel="0" collapsed="false">
      <c r="B202" s="89" t="s">
        <v>253</v>
      </c>
      <c r="C202" s="90" t="n">
        <v>161.933151245117</v>
      </c>
    </row>
    <row r="203" customFormat="false" ht="14.25" hidden="false" customHeight="false" outlineLevel="0" collapsed="false">
      <c r="B203" s="89" t="s">
        <v>254</v>
      </c>
      <c r="C203" s="90" t="n">
        <v>161.933151245117</v>
      </c>
    </row>
    <row r="204" customFormat="false" ht="14.25" hidden="false" customHeight="false" outlineLevel="0" collapsed="false">
      <c r="B204" s="89" t="s">
        <v>255</v>
      </c>
      <c r="C204" s="90" t="n">
        <v>157.455459594727</v>
      </c>
    </row>
    <row r="205" customFormat="false" ht="14.25" hidden="false" customHeight="false" outlineLevel="0" collapsed="false">
      <c r="B205" s="89" t="s">
        <v>256</v>
      </c>
      <c r="C205" s="90" t="n">
        <v>158.331069946289</v>
      </c>
    </row>
    <row r="206" customFormat="false" ht="14.25" hidden="false" customHeight="false" outlineLevel="0" collapsed="false">
      <c r="B206" s="89" t="s">
        <v>257</v>
      </c>
      <c r="C206" s="90" t="n">
        <v>157.216644287109</v>
      </c>
    </row>
    <row r="207" customFormat="false" ht="14.25" hidden="false" customHeight="false" outlineLevel="0" collapsed="false">
      <c r="B207" s="89" t="s">
        <v>258</v>
      </c>
      <c r="C207" s="90" t="n">
        <v>157.724105834961</v>
      </c>
    </row>
    <row r="208" customFormat="false" ht="14.25" hidden="false" customHeight="false" outlineLevel="0" collapsed="false">
      <c r="B208" s="89" t="s">
        <v>259</v>
      </c>
      <c r="C208" s="90" t="n">
        <v>163.356048583984</v>
      </c>
    </row>
    <row r="209" customFormat="false" ht="14.25" hidden="false" customHeight="false" outlineLevel="0" collapsed="false">
      <c r="B209" s="89" t="s">
        <v>260</v>
      </c>
      <c r="C209" s="90" t="n">
        <v>165.495407104492</v>
      </c>
    </row>
    <row r="210" customFormat="false" ht="14.25" hidden="false" customHeight="false" outlineLevel="0" collapsed="false">
      <c r="B210" s="89" t="s">
        <v>261</v>
      </c>
      <c r="C210" s="90" t="n">
        <v>167.107360839844</v>
      </c>
    </row>
    <row r="211" customFormat="false" ht="14.25" hidden="false" customHeight="false" outlineLevel="0" collapsed="false">
      <c r="B211" s="89" t="s">
        <v>262</v>
      </c>
      <c r="C211" s="90" t="n">
        <v>167.127258300781</v>
      </c>
    </row>
    <row r="212" customFormat="false" ht="14.25" hidden="false" customHeight="false" outlineLevel="0" collapsed="false">
      <c r="B212" s="89" t="s">
        <v>263</v>
      </c>
      <c r="C212" s="90" t="n">
        <v>168.102401733398</v>
      </c>
    </row>
    <row r="213" customFormat="false" ht="14.25" hidden="false" customHeight="false" outlineLevel="0" collapsed="false">
      <c r="B213" s="89" t="s">
        <v>264</v>
      </c>
      <c r="C213" s="90" t="n">
        <v>169.913375854492</v>
      </c>
    </row>
    <row r="214" customFormat="false" ht="14.25" hidden="false" customHeight="false" outlineLevel="0" collapsed="false">
      <c r="B214" s="89" t="s">
        <v>265</v>
      </c>
      <c r="C214" s="90" t="n">
        <v>167.684478759766</v>
      </c>
    </row>
    <row r="215" customFormat="false" ht="14.25" hidden="false" customHeight="false" outlineLevel="0" collapsed="false">
      <c r="B215" s="89" t="s">
        <v>266</v>
      </c>
      <c r="C215" s="90" t="n">
        <v>168.82878112793</v>
      </c>
    </row>
    <row r="216" customFormat="false" ht="14.25" hidden="false" customHeight="false" outlineLevel="0" collapsed="false">
      <c r="B216" s="89" t="s">
        <v>267</v>
      </c>
      <c r="C216" s="90" t="n">
        <v>172.530319213867</v>
      </c>
    </row>
    <row r="217" customFormat="false" ht="14.25" hidden="false" customHeight="false" outlineLevel="0" collapsed="false">
      <c r="B217" s="89" t="s">
        <v>268</v>
      </c>
      <c r="C217" s="90" t="n">
        <v>172.878601074219</v>
      </c>
    </row>
    <row r="218" customFormat="false" ht="14.25" hidden="false" customHeight="false" outlineLevel="0" collapsed="false">
      <c r="B218" s="89" t="s">
        <v>269</v>
      </c>
      <c r="C218" s="90" t="n">
        <v>175.624908447266</v>
      </c>
    </row>
    <row r="219" customFormat="false" ht="14.25" hidden="false" customHeight="false" outlineLevel="0" collapsed="false">
      <c r="B219" s="89" t="s">
        <v>270</v>
      </c>
      <c r="C219" s="90" t="n">
        <v>173.893524169922</v>
      </c>
    </row>
    <row r="220" customFormat="false" ht="14.25" hidden="false" customHeight="false" outlineLevel="0" collapsed="false">
      <c r="B220" s="89" t="s">
        <v>271</v>
      </c>
      <c r="C220" s="90" t="n">
        <v>178.600082397461</v>
      </c>
    </row>
    <row r="221" customFormat="false" ht="14.25" hidden="false" customHeight="false" outlineLevel="0" collapsed="false">
      <c r="B221" s="89" t="s">
        <v>272</v>
      </c>
      <c r="C221" s="90" t="n">
        <v>185.505661010742</v>
      </c>
    </row>
    <row r="222" customFormat="false" ht="14.25" hidden="false" customHeight="false" outlineLevel="0" collapsed="false">
      <c r="B222" s="89" t="s">
        <v>273</v>
      </c>
      <c r="C222" s="90" t="n">
        <v>174.978134155273</v>
      </c>
    </row>
    <row r="223" customFormat="false" ht="14.25" hidden="false" customHeight="false" outlineLevel="0" collapsed="false">
      <c r="B223" s="89" t="s">
        <v>274</v>
      </c>
      <c r="C223" s="90" t="n">
        <v>174.450775146484</v>
      </c>
    </row>
    <row r="224" customFormat="false" ht="14.25" hidden="false" customHeight="false" outlineLevel="0" collapsed="false">
      <c r="B224" s="89" t="s">
        <v>275</v>
      </c>
      <c r="C224" s="90" t="n">
        <v>176.022918701172</v>
      </c>
    </row>
    <row r="225" customFormat="false" ht="14.25" hidden="false" customHeight="false" outlineLevel="0" collapsed="false">
      <c r="B225" s="89" t="s">
        <v>276</v>
      </c>
      <c r="C225" s="90" t="n">
        <v>173.405975341797</v>
      </c>
    </row>
    <row r="226" customFormat="false" ht="14.25" hidden="false" customHeight="false" outlineLevel="0" collapsed="false">
      <c r="B226" s="89" t="s">
        <v>277</v>
      </c>
      <c r="C226" s="90" t="n">
        <v>176.221954345703</v>
      </c>
    </row>
    <row r="227" customFormat="false" ht="14.25" hidden="false" customHeight="false" outlineLevel="0" collapsed="false">
      <c r="B227" s="89" t="s">
        <v>278</v>
      </c>
      <c r="C227" s="90" t="n">
        <v>175.067687988281</v>
      </c>
    </row>
    <row r="228" customFormat="false" ht="14.25" hidden="false" customHeight="false" outlineLevel="0" collapsed="false">
      <c r="B228" s="89" t="s">
        <v>279</v>
      </c>
      <c r="C228" s="90" t="n">
        <v>173.445770263672</v>
      </c>
    </row>
    <row r="229" customFormat="false" ht="14.25" hidden="false" customHeight="false" outlineLevel="0" collapsed="false">
      <c r="B229" s="89" t="s">
        <v>280</v>
      </c>
      <c r="C229" s="90" t="n">
        <v>170.858673095703</v>
      </c>
    </row>
    <row r="230" customFormat="false" ht="14.25" hidden="false" customHeight="false" outlineLevel="0" collapsed="false">
      <c r="B230" s="89" t="s">
        <v>281</v>
      </c>
      <c r="C230" s="90" t="n">
        <v>169.206893920898</v>
      </c>
    </row>
    <row r="231" customFormat="false" ht="14.25" hidden="false" customHeight="false" outlineLevel="0" collapsed="false">
      <c r="B231" s="89" t="s">
        <v>282</v>
      </c>
      <c r="C231" s="90" t="n">
        <v>168.669555664063</v>
      </c>
    </row>
    <row r="232" customFormat="false" ht="14.25" hidden="false" customHeight="false" outlineLevel="0" collapsed="false">
      <c r="B232" s="89" t="s">
        <v>283</v>
      </c>
      <c r="C232" s="90" t="n">
        <v>164.868515014648</v>
      </c>
    </row>
    <row r="233" customFormat="false" ht="14.25" hidden="false" customHeight="false" outlineLevel="0" collapsed="false">
      <c r="B233" s="89" t="s">
        <v>284</v>
      </c>
      <c r="C233" s="90" t="n">
        <v>165.405822753906</v>
      </c>
    </row>
    <row r="234" customFormat="false" ht="14.25" hidden="false" customHeight="false" outlineLevel="0" collapsed="false">
      <c r="B234" s="89" t="s">
        <v>285</v>
      </c>
      <c r="C234" s="90" t="n">
        <v>168.639709472656</v>
      </c>
    </row>
    <row r="235" customFormat="false" ht="14.25" hidden="false" customHeight="false" outlineLevel="0" collapsed="false">
      <c r="B235" s="89" t="s">
        <v>286</v>
      </c>
      <c r="C235" s="90" t="n">
        <v>172.251724243164</v>
      </c>
    </row>
    <row r="236" customFormat="false" ht="14.25" hidden="false" customHeight="false" outlineLevel="0" collapsed="false">
      <c r="B236" s="89" t="s">
        <v>287</v>
      </c>
      <c r="C236" s="90" t="n">
        <v>169.326293945313</v>
      </c>
    </row>
    <row r="237" customFormat="false" ht="14.25" hidden="false" customHeight="false" outlineLevel="0" collapsed="false">
      <c r="B237" s="89" t="s">
        <v>288</v>
      </c>
      <c r="C237" s="90" t="n">
        <v>168.82878112793</v>
      </c>
    </row>
    <row r="238" customFormat="false" ht="14.25" hidden="false" customHeight="false" outlineLevel="0" collapsed="false">
      <c r="B238" s="89" t="s">
        <v>289</v>
      </c>
      <c r="C238" s="90" t="n">
        <v>170.37109375</v>
      </c>
    </row>
    <row r="239" customFormat="false" ht="14.25" hidden="false" customHeight="false" outlineLevel="0" collapsed="false">
      <c r="B239" s="89" t="s">
        <v>290</v>
      </c>
      <c r="C239" s="90" t="n">
        <v>168.390960693359</v>
      </c>
    </row>
    <row r="240" customFormat="false" ht="14.25" hidden="false" customHeight="false" outlineLevel="0" collapsed="false">
      <c r="B240" s="89" t="s">
        <v>291</v>
      </c>
      <c r="C240" s="90" t="n">
        <v>166.221755981445</v>
      </c>
    </row>
    <row r="241" customFormat="false" ht="14.25" hidden="false" customHeight="false" outlineLevel="0" collapsed="false">
      <c r="B241" s="89" t="s">
        <v>292</v>
      </c>
      <c r="C241" s="90" t="n">
        <v>166.340972900391</v>
      </c>
    </row>
    <row r="242" customFormat="false" ht="14.25" hidden="false" customHeight="false" outlineLevel="0" collapsed="false">
      <c r="B242" s="89" t="s">
        <v>293</v>
      </c>
      <c r="C242" s="90" t="n">
        <v>166.440292358398</v>
      </c>
    </row>
    <row r="243" customFormat="false" ht="14.25" hidden="false" customHeight="false" outlineLevel="0" collapsed="false">
      <c r="B243" s="89" t="s">
        <v>294</v>
      </c>
      <c r="C243" s="90" t="n">
        <v>170.055953979492</v>
      </c>
    </row>
    <row r="244" customFormat="false" ht="14.25" hidden="false" customHeight="false" outlineLevel="0" collapsed="false">
      <c r="B244" s="89" t="s">
        <v>295</v>
      </c>
      <c r="C244" s="90" t="n">
        <v>171.704879760742</v>
      </c>
    </row>
    <row r="245" customFormat="false" ht="14.25" hidden="false" customHeight="false" outlineLevel="0" collapsed="false">
      <c r="B245" s="89" t="s">
        <v>296</v>
      </c>
      <c r="C245" s="90" t="n">
        <v>175.360290527344</v>
      </c>
    </row>
    <row r="246" customFormat="false" ht="14.25" hidden="false" customHeight="false" outlineLevel="0" collapsed="false">
      <c r="B246" s="89" t="s">
        <v>297</v>
      </c>
      <c r="C246" s="90" t="n">
        <v>178.18132019043</v>
      </c>
    </row>
    <row r="247" customFormat="false" ht="14.25" hidden="false" customHeight="false" outlineLevel="0" collapsed="false">
      <c r="B247" s="89" t="s">
        <v>298</v>
      </c>
      <c r="C247" s="90" t="n">
        <v>179.065353393555</v>
      </c>
    </row>
    <row r="248" customFormat="false" ht="14.25" hidden="false" customHeight="false" outlineLevel="0" collapsed="false">
      <c r="B248" s="89" t="s">
        <v>299</v>
      </c>
      <c r="C248" s="90" t="n">
        <v>180.654663085938</v>
      </c>
    </row>
    <row r="249" customFormat="false" ht="14.25" hidden="false" customHeight="false" outlineLevel="0" collapsed="false">
      <c r="B249" s="89" t="s">
        <v>300</v>
      </c>
      <c r="C249" s="90" t="n">
        <v>182.939300537109</v>
      </c>
    </row>
    <row r="250" customFormat="false" ht="14.25" hidden="false" customHeight="false" outlineLevel="0" collapsed="false">
      <c r="B250" s="89" t="s">
        <v>301</v>
      </c>
      <c r="C250" s="90" t="n">
        <v>181.111587524414</v>
      </c>
    </row>
    <row r="251" customFormat="false" ht="14.25" hidden="false" customHeight="false" outlineLevel="0" collapsed="false">
      <c r="B251" s="89" t="s">
        <v>302</v>
      </c>
      <c r="C251" s="90" t="n">
        <v>185.631195068359</v>
      </c>
    </row>
    <row r="252" customFormat="false" ht="14.25" hidden="false" customHeight="false" outlineLevel="0" collapsed="false">
      <c r="B252" s="89" t="s">
        <v>303</v>
      </c>
      <c r="C252" s="90" t="n">
        <v>187.091369628906</v>
      </c>
    </row>
    <row r="253" customFormat="false" ht="14.25" hidden="false" customHeight="false" outlineLevel="0" collapsed="false">
      <c r="B253" s="89" t="s">
        <v>304</v>
      </c>
      <c r="C253" s="90" t="n">
        <v>187.488693237305</v>
      </c>
    </row>
    <row r="254" customFormat="false" ht="14.25" hidden="false" customHeight="false" outlineLevel="0" collapsed="false">
      <c r="B254" s="89" t="s">
        <v>305</v>
      </c>
      <c r="C254" s="90" t="n">
        <v>192.584411621094</v>
      </c>
    </row>
    <row r="255" customFormat="false" ht="14.25" hidden="false" customHeight="false" outlineLevel="0" collapsed="false">
      <c r="B255" s="89" t="s">
        <v>306</v>
      </c>
      <c r="C255" s="90" t="n">
        <v>190.130935668945</v>
      </c>
    </row>
    <row r="256" customFormat="false" ht="14.25" hidden="false" customHeight="false" outlineLevel="0" collapsed="false">
      <c r="B256" s="89" t="s">
        <v>307</v>
      </c>
      <c r="C256" s="90" t="n">
        <v>189.028335571289</v>
      </c>
    </row>
    <row r="257" customFormat="false" ht="14.25" hidden="false" customHeight="false" outlineLevel="0" collapsed="false">
      <c r="B257" s="89" t="s">
        <v>308</v>
      </c>
      <c r="C257" s="90" t="n">
        <v>194.342575073242</v>
      </c>
    </row>
    <row r="258" customFormat="false" ht="14.25" hidden="false" customHeight="false" outlineLevel="0" collapsed="false">
      <c r="B258" s="89" t="s">
        <v>309</v>
      </c>
      <c r="C258" s="90" t="n">
        <v>194.590911865234</v>
      </c>
    </row>
    <row r="259" customFormat="false" ht="14.25" hidden="false" customHeight="false" outlineLevel="0" collapsed="false">
      <c r="B259" s="89" t="s">
        <v>310</v>
      </c>
      <c r="C259" s="90" t="n">
        <v>191.601028442383</v>
      </c>
    </row>
    <row r="260" customFormat="false" ht="14.25" hidden="false" customHeight="false" outlineLevel="0" collapsed="false">
      <c r="B260" s="89" t="s">
        <v>311</v>
      </c>
      <c r="C260" s="90" t="n">
        <v>186.405975341797</v>
      </c>
    </row>
    <row r="261" customFormat="false" ht="14.25" hidden="false" customHeight="false" outlineLevel="0" collapsed="false">
      <c r="B261" s="89" t="s">
        <v>312</v>
      </c>
      <c r="C261" s="90" t="n">
        <v>186.902633666992</v>
      </c>
    </row>
    <row r="262" customFormat="false" ht="14.25" hidden="false" customHeight="false" outlineLevel="0" collapsed="false">
      <c r="B262" s="89" t="s">
        <v>313</v>
      </c>
      <c r="C262" s="90" t="n">
        <v>189.842849731445</v>
      </c>
    </row>
    <row r="263" customFormat="false" ht="14.25" hidden="false" customHeight="false" outlineLevel="0" collapsed="false">
      <c r="B263" s="89" t="s">
        <v>314</v>
      </c>
      <c r="C263" s="90" t="n">
        <v>191.650695800781</v>
      </c>
    </row>
    <row r="264" customFormat="false" ht="14.25" hidden="false" customHeight="false" outlineLevel="0" collapsed="false">
      <c r="B264" s="89" t="s">
        <v>315</v>
      </c>
      <c r="C264" s="90" t="n">
        <v>192.773162841797</v>
      </c>
    </row>
    <row r="265" customFormat="false" ht="14.25" hidden="false" customHeight="false" outlineLevel="0" collapsed="false">
      <c r="B265" s="89" t="s">
        <v>316</v>
      </c>
      <c r="C265" s="90" t="n">
        <v>193.180404663086</v>
      </c>
    </row>
    <row r="266" customFormat="false" ht="14.25" hidden="false" customHeight="false" outlineLevel="0" collapsed="false">
      <c r="B266" s="89" t="s">
        <v>317</v>
      </c>
      <c r="C266" s="90" t="n">
        <v>193.826049804688</v>
      </c>
    </row>
    <row r="267" customFormat="false" ht="14.25" hidden="false" customHeight="false" outlineLevel="0" collapsed="false">
      <c r="B267" s="89" t="s">
        <v>318</v>
      </c>
      <c r="C267" s="90" t="n">
        <v>195.763046264648</v>
      </c>
    </row>
    <row r="268" customFormat="false" ht="14.25" hidden="false" customHeight="false" outlineLevel="0" collapsed="false">
      <c r="B268" s="89" t="s">
        <v>319</v>
      </c>
      <c r="C268" s="90" t="n">
        <v>187.419158935547</v>
      </c>
    </row>
    <row r="269" customFormat="false" ht="14.25" hidden="false" customHeight="false" outlineLevel="0" collapsed="false">
      <c r="B269" s="89" t="s">
        <v>320</v>
      </c>
      <c r="C269" s="90" t="n">
        <v>187.121170043945</v>
      </c>
    </row>
    <row r="270" customFormat="false" ht="14.25" hidden="false" customHeight="false" outlineLevel="0" collapsed="false">
      <c r="B270" s="89" t="s">
        <v>321</v>
      </c>
      <c r="C270" s="90" t="n">
        <v>190.627563476563</v>
      </c>
      <c r="E270" s="91"/>
    </row>
    <row r="271" customFormat="false" ht="14.25" hidden="false" customHeight="false" outlineLevel="0" collapsed="false">
      <c r="B271" s="89" t="s">
        <v>322</v>
      </c>
      <c r="C271" s="90" t="n">
        <v>186.783416748047</v>
      </c>
      <c r="E271" s="91"/>
    </row>
    <row r="272" customFormat="false" ht="14.25" hidden="false" customHeight="false" outlineLevel="0" collapsed="false">
      <c r="B272" s="89" t="s">
        <v>323</v>
      </c>
      <c r="C272" s="90" t="n">
        <v>185.790115356445</v>
      </c>
      <c r="E272" s="91"/>
    </row>
    <row r="273" customFormat="false" ht="14.25" hidden="false" customHeight="false" outlineLevel="0" collapsed="false">
      <c r="B273" s="89" t="s">
        <v>324</v>
      </c>
      <c r="C273" s="90" t="n">
        <v>189.912384033203</v>
      </c>
      <c r="E273" s="91"/>
    </row>
    <row r="274" customFormat="false" ht="14.25" hidden="false" customHeight="false" outlineLevel="0" collapsed="false">
      <c r="B274" s="89" t="s">
        <v>325</v>
      </c>
      <c r="C274" s="90" t="n">
        <v>192.942016601563</v>
      </c>
      <c r="E274" s="91"/>
    </row>
    <row r="275" customFormat="false" ht="14.25" hidden="false" customHeight="false" outlineLevel="0" collapsed="false">
      <c r="B275" s="89" t="s">
        <v>326</v>
      </c>
      <c r="C275" s="90" t="n">
        <v>187.121170043945</v>
      </c>
      <c r="E275" s="91"/>
    </row>
    <row r="276" customFormat="false" ht="14.25" hidden="false" customHeight="false" outlineLevel="0" collapsed="false">
      <c r="B276" s="89" t="s">
        <v>327</v>
      </c>
      <c r="C276" s="90" t="n">
        <v>180.267288208008</v>
      </c>
      <c r="E276" s="91"/>
    </row>
    <row r="277" customFormat="false" ht="14.25" hidden="false" customHeight="false" outlineLevel="0" collapsed="false">
      <c r="B277" s="89" t="s">
        <v>328</v>
      </c>
      <c r="C277" s="90" t="n">
        <v>180.098403930664</v>
      </c>
      <c r="E277" s="91"/>
      <c r="F277" s="92"/>
    </row>
    <row r="278" customFormat="false" ht="14.25" hidden="false" customHeight="false" outlineLevel="0" collapsed="false">
      <c r="B278" s="89" t="s">
        <v>329</v>
      </c>
      <c r="C278" s="90" t="n">
        <v>180.813598632813</v>
      </c>
      <c r="E278" s="91"/>
    </row>
    <row r="279" customFormat="false" ht="14.25" hidden="false" customHeight="false" outlineLevel="0" collapsed="false">
      <c r="B279" s="89" t="s">
        <v>330</v>
      </c>
      <c r="C279" s="90" t="n">
        <v>180.783798217773</v>
      </c>
      <c r="E279" s="91"/>
      <c r="G279" s="93"/>
      <c r="H279" s="93"/>
    </row>
    <row r="280" customFormat="false" ht="14.25" hidden="false" customHeight="false" outlineLevel="0" collapsed="false">
      <c r="B280" s="89" t="s">
        <v>331</v>
      </c>
      <c r="C280" s="90" t="n">
        <v>181.28044128418</v>
      </c>
      <c r="E280" s="91"/>
    </row>
    <row r="281" customFormat="false" ht="14.25" hidden="false" customHeight="false" outlineLevel="0" collapsed="false">
      <c r="B281" s="89" t="s">
        <v>332</v>
      </c>
      <c r="C281" s="90" t="n">
        <v>179.432891845703</v>
      </c>
      <c r="E281" s="91"/>
    </row>
    <row r="282" customFormat="false" ht="14.25" hidden="false" customHeight="false" outlineLevel="0" collapsed="false">
      <c r="A282" s="25" t="s">
        <v>10</v>
      </c>
      <c r="B282" s="89" t="s">
        <v>333</v>
      </c>
      <c r="C282" s="90" t="n">
        <v>177.972717285156</v>
      </c>
      <c r="E282" s="91"/>
    </row>
    <row r="283" customFormat="false" ht="14.25" hidden="false" customHeight="false" outlineLevel="0" collapsed="false">
      <c r="B283" s="89" t="s">
        <v>334</v>
      </c>
      <c r="C283" s="90" t="n">
        <v>178.23095703125</v>
      </c>
    </row>
    <row r="284" customFormat="false" ht="14.25" hidden="false" customHeight="false" outlineLevel="0" collapsed="false">
      <c r="B284" s="89" t="s">
        <v>335</v>
      </c>
      <c r="C284" s="90" t="n">
        <v>182.293640136719</v>
      </c>
    </row>
    <row r="285" customFormat="false" ht="14.25" hidden="false" customHeight="false" outlineLevel="0" collapsed="false">
      <c r="B285" s="89" t="s">
        <v>336</v>
      </c>
      <c r="C285" s="90" t="n">
        <v>182.392974853516</v>
      </c>
    </row>
    <row r="286" customFormat="false" ht="14.25" hidden="false" customHeight="false" outlineLevel="0" collapsed="false">
      <c r="B286" s="89" t="s">
        <v>337</v>
      </c>
      <c r="C286" s="90" t="n">
        <v>164.900650024414</v>
      </c>
    </row>
    <row r="287" customFormat="false" ht="14.25" hidden="false" customHeight="false" outlineLevel="0" collapsed="false">
      <c r="B287" s="89" t="s">
        <v>338</v>
      </c>
      <c r="C287" s="90" t="n">
        <v>164.553009033203</v>
      </c>
    </row>
    <row r="288" customFormat="false" ht="14.25" hidden="false" customHeight="false" outlineLevel="0" collapsed="false">
      <c r="B288" s="89" t="s">
        <v>339</v>
      </c>
      <c r="C288" s="90" t="n">
        <v>162.457107543945</v>
      </c>
    </row>
    <row r="289" customFormat="false" ht="14.25" hidden="false" customHeight="false" outlineLevel="0" collapsed="false">
      <c r="B289" s="89" t="s">
        <v>340</v>
      </c>
      <c r="C289" s="90" t="n">
        <v>163.102752685547</v>
      </c>
      <c r="D289" s="93"/>
      <c r="E289" s="93"/>
      <c r="F289" s="93"/>
    </row>
    <row r="290" customFormat="false" ht="14.25" hidden="false" customHeight="false" outlineLevel="0" collapsed="false">
      <c r="B290" s="89" t="s">
        <v>341</v>
      </c>
      <c r="C290" s="90" t="n">
        <v>161.036651611328</v>
      </c>
    </row>
    <row r="291" customFormat="false" ht="14.25" hidden="false" customHeight="false" outlineLevel="0" collapsed="false">
      <c r="B291" s="89" t="s">
        <v>342</v>
      </c>
      <c r="C291" s="90" t="n">
        <v>157.242172241211</v>
      </c>
    </row>
    <row r="292" customFormat="false" ht="14.25" hidden="false" customHeight="false" outlineLevel="0" collapsed="false">
      <c r="B292" s="89" t="s">
        <v>343</v>
      </c>
      <c r="C292" s="90" t="n">
        <v>158.165954589844</v>
      </c>
    </row>
    <row r="293" customFormat="false" ht="14.25" hidden="false" customHeight="false" outlineLevel="0" collapsed="false">
      <c r="B293" s="89" t="s">
        <v>344</v>
      </c>
      <c r="C293" s="90" t="n">
        <v>158.692398071289</v>
      </c>
    </row>
    <row r="294" customFormat="false" ht="14.25" hidden="false" customHeight="false" outlineLevel="0" collapsed="false">
      <c r="B294" s="89" t="s">
        <v>345</v>
      </c>
      <c r="C294" s="90" t="n">
        <v>156.973968505859</v>
      </c>
    </row>
    <row r="295" customFormat="false" ht="14.25" hidden="false" customHeight="false" outlineLevel="0" collapsed="false">
      <c r="B295" s="89" t="s">
        <v>346</v>
      </c>
      <c r="C295" s="90" t="n">
        <v>158.086486816406</v>
      </c>
    </row>
    <row r="296" customFormat="false" ht="14.25" hidden="false" customHeight="false" outlineLevel="0" collapsed="false">
      <c r="B296" s="89" t="s">
        <v>347</v>
      </c>
      <c r="C296" s="90" t="n">
        <v>163.639144897461</v>
      </c>
    </row>
    <row r="297" customFormat="false" ht="14.25" hidden="false" customHeight="false" outlineLevel="0" collapsed="false">
      <c r="B297" s="89" t="s">
        <v>348</v>
      </c>
      <c r="C297" s="90" t="n">
        <v>165.71516418457</v>
      </c>
    </row>
    <row r="298" customFormat="false" ht="14.25" hidden="false" customHeight="false" outlineLevel="0" collapsed="false">
      <c r="B298" s="89" t="s">
        <v>349</v>
      </c>
      <c r="C298" s="90" t="n">
        <v>166.976699829102</v>
      </c>
    </row>
    <row r="299" customFormat="false" ht="14.25" hidden="false" customHeight="false" outlineLevel="0" collapsed="false">
      <c r="B299" s="89" t="s">
        <v>350</v>
      </c>
      <c r="C299" s="90" t="n">
        <v>164.622528076172</v>
      </c>
    </row>
    <row r="300" customFormat="false" ht="14.25" hidden="false" customHeight="false" outlineLevel="0" collapsed="false">
      <c r="B300" s="89" t="s">
        <v>351</v>
      </c>
      <c r="C300" s="90" t="n">
        <v>161.553161621094</v>
      </c>
    </row>
    <row r="301" customFormat="false" ht="14.25" hidden="false" customHeight="false" outlineLevel="0" collapsed="false">
      <c r="B301" s="89" t="s">
        <v>352</v>
      </c>
      <c r="C301" s="90" t="n">
        <v>158.394439697266</v>
      </c>
    </row>
    <row r="302" customFormat="false" ht="14.25" hidden="false" customHeight="false" outlineLevel="0" collapsed="false">
      <c r="B302" s="89" t="s">
        <v>353</v>
      </c>
      <c r="C302" s="90" t="n">
        <v>162.039886474609</v>
      </c>
    </row>
    <row r="303" customFormat="false" ht="14.25" hidden="false" customHeight="false" outlineLevel="0" collapsed="false">
      <c r="B303" s="89" t="s">
        <v>354</v>
      </c>
      <c r="C303" s="90" t="n">
        <v>163.192153930664</v>
      </c>
    </row>
    <row r="304" customFormat="false" ht="14.25" hidden="false" customHeight="false" outlineLevel="0" collapsed="false">
      <c r="B304" s="89" t="s">
        <v>355</v>
      </c>
      <c r="C304" s="90" t="n">
        <v>158.809417724609</v>
      </c>
    </row>
    <row r="305" customFormat="false" ht="14.25" hidden="false" customHeight="false" outlineLevel="0" collapsed="false">
      <c r="B305" s="89" t="s">
        <v>356</v>
      </c>
      <c r="C305" s="90" t="n">
        <v>154.000305175781</v>
      </c>
    </row>
    <row r="306" customFormat="false" ht="14.25" hidden="false" customHeight="false" outlineLevel="0" collapsed="false">
      <c r="B306" s="89" t="s">
        <v>357</v>
      </c>
      <c r="C306" s="90" t="n">
        <v>155.795043945313</v>
      </c>
    </row>
    <row r="307" customFormat="false" ht="14.25" hidden="false" customHeight="false" outlineLevel="0" collapsed="false">
      <c r="B307" s="89" t="s">
        <v>358</v>
      </c>
      <c r="C307" s="90" t="n">
        <v>156.52880859375</v>
      </c>
    </row>
    <row r="308" customFormat="false" ht="14.25" hidden="false" customHeight="false" outlineLevel="0" collapsed="false">
      <c r="B308" s="89" t="s">
        <v>359</v>
      </c>
      <c r="C308" s="90" t="n">
        <v>155.666168212891</v>
      </c>
    </row>
    <row r="309" customFormat="false" ht="14.25" hidden="false" customHeight="false" outlineLevel="0" collapsed="false">
      <c r="B309" s="89" t="s">
        <v>360</v>
      </c>
      <c r="C309" s="90" t="n">
        <v>158.026092529297</v>
      </c>
    </row>
    <row r="310" customFormat="false" ht="14.25" hidden="false" customHeight="false" outlineLevel="0" collapsed="false">
      <c r="B310" s="89" t="s">
        <v>361</v>
      </c>
      <c r="C310" s="90" t="n">
        <v>156.469314575195</v>
      </c>
    </row>
    <row r="311" customFormat="false" ht="14.25" hidden="false" customHeight="false" outlineLevel="0" collapsed="false">
      <c r="B311" s="89" t="s">
        <v>362</v>
      </c>
      <c r="C311" s="90" t="n">
        <v>152.47331237793</v>
      </c>
    </row>
    <row r="312" customFormat="false" ht="14.25" hidden="false" customHeight="false" outlineLevel="0" collapsed="false">
      <c r="B312" s="89" t="s">
        <v>363</v>
      </c>
      <c r="C312" s="90" t="n">
        <v>151.352828979492</v>
      </c>
    </row>
    <row r="313" customFormat="false" ht="14.25" hidden="false" customHeight="false" outlineLevel="0" collapsed="false">
      <c r="B313" s="89" t="s">
        <v>364</v>
      </c>
      <c r="C313" s="90" t="n">
        <v>150.648818969727</v>
      </c>
    </row>
    <row r="314" customFormat="false" ht="14.25" hidden="false" customHeight="false" outlineLevel="0" collapsed="false">
      <c r="B314" s="89" t="s">
        <v>365</v>
      </c>
      <c r="C314" s="90" t="n">
        <v>154.51594543457</v>
      </c>
    </row>
    <row r="315" customFormat="false" ht="14.25" hidden="false" customHeight="false" outlineLevel="0" collapsed="false">
      <c r="B315" s="89" t="s">
        <v>366</v>
      </c>
      <c r="C315" s="90" t="n">
        <v>154.37712097168</v>
      </c>
    </row>
    <row r="316" customFormat="false" ht="14.25" hidden="false" customHeight="false" outlineLevel="0" collapsed="false">
      <c r="B316" s="89" t="s">
        <v>367</v>
      </c>
      <c r="C316" s="90" t="n">
        <v>155.507507324219</v>
      </c>
    </row>
    <row r="317" customFormat="false" ht="14.25" hidden="false" customHeight="false" outlineLevel="0" collapsed="false">
      <c r="B317" s="89" t="s">
        <v>368</v>
      </c>
      <c r="C317" s="90" t="n">
        <v>155.547149658203</v>
      </c>
    </row>
    <row r="318" customFormat="false" ht="14.25" hidden="false" customHeight="false" outlineLevel="0" collapsed="false">
      <c r="B318" s="89" t="s">
        <v>369</v>
      </c>
      <c r="C318" s="90" t="n">
        <v>159.394439697266</v>
      </c>
    </row>
    <row r="319" customFormat="false" ht="14.25" hidden="false" customHeight="false" outlineLevel="0" collapsed="false">
      <c r="B319" s="89" t="s">
        <v>370</v>
      </c>
      <c r="C319" s="90" t="n">
        <v>157.520385742188</v>
      </c>
    </row>
    <row r="320" customFormat="false" ht="14.25" hidden="false" customHeight="false" outlineLevel="0" collapsed="false">
      <c r="B320" s="89" t="s">
        <v>371</v>
      </c>
      <c r="C320" s="90" t="n">
        <v>155.467834472656</v>
      </c>
    </row>
    <row r="321" customFormat="false" ht="14.25" hidden="false" customHeight="false" outlineLevel="0" collapsed="false">
      <c r="B321" s="89" t="s">
        <v>372</v>
      </c>
      <c r="C321" s="90" t="n">
        <v>158.145080566406</v>
      </c>
    </row>
    <row r="322" customFormat="false" ht="14.25" hidden="false" customHeight="false" outlineLevel="0" collapsed="false">
      <c r="B322" s="89" t="s">
        <v>373</v>
      </c>
      <c r="C322" s="90" t="n">
        <v>157.66911315918</v>
      </c>
    </row>
    <row r="323" customFormat="false" ht="14.25" hidden="false" customHeight="false" outlineLevel="0" collapsed="false">
      <c r="B323" s="89" t="s">
        <v>374</v>
      </c>
      <c r="C323" s="90" t="n">
        <v>157.213012695313</v>
      </c>
    </row>
    <row r="324" customFormat="false" ht="14.25" hidden="false" customHeight="false" outlineLevel="0" collapsed="false">
      <c r="B324" s="89" t="s">
        <v>375</v>
      </c>
      <c r="C324" s="90" t="n">
        <v>153.980484008789</v>
      </c>
    </row>
    <row r="325" customFormat="false" ht="14.25" hidden="false" customHeight="false" outlineLevel="0" collapsed="false">
      <c r="B325" s="89" t="s">
        <v>376</v>
      </c>
      <c r="C325" s="90" t="n">
        <v>154.387023925781</v>
      </c>
    </row>
    <row r="326" customFormat="false" ht="14.25" hidden="false" customHeight="false" outlineLevel="0" collapsed="false">
      <c r="B326" s="89" t="s">
        <v>377</v>
      </c>
      <c r="C326" s="90" t="n">
        <v>154.942306518555</v>
      </c>
    </row>
    <row r="327" customFormat="false" ht="14.25" hidden="false" customHeight="false" outlineLevel="0" collapsed="false">
      <c r="B327" s="89" t="s">
        <v>378</v>
      </c>
      <c r="C327" s="90" t="n">
        <v>151.600723266602</v>
      </c>
    </row>
    <row r="328" customFormat="false" ht="14.25" hidden="false" customHeight="false" outlineLevel="0" collapsed="false">
      <c r="B328" s="89" t="s">
        <v>379</v>
      </c>
      <c r="C328" s="90" t="n">
        <v>156.211517333984</v>
      </c>
    </row>
    <row r="329" customFormat="false" ht="14.25" hidden="false" customHeight="false" outlineLevel="0" collapsed="false">
      <c r="B329" s="89" t="s">
        <v>380</v>
      </c>
      <c r="C329" s="90" t="n">
        <v>153.097991943359</v>
      </c>
    </row>
    <row r="330" customFormat="false" ht="14.25" hidden="false" customHeight="false" outlineLevel="0" collapsed="false">
      <c r="B330" s="89" t="s">
        <v>381</v>
      </c>
      <c r="C330" s="90" t="n">
        <v>154.178817749023</v>
      </c>
    </row>
    <row r="331" customFormat="false" ht="14.25" hidden="false" customHeight="false" outlineLevel="0" collapsed="false">
      <c r="B331" s="89" t="s">
        <v>382</v>
      </c>
      <c r="C331" s="90" t="n">
        <v>153.712768554688</v>
      </c>
    </row>
    <row r="332" customFormat="false" ht="14.25" hidden="false" customHeight="false" outlineLevel="0" collapsed="false">
      <c r="B332" s="89" t="s">
        <v>383</v>
      </c>
      <c r="C332" s="90" t="n">
        <v>160.495086669922</v>
      </c>
    </row>
    <row r="333" customFormat="false" ht="14.25" hidden="false" customHeight="false" outlineLevel="0" collapsed="false">
      <c r="B333" s="89" t="s">
        <v>384</v>
      </c>
      <c r="C333" s="90" t="n">
        <v>162.299728393555</v>
      </c>
    </row>
    <row r="334" customFormat="false" ht="14.25" hidden="false" customHeight="false" outlineLevel="0" collapsed="false">
      <c r="B334" s="89" t="s">
        <v>385</v>
      </c>
      <c r="C334" s="90" t="n">
        <v>162.537719726563</v>
      </c>
    </row>
    <row r="335" customFormat="false" ht="14.25" hidden="false" customHeight="false" outlineLevel="0" collapsed="false">
      <c r="B335" s="89" t="s">
        <v>386</v>
      </c>
      <c r="C335" s="90" t="n">
        <v>161.764297485352</v>
      </c>
    </row>
    <row r="336" customFormat="false" ht="14.25" hidden="false" customHeight="false" outlineLevel="0" collapsed="false">
      <c r="B336" s="89" t="s">
        <v>387</v>
      </c>
      <c r="C336" s="90" t="n">
        <v>161.080123901367</v>
      </c>
    </row>
    <row r="337" customFormat="false" ht="14.25" hidden="false" customHeight="false" outlineLevel="0" collapsed="false">
      <c r="B337" s="89" t="s">
        <v>388</v>
      </c>
      <c r="C337" s="90" t="n">
        <v>164.401870727539</v>
      </c>
    </row>
    <row r="338" customFormat="false" ht="14.25" hidden="false" customHeight="false" outlineLevel="0" collapsed="false">
      <c r="B338" s="89" t="s">
        <v>389</v>
      </c>
      <c r="C338" s="90" t="n">
        <v>162.983901977539</v>
      </c>
    </row>
    <row r="339" customFormat="false" ht="14.25" hidden="false" customHeight="false" outlineLevel="0" collapsed="false">
      <c r="B339" s="89" t="s">
        <v>390</v>
      </c>
      <c r="C339" s="90" t="n">
        <v>156.16194152832</v>
      </c>
    </row>
    <row r="340" customFormat="false" ht="14.25" hidden="false" customHeight="false" outlineLevel="0" collapsed="false">
      <c r="B340" s="89" t="s">
        <v>391</v>
      </c>
      <c r="C340" s="90" t="n">
        <v>155.715713500977</v>
      </c>
    </row>
    <row r="341" customFormat="false" ht="14.25" hidden="false" customHeight="false" outlineLevel="0" collapsed="false">
      <c r="B341" s="89" t="s">
        <v>392</v>
      </c>
      <c r="C341" s="90" t="n">
        <v>152.552642822266</v>
      </c>
    </row>
    <row r="342" customFormat="false" ht="14.25" hidden="false" customHeight="false" outlineLevel="0" collapsed="false">
      <c r="B342" s="89" t="s">
        <v>393</v>
      </c>
      <c r="C342" s="90" t="n">
        <v>152.136169433594</v>
      </c>
    </row>
    <row r="343" customFormat="false" ht="14.25" hidden="false" customHeight="false" outlineLevel="0" collapsed="false">
      <c r="B343" s="89" t="s">
        <v>394</v>
      </c>
      <c r="C343" s="90" t="n">
        <v>153.355804443359</v>
      </c>
    </row>
    <row r="344" customFormat="false" ht="14.25" hidden="false" customHeight="false" outlineLevel="0" collapsed="false">
      <c r="B344" s="89" t="s">
        <v>395</v>
      </c>
      <c r="C344" s="90" t="n">
        <v>155.77522277832</v>
      </c>
    </row>
    <row r="345" customFormat="false" ht="14.25" hidden="false" customHeight="false" outlineLevel="0" collapsed="false">
      <c r="B345" s="89" t="s">
        <v>396</v>
      </c>
      <c r="C345" s="90" t="n">
        <v>152.532791137695</v>
      </c>
    </row>
    <row r="346" customFormat="false" ht="14.25" hidden="false" customHeight="false" outlineLevel="0" collapsed="false">
      <c r="B346" s="89" t="s">
        <v>397</v>
      </c>
      <c r="C346" s="90" t="n">
        <v>152.393997192383</v>
      </c>
    </row>
    <row r="347" customFormat="false" ht="14.25" hidden="false" customHeight="false" outlineLevel="0" collapsed="false">
      <c r="B347" s="89" t="s">
        <v>398</v>
      </c>
      <c r="C347" s="90" t="n">
        <v>152.820343017578</v>
      </c>
    </row>
    <row r="348" customFormat="false" ht="14.25" hidden="false" customHeight="false" outlineLevel="0" collapsed="false">
      <c r="B348" s="89" t="s">
        <v>399</v>
      </c>
      <c r="C348" s="90" t="n">
        <v>152.532791137695</v>
      </c>
    </row>
    <row r="349" customFormat="false" ht="14.25" hidden="false" customHeight="false" outlineLevel="0" collapsed="false">
      <c r="B349" s="89" t="s">
        <v>400</v>
      </c>
      <c r="C349" s="90" t="n">
        <v>152.245239257813</v>
      </c>
    </row>
    <row r="350" customFormat="false" ht="14.25" hidden="false" customHeight="false" outlineLevel="0" collapsed="false">
      <c r="B350" s="89" t="s">
        <v>401</v>
      </c>
      <c r="C350" s="90" t="n">
        <v>153.127731323242</v>
      </c>
    </row>
    <row r="351" customFormat="false" ht="14.25" hidden="false" customHeight="false" outlineLevel="0" collapsed="false">
      <c r="B351" s="89" t="s">
        <v>402</v>
      </c>
      <c r="C351" s="90" t="n">
        <v>149.04248046875</v>
      </c>
    </row>
    <row r="352" customFormat="false" ht="14.25" hidden="false" customHeight="false" outlineLevel="0" collapsed="false">
      <c r="B352" s="89" t="s">
        <v>403</v>
      </c>
      <c r="C352" s="90" t="n">
        <v>146.851135253906</v>
      </c>
    </row>
    <row r="353" customFormat="false" ht="14.25" hidden="false" customHeight="false" outlineLevel="0" collapsed="false">
      <c r="B353" s="89" t="s">
        <v>404</v>
      </c>
      <c r="C353" s="90" t="n">
        <v>142.805541992188</v>
      </c>
    </row>
    <row r="354" customFormat="false" ht="14.25" hidden="false" customHeight="false" outlineLevel="0" collapsed="false">
      <c r="B354" s="89" t="s">
        <v>405</v>
      </c>
      <c r="C354" s="90" t="n">
        <v>146.157028198242</v>
      </c>
    </row>
    <row r="355" customFormat="false" ht="14.25" hidden="false" customHeight="false" outlineLevel="0" collapsed="false">
      <c r="B355" s="89" t="s">
        <v>406</v>
      </c>
      <c r="C355" s="90" t="n">
        <v>145.076202392578</v>
      </c>
    </row>
    <row r="356" customFormat="false" ht="14.25" hidden="false" customHeight="false" outlineLevel="0" collapsed="false">
      <c r="B356" s="89" t="s">
        <v>407</v>
      </c>
      <c r="C356" s="90" t="n">
        <v>148.764846801758</v>
      </c>
    </row>
    <row r="357" customFormat="false" ht="14.25" hidden="false" customHeight="false" outlineLevel="0" collapsed="false">
      <c r="B357" s="89" t="s">
        <v>408</v>
      </c>
      <c r="C357" s="90" t="n">
        <v>148.516952514648</v>
      </c>
    </row>
    <row r="358" customFormat="false" ht="14.25" hidden="false" customHeight="false" outlineLevel="0" collapsed="false">
      <c r="B358" s="89" t="s">
        <v>409</v>
      </c>
      <c r="C358" s="90" t="n">
        <v>148.566528320313</v>
      </c>
    </row>
    <row r="359" customFormat="false" ht="14.25" hidden="false" customHeight="false" outlineLevel="0" collapsed="false">
      <c r="B359" s="89" t="s">
        <v>410</v>
      </c>
      <c r="C359" s="90" t="n">
        <v>146.583404541016</v>
      </c>
    </row>
    <row r="360" customFormat="false" ht="14.25" hidden="false" customHeight="false" outlineLevel="0" collapsed="false">
      <c r="B360" s="89" t="s">
        <v>411</v>
      </c>
      <c r="C360" s="90" t="n">
        <v>149.80598449707</v>
      </c>
    </row>
    <row r="361" customFormat="false" ht="14.25" hidden="false" customHeight="false" outlineLevel="0" collapsed="false">
      <c r="B361" s="89" t="s">
        <v>412</v>
      </c>
      <c r="C361" s="90" t="n">
        <v>138.63102722168</v>
      </c>
    </row>
    <row r="362" customFormat="false" ht="14.25" hidden="false" customHeight="false" outlineLevel="0" collapsed="false">
      <c r="B362" s="89" t="s">
        <v>413</v>
      </c>
      <c r="C362" s="90" t="n">
        <v>142.438659667969</v>
      </c>
    </row>
    <row r="363" customFormat="false" ht="14.25" hidden="false" customHeight="false" outlineLevel="0" collapsed="false">
      <c r="B363" s="89" t="s">
        <v>414</v>
      </c>
      <c r="C363" s="90" t="n">
        <v>146.494171142578</v>
      </c>
    </row>
    <row r="364" customFormat="false" ht="14.25" hidden="false" customHeight="false" outlineLevel="0" collapsed="false">
      <c r="B364" s="89" t="s">
        <v>415</v>
      </c>
      <c r="C364" s="90" t="n">
        <v>143.906173706055</v>
      </c>
    </row>
    <row r="365" customFormat="false" ht="14.25" hidden="false" customHeight="false" outlineLevel="0" collapsed="false">
      <c r="B365" s="89" t="s">
        <v>416</v>
      </c>
      <c r="C365" s="90" t="n">
        <v>157.213012695313</v>
      </c>
    </row>
    <row r="366" customFormat="false" ht="14.25" hidden="false" customHeight="false" outlineLevel="0" collapsed="false">
      <c r="B366" s="89" t="s">
        <v>417</v>
      </c>
      <c r="C366" s="90" t="n">
        <v>155.282852172852</v>
      </c>
    </row>
    <row r="367" customFormat="false" ht="14.25" hidden="false" customHeight="false" outlineLevel="0" collapsed="false">
      <c r="B367" s="89" t="s">
        <v>418</v>
      </c>
      <c r="C367" s="90" t="n">
        <v>155.480819702148</v>
      </c>
    </row>
    <row r="368" customFormat="false" ht="14.25" hidden="false" customHeight="false" outlineLevel="0" collapsed="false">
      <c r="B368" s="89" t="s">
        <v>419</v>
      </c>
      <c r="C368" s="90" t="n">
        <v>155.75798034668</v>
      </c>
    </row>
    <row r="369" customFormat="false" ht="14.25" hidden="false" customHeight="false" outlineLevel="0" collapsed="false">
      <c r="B369" s="89" t="s">
        <v>420</v>
      </c>
      <c r="C369" s="90" t="n">
        <v>157.282287597656</v>
      </c>
    </row>
    <row r="370" customFormat="false" ht="14.25" hidden="false" customHeight="false" outlineLevel="0" collapsed="false">
      <c r="B370" s="89" t="s">
        <v>421</v>
      </c>
      <c r="C370" s="90" t="n">
        <v>157.401062011719</v>
      </c>
    </row>
    <row r="371" customFormat="false" ht="14.25" hidden="false" customHeight="false" outlineLevel="0" collapsed="false">
      <c r="B371" s="89" t="s">
        <v>422</v>
      </c>
      <c r="C371" s="90" t="n">
        <v>158.47998046875</v>
      </c>
    </row>
    <row r="372" customFormat="false" ht="14.25" hidden="false" customHeight="false" outlineLevel="0" collapsed="false">
      <c r="B372" s="89" t="s">
        <v>423</v>
      </c>
      <c r="C372" s="90" t="n">
        <v>158.113754272461</v>
      </c>
    </row>
    <row r="373" customFormat="false" ht="14.25" hidden="false" customHeight="false" outlineLevel="0" collapsed="false">
      <c r="B373" s="89" t="s">
        <v>424</v>
      </c>
      <c r="C373" s="90" t="n">
        <v>153.867401123047</v>
      </c>
    </row>
    <row r="374" customFormat="false" ht="14.25" hidden="false" customHeight="false" outlineLevel="0" collapsed="false">
      <c r="B374" s="89" t="s">
        <v>425</v>
      </c>
      <c r="C374" s="90" t="n">
        <v>155.164077758789</v>
      </c>
    </row>
    <row r="375" customFormat="false" ht="14.25" hidden="false" customHeight="false" outlineLevel="0" collapsed="false">
      <c r="B375" s="89" t="s">
        <v>426</v>
      </c>
      <c r="C375" s="90" t="n">
        <v>157.856369018555</v>
      </c>
    </row>
    <row r="376" customFormat="false" ht="14.25" hidden="false" customHeight="false" outlineLevel="0" collapsed="false">
      <c r="B376" s="89" t="s">
        <v>427</v>
      </c>
      <c r="C376" s="90" t="n">
        <v>157.222900390625</v>
      </c>
    </row>
    <row r="377" customFormat="false" ht="14.25" hidden="false" customHeight="false" outlineLevel="0" collapsed="false">
      <c r="B377" s="89" t="s">
        <v>428</v>
      </c>
      <c r="C377" s="90" t="n">
        <v>157.895980834961</v>
      </c>
    </row>
    <row r="378" customFormat="false" ht="14.25" hidden="false" customHeight="false" outlineLevel="0" collapsed="false">
      <c r="B378" s="89" t="s">
        <v>429</v>
      </c>
      <c r="C378" s="90" t="n">
        <v>156.520126342773</v>
      </c>
    </row>
    <row r="379" customFormat="false" ht="14.25" hidden="false" customHeight="false" outlineLevel="0" collapsed="false">
      <c r="B379" s="89" t="s">
        <v>430</v>
      </c>
      <c r="C379" s="90" t="n">
        <v>152.818206787109</v>
      </c>
    </row>
    <row r="380" customFormat="false" ht="14.25" hidden="false" customHeight="false" outlineLevel="0" collapsed="false">
      <c r="B380" s="89" t="s">
        <v>431</v>
      </c>
      <c r="C380" s="90" t="n">
        <v>155.569900512695</v>
      </c>
    </row>
    <row r="381" customFormat="false" ht="14.25" hidden="false" customHeight="false" outlineLevel="0" collapsed="false">
      <c r="B381" s="89" t="s">
        <v>432</v>
      </c>
      <c r="C381" s="90" t="n">
        <v>157.331771850586</v>
      </c>
    </row>
    <row r="382" customFormat="false" ht="14.25" hidden="false" customHeight="false" outlineLevel="0" collapsed="false">
      <c r="B382" s="89" t="s">
        <v>433</v>
      </c>
      <c r="C382" s="90" t="n">
        <v>162.171997070313</v>
      </c>
    </row>
    <row r="383" customFormat="false" ht="14.25" hidden="false" customHeight="false" outlineLevel="0" collapsed="false">
      <c r="B383" s="89" t="s">
        <v>434</v>
      </c>
      <c r="C383" s="90" t="n">
        <v>163.260818481445</v>
      </c>
    </row>
    <row r="384" customFormat="false" ht="14.25" hidden="false" customHeight="false" outlineLevel="0" collapsed="false">
      <c r="B384" s="89" t="s">
        <v>435</v>
      </c>
      <c r="C384" s="90" t="n">
        <v>160.350723266602</v>
      </c>
    </row>
    <row r="385" customFormat="false" ht="14.25" hidden="false" customHeight="false" outlineLevel="0" collapsed="false">
      <c r="B385" s="89" t="s">
        <v>436</v>
      </c>
      <c r="C385" s="90" t="n">
        <v>160.39030456543</v>
      </c>
    </row>
    <row r="386" customFormat="false" ht="14.25" hidden="false" customHeight="false" outlineLevel="0" collapsed="false">
      <c r="B386" s="89" t="s">
        <v>437</v>
      </c>
      <c r="C386" s="90" t="n">
        <v>156.035125732422</v>
      </c>
    </row>
    <row r="387" customFormat="false" ht="14.25" hidden="false" customHeight="false" outlineLevel="0" collapsed="false">
      <c r="B387" s="89" t="s">
        <v>438</v>
      </c>
      <c r="C387" s="90" t="n">
        <v>157.698013305664</v>
      </c>
    </row>
    <row r="388" customFormat="false" ht="14.25" hidden="false" customHeight="false" outlineLevel="0" collapsed="false">
      <c r="B388" s="89" t="s">
        <v>439</v>
      </c>
      <c r="C388" s="90" t="n">
        <v>162.726303100586</v>
      </c>
    </row>
    <row r="389" customFormat="false" ht="14.25" hidden="false" customHeight="false" outlineLevel="0" collapsed="false">
      <c r="B389" s="89" t="s">
        <v>440</v>
      </c>
      <c r="C389" s="90" t="n">
        <v>161.934448242188</v>
      </c>
    </row>
    <row r="390" customFormat="false" ht="14.25" hidden="false" customHeight="false" outlineLevel="0" collapsed="false">
      <c r="B390" s="89" t="s">
        <v>441</v>
      </c>
      <c r="C390" s="90" t="n">
        <v>167.12109375</v>
      </c>
    </row>
    <row r="391" customFormat="false" ht="14.25" hidden="false" customHeight="false" outlineLevel="0" collapsed="false">
      <c r="B391" s="89" t="s">
        <v>442</v>
      </c>
      <c r="C391" s="90" t="n">
        <v>169.496658325195</v>
      </c>
    </row>
    <row r="392" customFormat="false" ht="14.25" hidden="false" customHeight="false" outlineLevel="0" collapsed="false">
      <c r="B392" s="89" t="s">
        <v>443</v>
      </c>
      <c r="C392" s="90" t="n">
        <v>166.250061035156</v>
      </c>
    </row>
    <row r="393" customFormat="false" ht="14.25" hidden="false" customHeight="false" outlineLevel="0" collapsed="false">
      <c r="B393" s="89" t="s">
        <v>444</v>
      </c>
      <c r="C393" s="90" t="n">
        <v>167.180465698242</v>
      </c>
    </row>
    <row r="394" customFormat="false" ht="14.25" hidden="false" customHeight="false" outlineLevel="0" collapsed="false">
      <c r="B394" s="89" t="s">
        <v>445</v>
      </c>
      <c r="C394" s="90" t="n">
        <v>168.78401184082</v>
      </c>
    </row>
    <row r="395" customFormat="false" ht="14.25" hidden="false" customHeight="false" outlineLevel="0" collapsed="false">
      <c r="B395" s="89" t="s">
        <v>446</v>
      </c>
      <c r="C395" s="90" t="n">
        <v>172.099884033203</v>
      </c>
    </row>
    <row r="396" customFormat="false" ht="14.25" hidden="false" customHeight="false" outlineLevel="0" collapsed="false">
      <c r="B396" s="89" t="s">
        <v>447</v>
      </c>
      <c r="C396" s="90" t="n">
        <v>174.75260925293</v>
      </c>
    </row>
    <row r="397" customFormat="false" ht="14.25" hidden="false" customHeight="false" outlineLevel="0" collapsed="false">
      <c r="B397" s="89" t="s">
        <v>448</v>
      </c>
      <c r="C397" s="90" t="n">
        <v>172.505706787109</v>
      </c>
    </row>
    <row r="398" customFormat="false" ht="14.25" hidden="false" customHeight="false" outlineLevel="0" collapsed="false">
      <c r="B398" s="89" t="s">
        <v>449</v>
      </c>
      <c r="C398" s="90" t="n">
        <v>165.903610229492</v>
      </c>
    </row>
    <row r="399" customFormat="false" ht="14.25" hidden="false" customHeight="false" outlineLevel="0" collapsed="false">
      <c r="B399" s="89" t="s">
        <v>450</v>
      </c>
      <c r="C399" s="90" t="n">
        <v>163.003433227539</v>
      </c>
    </row>
    <row r="400" customFormat="false" ht="14.25" hidden="false" customHeight="false" outlineLevel="0" collapsed="false">
      <c r="B400" s="89" t="s">
        <v>451</v>
      </c>
      <c r="C400" s="90" t="n">
        <v>167.606109619141</v>
      </c>
    </row>
    <row r="401" customFormat="false" ht="14.25" hidden="false" customHeight="false" outlineLevel="0" collapsed="false">
      <c r="B401" s="89" t="s">
        <v>452</v>
      </c>
      <c r="C401" s="90" t="n">
        <v>165.181060791016</v>
      </c>
    </row>
    <row r="402" customFormat="false" ht="14.25" hidden="false" customHeight="false" outlineLevel="0" collapsed="false">
      <c r="B402" s="89" t="s">
        <v>453</v>
      </c>
      <c r="C402" s="90" t="n">
        <v>163.735916137695</v>
      </c>
    </row>
    <row r="403" customFormat="false" ht="14.25" hidden="false" customHeight="false" outlineLevel="0" collapsed="false">
      <c r="B403" s="89" t="s">
        <v>454</v>
      </c>
      <c r="C403" s="90" t="n">
        <v>166.002593994141</v>
      </c>
    </row>
    <row r="404" customFormat="false" ht="14.25" hidden="false" customHeight="false" outlineLevel="0" collapsed="false">
      <c r="B404" s="89" t="s">
        <v>455</v>
      </c>
      <c r="C404" s="90" t="n">
        <v>165.883819580078</v>
      </c>
    </row>
    <row r="405" customFormat="false" ht="14.25" hidden="false" customHeight="false" outlineLevel="0" collapsed="false">
      <c r="B405" s="89" t="s">
        <v>456</v>
      </c>
      <c r="C405" s="90" t="n">
        <v>163.577529907227</v>
      </c>
    </row>
    <row r="406" customFormat="false" ht="14.25" hidden="false" customHeight="false" outlineLevel="0" collapsed="false">
      <c r="B406" s="89" t="s">
        <v>457</v>
      </c>
      <c r="C406" s="90" t="n">
        <v>164.151626586914</v>
      </c>
    </row>
    <row r="407" customFormat="false" ht="14.25" hidden="false" customHeight="false" outlineLevel="0" collapsed="false">
      <c r="B407" s="89" t="s">
        <v>458</v>
      </c>
      <c r="C407" s="90" t="n">
        <v>166.289642333984</v>
      </c>
    </row>
    <row r="408" customFormat="false" ht="14.25" hidden="false" customHeight="false" outlineLevel="0" collapsed="false">
      <c r="B408" s="89" t="s">
        <v>459</v>
      </c>
      <c r="C408" s="90" t="n">
        <v>167.903060913086</v>
      </c>
    </row>
    <row r="409" customFormat="false" ht="14.25" hidden="false" customHeight="false" outlineLevel="0" collapsed="false">
      <c r="B409" s="89" t="s">
        <v>460</v>
      </c>
      <c r="C409" s="90" t="n">
        <v>164.854431152344</v>
      </c>
    </row>
    <row r="410" customFormat="false" ht="14.25" hidden="false" customHeight="false" outlineLevel="0" collapsed="false">
      <c r="B410" s="89" t="s">
        <v>461</v>
      </c>
      <c r="C410" s="90" t="n">
        <v>165.418594360352</v>
      </c>
    </row>
    <row r="411" customFormat="false" ht="14.25" hidden="false" customHeight="false" outlineLevel="0" collapsed="false">
      <c r="B411" s="89" t="s">
        <v>462</v>
      </c>
      <c r="C411" s="90" t="n">
        <v>166.002593994141</v>
      </c>
    </row>
    <row r="412" customFormat="false" ht="14.25" hidden="false" customHeight="false" outlineLevel="0" collapsed="false">
      <c r="B412" s="89" t="s">
        <v>463</v>
      </c>
      <c r="C412" s="90" t="n">
        <v>164.310012817383</v>
      </c>
    </row>
    <row r="413" customFormat="false" ht="14.25" hidden="false" customHeight="false" outlineLevel="0" collapsed="false">
      <c r="B413" s="89" t="s">
        <v>464</v>
      </c>
      <c r="C413" s="90" t="n">
        <v>165.072158813477</v>
      </c>
    </row>
    <row r="414" customFormat="false" ht="14.25" hidden="false" customHeight="false" outlineLevel="0" collapsed="false">
      <c r="B414" s="89" t="s">
        <v>465</v>
      </c>
      <c r="C414" s="90" t="n">
        <v>165.230529785156</v>
      </c>
    </row>
    <row r="415" customFormat="false" ht="14.25" hidden="false" customHeight="false" outlineLevel="0" collapsed="false">
      <c r="B415" s="89" t="s">
        <v>466</v>
      </c>
      <c r="C415" s="90" t="n">
        <v>169.516448974609</v>
      </c>
    </row>
    <row r="416" customFormat="false" ht="14.25" hidden="false" customHeight="false" outlineLevel="0" collapsed="false">
      <c r="B416" s="89" t="s">
        <v>467</v>
      </c>
      <c r="C416" s="90" t="n">
        <v>167.071594238281</v>
      </c>
    </row>
    <row r="417" customFormat="false" ht="14.25" hidden="false" customHeight="false" outlineLevel="0" collapsed="false">
      <c r="B417" s="89" t="s">
        <v>468</v>
      </c>
      <c r="C417" s="90" t="n">
        <v>165.299819946289</v>
      </c>
    </row>
    <row r="418" customFormat="false" ht="14.25" hidden="false" customHeight="false" outlineLevel="0" collapsed="false">
      <c r="B418" s="89" t="s">
        <v>469</v>
      </c>
      <c r="C418" s="90" t="n">
        <v>164.606948852539</v>
      </c>
    </row>
    <row r="419" customFormat="false" ht="14.25" hidden="false" customHeight="false" outlineLevel="0" collapsed="false">
      <c r="B419" s="89" t="s">
        <v>470</v>
      </c>
      <c r="C419" s="90" t="n">
        <v>162.666900634766</v>
      </c>
    </row>
    <row r="420" customFormat="false" ht="14.25" hidden="false" customHeight="false" outlineLevel="0" collapsed="false">
      <c r="B420" s="89" t="s">
        <v>471</v>
      </c>
      <c r="C420" s="90" t="n">
        <v>158.727432250977</v>
      </c>
    </row>
    <row r="421" customFormat="false" ht="14.25" hidden="false" customHeight="false" outlineLevel="0" collapsed="false">
      <c r="B421" s="89" t="s">
        <v>472</v>
      </c>
      <c r="C421" s="90" t="n">
        <v>156.361755371094</v>
      </c>
    </row>
    <row r="422" customFormat="false" ht="14.25" hidden="false" customHeight="false" outlineLevel="0" collapsed="false">
      <c r="B422" s="89" t="s">
        <v>473</v>
      </c>
      <c r="C422" s="90" t="n">
        <v>157.460464477539</v>
      </c>
    </row>
    <row r="423" customFormat="false" ht="14.25" hidden="false" customHeight="false" outlineLevel="0" collapsed="false">
      <c r="B423" s="89" t="s">
        <v>474</v>
      </c>
      <c r="C423" s="90" t="n">
        <v>159.91520690918</v>
      </c>
    </row>
    <row r="424" customFormat="false" ht="14.25" hidden="false" customHeight="false" outlineLevel="0" collapsed="false">
      <c r="B424" s="89" t="s">
        <v>475</v>
      </c>
      <c r="C424" s="90" t="n">
        <v>163.65673828125</v>
      </c>
    </row>
    <row r="425" customFormat="false" ht="14.25" hidden="false" customHeight="false" outlineLevel="0" collapsed="false">
      <c r="B425" s="89" t="s">
        <v>476</v>
      </c>
      <c r="C425" s="90" t="n">
        <v>164.973205566406</v>
      </c>
    </row>
    <row r="426" customFormat="false" ht="14.25" hidden="false" customHeight="false" outlineLevel="0" collapsed="false">
      <c r="B426" s="89" t="s">
        <v>477</v>
      </c>
      <c r="C426" s="90" t="n">
        <v>162.736206054688</v>
      </c>
    </row>
    <row r="427" customFormat="false" ht="14.25" hidden="false" customHeight="false" outlineLevel="0" collapsed="false">
      <c r="B427" s="89" t="s">
        <v>478</v>
      </c>
      <c r="C427" s="90" t="n">
        <v>163.86457824707</v>
      </c>
    </row>
    <row r="428" customFormat="false" ht="14.25" hidden="false" customHeight="false" outlineLevel="0" collapsed="false">
      <c r="B428" s="89" t="s">
        <v>479</v>
      </c>
      <c r="C428" s="90" t="n">
        <v>163.48908996582</v>
      </c>
    </row>
    <row r="429" customFormat="false" ht="14.25" hidden="false" customHeight="false" outlineLevel="0" collapsed="false">
      <c r="B429" s="89" t="s">
        <v>480</v>
      </c>
      <c r="C429" s="90" t="n">
        <v>164.803314208984</v>
      </c>
    </row>
    <row r="430" customFormat="false" ht="14.25" hidden="false" customHeight="false" outlineLevel="0" collapsed="false">
      <c r="B430" s="89" t="s">
        <v>481</v>
      </c>
      <c r="C430" s="90" t="n">
        <v>166.661041259766</v>
      </c>
    </row>
    <row r="431" customFormat="false" ht="14.25" hidden="false" customHeight="false" outlineLevel="0" collapsed="false">
      <c r="B431" s="89" t="s">
        <v>482</v>
      </c>
      <c r="C431" s="90" t="n">
        <v>165.811233520508</v>
      </c>
    </row>
    <row r="432" customFormat="false" ht="14.25" hidden="false" customHeight="false" outlineLevel="0" collapsed="false">
      <c r="B432" s="89" t="s">
        <v>483</v>
      </c>
      <c r="C432" s="90" t="n">
        <v>166.008880615234</v>
      </c>
    </row>
    <row r="433" customFormat="false" ht="14.25" hidden="false" customHeight="false" outlineLevel="0" collapsed="false">
      <c r="B433" s="89" t="s">
        <v>484</v>
      </c>
      <c r="C433" s="90" t="n">
        <v>166.226272583008</v>
      </c>
    </row>
    <row r="434" customFormat="false" ht="14.25" hidden="false" customHeight="false" outlineLevel="0" collapsed="false">
      <c r="B434" s="89" t="s">
        <v>485</v>
      </c>
      <c r="C434" s="90" t="n">
        <v>166.661041259766</v>
      </c>
    </row>
    <row r="435" customFormat="false" ht="14.25" hidden="false" customHeight="false" outlineLevel="0" collapsed="false">
      <c r="B435" s="89" t="s">
        <v>486</v>
      </c>
      <c r="C435" s="90" t="n">
        <v>169.76383972168</v>
      </c>
    </row>
    <row r="436" customFormat="false" ht="14.25" hidden="false" customHeight="false" outlineLevel="0" collapsed="false">
      <c r="B436" s="89" t="s">
        <v>487</v>
      </c>
      <c r="C436" s="90" t="n">
        <v>175.564254760742</v>
      </c>
    </row>
    <row r="437" customFormat="false" ht="14.25" hidden="false" customHeight="false" outlineLevel="0" collapsed="false">
      <c r="B437" s="89" t="s">
        <v>488</v>
      </c>
      <c r="C437" s="90" t="n">
        <v>181.997100830078</v>
      </c>
    </row>
    <row r="438" customFormat="false" ht="14.25" hidden="false" customHeight="false" outlineLevel="0" collapsed="false">
      <c r="B438" s="89" t="s">
        <v>489</v>
      </c>
      <c r="C438" s="90" t="n">
        <v>182.184844970703</v>
      </c>
    </row>
    <row r="439" customFormat="false" ht="14.25" hidden="false" customHeight="false" outlineLevel="0" collapsed="false">
      <c r="B439" s="89" t="s">
        <v>490</v>
      </c>
      <c r="C439" s="90" t="n">
        <v>183.489227294922</v>
      </c>
    </row>
    <row r="440" customFormat="false" ht="14.25" hidden="false" customHeight="false" outlineLevel="0" collapsed="false">
      <c r="B440" s="89" t="s">
        <v>491</v>
      </c>
      <c r="C440" s="90" t="n">
        <v>187.758010864258</v>
      </c>
    </row>
    <row r="441" customFormat="false" ht="14.25" hidden="false" customHeight="false" outlineLevel="0" collapsed="false">
      <c r="B441" s="89" t="s">
        <v>492</v>
      </c>
      <c r="C441" s="90" t="n">
        <v>183.607772827148</v>
      </c>
    </row>
    <row r="442" customFormat="false" ht="14.25" hidden="false" customHeight="false" outlineLevel="0" collapsed="false">
      <c r="B442" s="89" t="s">
        <v>493</v>
      </c>
      <c r="C442" s="90" t="n">
        <v>184.427932739258</v>
      </c>
    </row>
    <row r="443" customFormat="false" ht="14.25" hidden="false" customHeight="false" outlineLevel="0" collapsed="false">
      <c r="B443" s="89" t="s">
        <v>494</v>
      </c>
      <c r="C443" s="90" t="n">
        <v>182.846893310547</v>
      </c>
    </row>
    <row r="444" customFormat="false" ht="14.25" hidden="false" customHeight="false" outlineLevel="0" collapsed="false">
      <c r="B444" s="89" t="s">
        <v>495</v>
      </c>
      <c r="C444" s="90" t="n">
        <v>178.350845336914</v>
      </c>
    </row>
    <row r="445" customFormat="false" ht="14.25" hidden="false" customHeight="false" outlineLevel="0" collapsed="false">
      <c r="B445" s="89" t="s">
        <v>496</v>
      </c>
      <c r="C445" s="90" t="n">
        <v>181.186813354492</v>
      </c>
    </row>
    <row r="446" customFormat="false" ht="14.25" hidden="false" customHeight="false" outlineLevel="0" collapsed="false">
      <c r="B446" s="89" t="s">
        <v>497</v>
      </c>
      <c r="C446" s="90" t="n">
        <v>182.876586914063</v>
      </c>
    </row>
    <row r="447" customFormat="false" ht="14.25" hidden="false" customHeight="false" outlineLevel="0" collapsed="false">
      <c r="B447" s="89" t="s">
        <v>498</v>
      </c>
      <c r="C447" s="90" t="n">
        <v>183.627548217773</v>
      </c>
    </row>
    <row r="448" customFormat="false" ht="14.25" hidden="false" customHeight="false" outlineLevel="0" collapsed="false">
      <c r="B448" s="89" t="s">
        <v>499</v>
      </c>
      <c r="C448" s="90" t="n">
        <v>186.167083740234</v>
      </c>
    </row>
    <row r="449" customFormat="false" ht="14.25" hidden="false" customHeight="false" outlineLevel="0" collapsed="false">
      <c r="B449" s="89" t="s">
        <v>500</v>
      </c>
      <c r="C449" s="90" t="n">
        <v>184.556396484375</v>
      </c>
    </row>
    <row r="450" customFormat="false" ht="14.25" hidden="false" customHeight="false" outlineLevel="0" collapsed="false">
      <c r="B450" s="89" t="s">
        <v>501</v>
      </c>
      <c r="C450" s="90" t="n">
        <v>185.643371582031</v>
      </c>
    </row>
    <row r="451" customFormat="false" ht="14.25" hidden="false" customHeight="false" outlineLevel="0" collapsed="false">
      <c r="B451" s="89" t="s">
        <v>502</v>
      </c>
      <c r="C451" s="90" t="n">
        <v>194.595977783203</v>
      </c>
    </row>
    <row r="452" customFormat="false" ht="14.25" hidden="false" customHeight="false" outlineLevel="0" collapsed="false">
      <c r="B452" s="89" t="s">
        <v>503</v>
      </c>
      <c r="C452" s="90" t="n">
        <v>182.580123901367</v>
      </c>
    </row>
    <row r="453" customFormat="false" ht="14.25" hidden="false" customHeight="false" outlineLevel="0" collapsed="false">
      <c r="B453" s="89" t="s">
        <v>504</v>
      </c>
      <c r="C453" s="90" t="n">
        <v>179.111709594727</v>
      </c>
    </row>
    <row r="454" customFormat="false" ht="14.25" hidden="false" customHeight="false" outlineLevel="0" collapsed="false">
      <c r="B454" s="89" t="s">
        <v>505</v>
      </c>
      <c r="C454" s="90" t="n">
        <v>176.878509521484</v>
      </c>
    </row>
    <row r="455" customFormat="false" ht="14.25" hidden="false" customHeight="false" outlineLevel="0" collapsed="false">
      <c r="B455" s="89" t="s">
        <v>506</v>
      </c>
      <c r="C455" s="90" t="n">
        <v>176.769805908203</v>
      </c>
    </row>
    <row r="456" customFormat="false" ht="14.25" hidden="false" customHeight="false" outlineLevel="0" collapsed="false">
      <c r="B456" s="89" t="s">
        <v>507</v>
      </c>
      <c r="C456" s="90" t="n">
        <v>176.819198608398</v>
      </c>
    </row>
    <row r="457" customFormat="false" ht="14.25" hidden="false" customHeight="false" outlineLevel="0" collapsed="false">
      <c r="B457" s="89" t="s">
        <v>508</v>
      </c>
      <c r="C457" s="90" t="n">
        <v>178.23225402832</v>
      </c>
    </row>
    <row r="458" customFormat="false" ht="14.25" hidden="false" customHeight="false" outlineLevel="0" collapsed="false">
      <c r="B458" s="89" t="s">
        <v>509</v>
      </c>
      <c r="C458" s="90" t="n">
        <v>180.406204223633</v>
      </c>
    </row>
    <row r="459" customFormat="false" ht="14.25" hidden="false" customHeight="false" outlineLevel="0" collapsed="false">
      <c r="B459" s="89" t="s">
        <v>510</v>
      </c>
      <c r="C459" s="90" t="n">
        <v>181.819244384766</v>
      </c>
    </row>
    <row r="460" customFormat="false" ht="14.25" hidden="false" customHeight="false" outlineLevel="0" collapsed="false">
      <c r="B460" s="89" t="s">
        <v>511</v>
      </c>
      <c r="C460" s="90" t="n">
        <v>181.937805175781</v>
      </c>
    </row>
    <row r="461" customFormat="false" ht="14.25" hidden="false" customHeight="false" outlineLevel="0" collapsed="false">
      <c r="B461" s="89" t="s">
        <v>512</v>
      </c>
      <c r="C461" s="90" t="n">
        <v>188.014923095703</v>
      </c>
    </row>
    <row r="462" customFormat="false" ht="14.25" hidden="false" customHeight="false" outlineLevel="0" collapsed="false">
      <c r="B462" s="89" t="s">
        <v>513</v>
      </c>
      <c r="C462" s="90" t="n">
        <v>187.007019042969</v>
      </c>
    </row>
    <row r="463" customFormat="false" ht="14.25" hidden="false" customHeight="false" outlineLevel="0" collapsed="false">
      <c r="B463" s="89" t="s">
        <v>514</v>
      </c>
      <c r="C463" s="90" t="n">
        <v>184.892364501953</v>
      </c>
    </row>
    <row r="464" customFormat="false" ht="14.25" hidden="false" customHeight="false" outlineLevel="0" collapsed="false">
      <c r="B464" s="89" t="s">
        <v>515</v>
      </c>
      <c r="C464" s="90" t="n">
        <v>182.55046081543</v>
      </c>
    </row>
    <row r="465" customFormat="false" ht="14.25" hidden="false" customHeight="false" outlineLevel="0" collapsed="false">
      <c r="B465" s="89" t="s">
        <v>516</v>
      </c>
      <c r="C465" s="90" t="n">
        <v>179.299453735352</v>
      </c>
    </row>
    <row r="466" customFormat="false" ht="14.25" hidden="false" customHeight="false" outlineLevel="0" collapsed="false">
      <c r="B466" s="89" t="s">
        <v>517</v>
      </c>
      <c r="C466" s="90" t="n">
        <v>177.421981811523</v>
      </c>
    </row>
    <row r="467" customFormat="false" ht="14.25" hidden="false" customHeight="false" outlineLevel="0" collapsed="false">
      <c r="B467" s="89" t="s">
        <v>518</v>
      </c>
      <c r="C467" s="90" t="n">
        <v>176.670989990234</v>
      </c>
    </row>
    <row r="468" customFormat="false" ht="14.25" hidden="false" customHeight="false" outlineLevel="0" collapsed="false">
      <c r="B468" s="89" t="s">
        <v>519</v>
      </c>
      <c r="C468" s="90" t="n">
        <v>177.659133911133</v>
      </c>
    </row>
    <row r="469" customFormat="false" ht="14.25" hidden="false" customHeight="false" outlineLevel="0" collapsed="false">
      <c r="B469" s="89" t="s">
        <v>520</v>
      </c>
      <c r="C469" s="90" t="n">
        <v>178.9140625</v>
      </c>
    </row>
    <row r="470" customFormat="false" ht="14.25" hidden="false" customHeight="false" outlineLevel="0" collapsed="false">
      <c r="B470" s="89" t="s">
        <v>521</v>
      </c>
      <c r="C470" s="90" t="n">
        <v>178.578125</v>
      </c>
    </row>
    <row r="471" customFormat="false" ht="14.25" hidden="false" customHeight="false" outlineLevel="0" collapsed="false">
      <c r="B471" s="89" t="s">
        <v>522</v>
      </c>
      <c r="C471" s="90" t="n">
        <v>183.232269287109</v>
      </c>
    </row>
    <row r="472" customFormat="false" ht="14.25" hidden="false" customHeight="false" outlineLevel="0" collapsed="false">
      <c r="B472" s="89" t="s">
        <v>523</v>
      </c>
      <c r="C472" s="90" t="n">
        <v>179.279693603516</v>
      </c>
    </row>
    <row r="473" customFormat="false" ht="14.25" hidden="false" customHeight="false" outlineLevel="0" collapsed="false">
      <c r="B473" s="89" t="s">
        <v>524</v>
      </c>
      <c r="C473" s="90" t="n">
        <v>179.803421020508</v>
      </c>
    </row>
    <row r="474" customFormat="false" ht="14.25" hidden="false" customHeight="false" outlineLevel="0" collapsed="false">
      <c r="B474" s="89" t="s">
        <v>525</v>
      </c>
      <c r="C474" s="90" t="n">
        <v>174.388366699219</v>
      </c>
    </row>
    <row r="475" customFormat="false" ht="14.25" hidden="false" customHeight="false" outlineLevel="0" collapsed="false">
      <c r="B475" s="89" t="s">
        <v>526</v>
      </c>
      <c r="C475" s="90" t="n">
        <v>173.894271850586</v>
      </c>
    </row>
    <row r="476" customFormat="false" ht="14.25" hidden="false" customHeight="false" outlineLevel="0" collapsed="false">
      <c r="B476" s="89" t="s">
        <v>527</v>
      </c>
      <c r="C476" s="90" t="n">
        <v>183.943740844727</v>
      </c>
    </row>
    <row r="477" customFormat="false" ht="14.25" hidden="false" customHeight="false" outlineLevel="0" collapsed="false">
      <c r="B477" s="89" t="s">
        <v>528</v>
      </c>
      <c r="C477" s="90" t="n">
        <v>187.827178955078</v>
      </c>
    </row>
    <row r="478" customFormat="false" ht="14.25" hidden="false" customHeight="false" outlineLevel="0" collapsed="false">
      <c r="B478" s="89" t="s">
        <v>529</v>
      </c>
      <c r="C478" s="90" t="n">
        <v>189.971481323242</v>
      </c>
    </row>
    <row r="479" customFormat="false" ht="14.25" hidden="false" customHeight="false" outlineLevel="0" collapsed="false">
      <c r="B479" s="89" t="s">
        <v>530</v>
      </c>
      <c r="C479" s="90" t="n">
        <v>186.83903503418</v>
      </c>
    </row>
    <row r="480" customFormat="false" ht="14.25" hidden="false" customHeight="false" outlineLevel="0" collapsed="false">
      <c r="B480" s="89" t="s">
        <v>531</v>
      </c>
      <c r="C480" s="90" t="n">
        <v>191.009017944336</v>
      </c>
    </row>
    <row r="481" customFormat="false" ht="14.25" hidden="false" customHeight="false" outlineLevel="0" collapsed="false">
      <c r="B481" s="89" t="s">
        <v>532</v>
      </c>
      <c r="C481" s="90" t="n">
        <v>190.910202026367</v>
      </c>
    </row>
    <row r="482" customFormat="false" ht="14.25" hidden="false" customHeight="false" outlineLevel="0" collapsed="false">
      <c r="B482" s="89" t="s">
        <v>533</v>
      </c>
      <c r="C482" s="90" t="n">
        <v>189.042602539063</v>
      </c>
    </row>
    <row r="483" customFormat="false" ht="14.25" hidden="false" customHeight="false" outlineLevel="0" collapsed="false">
      <c r="B483" s="89" t="s">
        <v>534</v>
      </c>
      <c r="C483" s="90" t="n">
        <v>186.532730102539</v>
      </c>
    </row>
    <row r="484" customFormat="false" ht="14.25" hidden="false" customHeight="false" outlineLevel="0" collapsed="false">
      <c r="B484" s="89" t="s">
        <v>535</v>
      </c>
      <c r="C484" s="90" t="n">
        <v>190.50505065918</v>
      </c>
    </row>
    <row r="485" customFormat="false" ht="14.25" hidden="false" customHeight="false" outlineLevel="0" collapsed="false">
      <c r="B485" s="89" t="s">
        <v>536</v>
      </c>
      <c r="C485" s="90" t="n">
        <v>191.354843139648</v>
      </c>
    </row>
    <row r="486" customFormat="false" ht="14.25" hidden="false" customHeight="false" outlineLevel="0" collapsed="false">
      <c r="B486" s="89" t="s">
        <v>537</v>
      </c>
      <c r="C486" s="90" t="n">
        <v>190.455657958984</v>
      </c>
    </row>
    <row r="487" customFormat="false" ht="14.25" hidden="false" customHeight="false" outlineLevel="0" collapsed="false">
      <c r="B487" s="89" t="s">
        <v>538</v>
      </c>
      <c r="C487" s="90" t="n">
        <v>189.507019042969</v>
      </c>
    </row>
    <row r="488" customFormat="false" ht="14.25" hidden="false" customHeight="false" outlineLevel="0" collapsed="false">
      <c r="B488" s="89" t="s">
        <v>539</v>
      </c>
      <c r="C488" s="90" t="n">
        <v>188.489227294922</v>
      </c>
    </row>
    <row r="489" customFormat="false" ht="14.25" hidden="false" customHeight="false" outlineLevel="0" collapsed="false">
      <c r="B489" s="89" t="s">
        <v>540</v>
      </c>
      <c r="C489" s="90" t="n">
        <v>189.072250366211</v>
      </c>
    </row>
    <row r="490" customFormat="false" ht="14.25" hidden="false" customHeight="false" outlineLevel="0" collapsed="false">
      <c r="B490" s="89" t="s">
        <v>541</v>
      </c>
      <c r="C490" s="90" t="n">
        <v>188.351974487305</v>
      </c>
    </row>
    <row r="491" customFormat="false" ht="14.25" hidden="false" customHeight="false" outlineLevel="0" collapsed="false">
      <c r="B491" s="89" t="s">
        <v>542</v>
      </c>
      <c r="C491" s="90" t="n">
        <v>188.726898193359</v>
      </c>
    </row>
    <row r="492" customFormat="false" ht="14.25" hidden="false" customHeight="false" outlineLevel="0" collapsed="false">
      <c r="B492" s="89" t="s">
        <v>543</v>
      </c>
      <c r="C492" s="90" t="n">
        <v>188.638092041016</v>
      </c>
    </row>
    <row r="493" customFormat="false" ht="14.25" hidden="false" customHeight="false" outlineLevel="0" collapsed="false">
      <c r="B493" s="89" t="s">
        <v>544</v>
      </c>
      <c r="C493" s="90" t="n">
        <v>187.0791015625</v>
      </c>
    </row>
    <row r="494" customFormat="false" ht="14.25" hidden="false" customHeight="false" outlineLevel="0" collapsed="false">
      <c r="B494" s="89" t="s">
        <v>545</v>
      </c>
      <c r="C494" s="90" t="n">
        <v>186.299606323242</v>
      </c>
    </row>
    <row r="495" customFormat="false" ht="14.25" hidden="false" customHeight="false" outlineLevel="0" collapsed="false">
      <c r="B495" s="89" t="s">
        <v>546</v>
      </c>
      <c r="C495" s="90" t="n">
        <v>188.786102294922</v>
      </c>
    </row>
    <row r="496" customFormat="false" ht="14.25" hidden="false" customHeight="false" outlineLevel="0" collapsed="false">
      <c r="B496" s="89" t="s">
        <v>547</v>
      </c>
      <c r="C496" s="90" t="n">
        <v>189.535995483398</v>
      </c>
    </row>
    <row r="497" customFormat="false" ht="14.25" hidden="false" customHeight="false" outlineLevel="0" collapsed="false">
      <c r="B497" s="89" t="s">
        <v>548</v>
      </c>
      <c r="C497" s="90" t="n">
        <v>186.743606567383</v>
      </c>
    </row>
    <row r="498" customFormat="false" ht="14.25" hidden="false" customHeight="false" outlineLevel="0" collapsed="false">
      <c r="B498" s="89" t="s">
        <v>549</v>
      </c>
      <c r="C498" s="90" t="n">
        <v>192.555313110352</v>
      </c>
    </row>
    <row r="499" customFormat="false" ht="14.25" hidden="false" customHeight="false" outlineLevel="0" collapsed="false">
      <c r="B499" s="89" t="s">
        <v>550</v>
      </c>
      <c r="C499" s="90" t="n">
        <v>184.493942260742</v>
      </c>
    </row>
    <row r="500" customFormat="false" ht="14.25" hidden="false" customHeight="false" outlineLevel="0" collapsed="false">
      <c r="B500" s="89" t="s">
        <v>551</v>
      </c>
      <c r="C500" s="90" t="n">
        <v>182.056777954102</v>
      </c>
    </row>
    <row r="501" customFormat="false" ht="14.25" hidden="false" customHeight="false" outlineLevel="0" collapsed="false">
      <c r="B501" s="89" t="s">
        <v>552</v>
      </c>
      <c r="C501" s="90" t="n">
        <v>180.69514465332</v>
      </c>
    </row>
    <row r="502" customFormat="false" ht="14.25" hidden="false" customHeight="false" outlineLevel="0" collapsed="false">
      <c r="B502" s="89" t="s">
        <v>553</v>
      </c>
      <c r="C502" s="90" t="n">
        <v>178.909210205078</v>
      </c>
    </row>
    <row r="503" customFormat="false" ht="14.25" hidden="false" customHeight="false" outlineLevel="0" collapsed="false">
      <c r="B503" s="89" t="s">
        <v>554</v>
      </c>
      <c r="C503" s="90" t="n">
        <v>172.169998168945</v>
      </c>
    </row>
    <row r="504" customFormat="false" ht="14.25" hidden="false" customHeight="false" outlineLevel="0" collapsed="false">
      <c r="B504" s="89" t="s">
        <v>555</v>
      </c>
      <c r="C504" s="90" t="n">
        <v>170.216323852539</v>
      </c>
    </row>
    <row r="505" customFormat="false" ht="14.25" hidden="false" customHeight="false" outlineLevel="0" collapsed="false">
      <c r="B505" s="89" t="s">
        <v>556</v>
      </c>
      <c r="C505" s="90" t="n">
        <v>170.315017700195</v>
      </c>
    </row>
    <row r="506" customFormat="false" ht="14.25" hidden="false" customHeight="false" outlineLevel="0" collapsed="false">
      <c r="B506" s="89" t="s">
        <v>557</v>
      </c>
      <c r="C506" s="90" t="n">
        <v>168.657302856445</v>
      </c>
    </row>
    <row r="507" customFormat="false" ht="14.25" hidden="false" customHeight="false" outlineLevel="0" collapsed="false">
      <c r="B507" s="89" t="s">
        <v>558</v>
      </c>
      <c r="C507" s="90" t="n">
        <v>168.627731323242</v>
      </c>
    </row>
    <row r="508" customFormat="false" ht="14.25" hidden="false" customHeight="false" outlineLevel="0" collapsed="false">
      <c r="B508" s="89" t="s">
        <v>559</v>
      </c>
      <c r="C508" s="90" t="n">
        <v>169.348037719727</v>
      </c>
    </row>
    <row r="509" customFormat="false" ht="14.25" hidden="false" customHeight="false" outlineLevel="0" collapsed="false">
      <c r="B509" s="89" t="s">
        <v>560</v>
      </c>
      <c r="C509" s="90" t="n">
        <v>171.360900878906</v>
      </c>
    </row>
    <row r="510" customFormat="false" ht="14.25" hidden="false" customHeight="false" outlineLevel="0" collapsed="false">
      <c r="B510" s="89" t="s">
        <v>561</v>
      </c>
      <c r="C510" s="90" t="n">
        <v>171.725982666016</v>
      </c>
    </row>
    <row r="511" customFormat="false" ht="14.25" hidden="false" customHeight="false" outlineLevel="0" collapsed="false">
      <c r="B511" s="89" t="s">
        <v>562</v>
      </c>
      <c r="C511" s="90" t="n">
        <v>180.626068115234</v>
      </c>
    </row>
    <row r="512" customFormat="false" ht="14.25" hidden="false" customHeight="false" outlineLevel="0" collapsed="false">
      <c r="B512" s="89" t="s">
        <v>563</v>
      </c>
      <c r="C512" s="90" t="n">
        <v>178.840148925781</v>
      </c>
    </row>
    <row r="513" customFormat="false" ht="14.25" hidden="false" customHeight="false" outlineLevel="0" collapsed="false">
      <c r="B513" s="89" t="s">
        <v>564</v>
      </c>
      <c r="C513" s="90" t="n">
        <v>178.41584777832</v>
      </c>
    </row>
    <row r="514" customFormat="false" ht="14.25" hidden="false" customHeight="false" outlineLevel="0" collapsed="false">
      <c r="B514" s="89" t="s">
        <v>565</v>
      </c>
      <c r="C514" s="90" t="n">
        <v>179.126266479492</v>
      </c>
    </row>
    <row r="515" customFormat="false" ht="14.25" hidden="false" customHeight="false" outlineLevel="0" collapsed="false">
      <c r="B515" s="89" t="s">
        <v>566</v>
      </c>
      <c r="C515" s="90" t="n">
        <v>183.635498046875</v>
      </c>
    </row>
    <row r="516" customFormat="false" ht="14.25" hidden="false" customHeight="false" outlineLevel="0" collapsed="false">
      <c r="B516" s="89" t="s">
        <v>567</v>
      </c>
      <c r="C516" s="90" t="n">
        <v>183.67497253418</v>
      </c>
    </row>
    <row r="517" customFormat="false" ht="14.25" hidden="false" customHeight="false" outlineLevel="0" collapsed="false">
      <c r="B517" s="89" t="s">
        <v>568</v>
      </c>
      <c r="C517" s="90" t="n">
        <v>175.988555908203</v>
      </c>
    </row>
    <row r="518" customFormat="false" ht="14.25" hidden="false" customHeight="false" outlineLevel="0" collapsed="false">
      <c r="B518" s="89" t="s">
        <v>569</v>
      </c>
      <c r="C518" s="90" t="n">
        <v>177.833679199219</v>
      </c>
    </row>
    <row r="519" customFormat="false" ht="14.25" hidden="false" customHeight="false" outlineLevel="0" collapsed="false">
      <c r="B519" s="89" t="s">
        <v>570</v>
      </c>
      <c r="C519" s="90" t="n">
        <v>174.478912353516</v>
      </c>
    </row>
    <row r="520" customFormat="false" ht="14.25" hidden="false" customHeight="false" outlineLevel="0" collapsed="false">
      <c r="B520" s="89" t="s">
        <v>571</v>
      </c>
      <c r="C520" s="90" t="n">
        <v>176.629913330078</v>
      </c>
    </row>
    <row r="521" customFormat="false" ht="14.25" hidden="false" customHeight="false" outlineLevel="0" collapsed="false">
      <c r="B521" s="89" t="s">
        <v>572</v>
      </c>
      <c r="C521" s="90" t="n">
        <v>174.745300292969</v>
      </c>
    </row>
    <row r="522" customFormat="false" ht="14.25" hidden="false" customHeight="false" outlineLevel="0" collapsed="false">
      <c r="B522" s="89" t="s">
        <v>573</v>
      </c>
      <c r="C522" s="90" t="n">
        <v>173.896743774414</v>
      </c>
    </row>
    <row r="523" customFormat="false" ht="14.25" hidden="false" customHeight="false" outlineLevel="0" collapsed="false">
      <c r="B523" s="89" t="s">
        <v>574</v>
      </c>
      <c r="C523" s="90" t="n">
        <v>172.258804321289</v>
      </c>
    </row>
    <row r="524" customFormat="false" ht="14.25" hidden="false" customHeight="false" outlineLevel="0" collapsed="false">
      <c r="B524" s="89" t="s">
        <v>575</v>
      </c>
      <c r="C524" s="90" t="n">
        <v>171.814804077148</v>
      </c>
    </row>
    <row r="525" customFormat="false" ht="14.25" hidden="false" customHeight="false" outlineLevel="0" collapsed="false">
      <c r="B525" s="89" t="s">
        <v>576</v>
      </c>
      <c r="C525" s="90" t="n">
        <v>169.002670288086</v>
      </c>
    </row>
    <row r="526" customFormat="false" ht="14.25" hidden="false" customHeight="false" outlineLevel="0" collapsed="false">
      <c r="B526" s="89" t="s">
        <v>577</v>
      </c>
      <c r="C526" s="90" t="n">
        <v>172.485733032227</v>
      </c>
    </row>
    <row r="527" customFormat="false" ht="14.25" hidden="false" customHeight="false" outlineLevel="0" collapsed="false">
      <c r="B527" s="89" t="s">
        <v>578</v>
      </c>
      <c r="C527" s="90" t="n">
        <v>173.472473144531</v>
      </c>
    </row>
    <row r="528" customFormat="false" ht="14.25" hidden="false" customHeight="false" outlineLevel="0" collapsed="false">
      <c r="B528" s="89" t="s">
        <v>579</v>
      </c>
      <c r="C528" s="90" t="n">
        <v>172.012145996094</v>
      </c>
    </row>
    <row r="529" customFormat="false" ht="14.25" hidden="false" customHeight="false" outlineLevel="0" collapsed="false">
      <c r="B529" s="89" t="s">
        <v>580</v>
      </c>
      <c r="C529" s="90" t="n">
        <v>174.843948364258</v>
      </c>
    </row>
    <row r="530" customFormat="false" ht="14.25" hidden="false" customHeight="false" outlineLevel="0" collapsed="false">
      <c r="B530" s="89" t="s">
        <v>581</v>
      </c>
      <c r="C530" s="90" t="n">
        <v>171.883850097656</v>
      </c>
    </row>
    <row r="531" customFormat="false" ht="14.25" hidden="false" customHeight="false" outlineLevel="0" collapsed="false">
      <c r="B531" s="89" t="s">
        <v>582</v>
      </c>
      <c r="C531" s="90" t="n">
        <v>176.639801025391</v>
      </c>
    </row>
    <row r="532" customFormat="false" ht="14.25" hidden="false" customHeight="false" outlineLevel="0" collapsed="false">
      <c r="B532" s="89" t="s">
        <v>583</v>
      </c>
      <c r="C532" s="90" t="n">
        <v>182.244247436523</v>
      </c>
    </row>
    <row r="533" customFormat="false" ht="14.25" hidden="false" customHeight="false" outlineLevel="0" collapsed="false">
      <c r="B533" s="89" t="s">
        <v>584</v>
      </c>
      <c r="C533" s="90" t="n">
        <v>189.535995483398</v>
      </c>
    </row>
    <row r="534" customFormat="false" ht="14.25" hidden="false" customHeight="false" outlineLevel="0" collapsed="false">
      <c r="B534" s="89" t="s">
        <v>585</v>
      </c>
      <c r="C534" s="90" t="n">
        <v>189.190643310547</v>
      </c>
    </row>
    <row r="535" customFormat="false" ht="14.25" hidden="false" customHeight="false" outlineLevel="0" collapsed="false">
      <c r="B535" s="89" t="s">
        <v>586</v>
      </c>
      <c r="C535" s="90" t="n">
        <v>188.608474731445</v>
      </c>
    </row>
    <row r="536" customFormat="false" ht="14.25" hidden="false" customHeight="false" outlineLevel="0" collapsed="false">
      <c r="B536" s="89" t="s">
        <v>587</v>
      </c>
      <c r="C536" s="90" t="n">
        <v>189.891220092773</v>
      </c>
    </row>
    <row r="537" customFormat="false" ht="14.25" hidden="false" customHeight="false" outlineLevel="0" collapsed="false">
      <c r="B537" s="89" t="s">
        <v>588</v>
      </c>
      <c r="C537" s="90" t="n">
        <v>182.510650634766</v>
      </c>
    </row>
    <row r="538" customFormat="false" ht="14.25" hidden="false" customHeight="false" outlineLevel="0" collapsed="false">
      <c r="B538" s="89" t="s">
        <v>589</v>
      </c>
      <c r="C538" s="90" t="n">
        <v>175.268264770508</v>
      </c>
    </row>
    <row r="539" customFormat="false" ht="14.25" hidden="false" customHeight="false" outlineLevel="0" collapsed="false">
      <c r="B539" s="89" t="s">
        <v>590</v>
      </c>
      <c r="C539" s="90" t="n">
        <v>176.748321533203</v>
      </c>
    </row>
    <row r="540" customFormat="false" ht="14.25" hidden="false" customHeight="false" outlineLevel="0" collapsed="false">
      <c r="B540" s="89" t="s">
        <v>591</v>
      </c>
      <c r="C540" s="90" t="n">
        <v>178.257965087891</v>
      </c>
    </row>
    <row r="541" customFormat="false" ht="14.25" hidden="false" customHeight="false" outlineLevel="0" collapsed="false">
      <c r="B541" s="89" t="s">
        <v>592</v>
      </c>
      <c r="C541" s="90" t="n">
        <v>178.919067382813</v>
      </c>
    </row>
    <row r="542" customFormat="false" ht="14.25" hidden="false" customHeight="false" outlineLevel="0" collapsed="false">
      <c r="B542" s="89" t="s">
        <v>593</v>
      </c>
      <c r="C542" s="90" t="n">
        <v>180.389266967773</v>
      </c>
    </row>
    <row r="543" customFormat="false" ht="14.25" hidden="false" customHeight="false" outlineLevel="0" collapsed="false">
      <c r="B543" s="89" t="s">
        <v>594</v>
      </c>
      <c r="C543" s="90" t="n">
        <v>181.504241943359</v>
      </c>
    </row>
    <row r="544" customFormat="false" ht="14.25" hidden="false" customHeight="false" outlineLevel="0" collapsed="false">
      <c r="B544" s="89" t="s">
        <v>595</v>
      </c>
      <c r="C544" s="90" t="n">
        <v>187.434326171875</v>
      </c>
    </row>
    <row r="545" customFormat="false" ht="14.25" hidden="false" customHeight="false" outlineLevel="0" collapsed="false">
      <c r="B545" s="89" t="s">
        <v>596</v>
      </c>
      <c r="C545" s="90" t="n">
        <v>180.024185180664</v>
      </c>
    </row>
    <row r="546" customFormat="false" ht="14.25" hidden="false" customHeight="false" outlineLevel="0" collapsed="false">
      <c r="B546" s="89" t="s">
        <v>597</v>
      </c>
      <c r="C546" s="90" t="n">
        <v>179.076934814453</v>
      </c>
    </row>
    <row r="547" customFormat="false" ht="14.25" hidden="false" customHeight="false" outlineLevel="0" collapsed="false">
      <c r="B547" s="89" t="s">
        <v>598</v>
      </c>
      <c r="C547" s="90" t="n">
        <v>174.380233764648</v>
      </c>
    </row>
    <row r="548" customFormat="false" ht="14.25" hidden="false" customHeight="false" outlineLevel="0" collapsed="false">
      <c r="B548" s="89" t="s">
        <v>599</v>
      </c>
      <c r="C548" s="90" t="n">
        <v>165.519638061523</v>
      </c>
    </row>
    <row r="549" customFormat="false" ht="14.25" hidden="false" customHeight="false" outlineLevel="0" collapsed="false">
      <c r="B549" s="89" t="s">
        <v>600</v>
      </c>
      <c r="C549" s="90" t="n">
        <v>163.190994262695</v>
      </c>
    </row>
    <row r="550" customFormat="false" ht="14.25" hidden="false" customHeight="false" outlineLevel="0" collapsed="false">
      <c r="B550" s="89" t="s">
        <v>601</v>
      </c>
      <c r="C550" s="90" t="n">
        <v>163.26008605957</v>
      </c>
    </row>
    <row r="551" customFormat="false" ht="14.25" hidden="false" customHeight="false" outlineLevel="0" collapsed="false">
      <c r="B551" s="89" t="s">
        <v>602</v>
      </c>
      <c r="C551" s="90" t="n">
        <v>160.290100097656</v>
      </c>
    </row>
    <row r="552" customFormat="false" ht="14.25" hidden="false" customHeight="false" outlineLevel="0" collapsed="false">
      <c r="B552" s="89" t="s">
        <v>603</v>
      </c>
      <c r="C552" s="90" t="n">
        <v>162.066162109375</v>
      </c>
    </row>
    <row r="553" customFormat="false" ht="14.25" hidden="false" customHeight="false" outlineLevel="0" collapsed="false">
      <c r="B553" s="89" t="s">
        <v>604</v>
      </c>
      <c r="C553" s="90" t="n">
        <v>162.529922485352</v>
      </c>
    </row>
    <row r="554" customFormat="false" ht="14.25" hidden="false" customHeight="false" outlineLevel="0" collapsed="false">
      <c r="B554" s="89" t="s">
        <v>605</v>
      </c>
      <c r="C554" s="90" t="n">
        <v>161.466094970703</v>
      </c>
    </row>
    <row r="555" customFormat="false" ht="14.25" hidden="false" customHeight="false" outlineLevel="0" collapsed="false">
      <c r="B555" s="89" t="s">
        <v>606</v>
      </c>
      <c r="C555" s="90" t="n">
        <v>166.007049560547</v>
      </c>
    </row>
    <row r="556" customFormat="false" ht="14.25" hidden="false" customHeight="false" outlineLevel="0" collapsed="false">
      <c r="B556" s="89" t="s">
        <v>607</v>
      </c>
      <c r="C556" s="90" t="n">
        <v>169.13948059082</v>
      </c>
    </row>
    <row r="557" customFormat="false" ht="14.25" hidden="false" customHeight="false" outlineLevel="0" collapsed="false">
      <c r="B557" s="89" t="s">
        <v>608</v>
      </c>
      <c r="C557" s="90" t="n">
        <v>166.539001464844</v>
      </c>
    </row>
    <row r="558" customFormat="false" ht="14.25" hidden="false" customHeight="false" outlineLevel="0" collapsed="false">
      <c r="B558" s="89" t="s">
        <v>609</v>
      </c>
      <c r="C558" s="90" t="n">
        <v>166.007049560547</v>
      </c>
    </row>
    <row r="559" customFormat="false" ht="14.25" hidden="false" customHeight="false" outlineLevel="0" collapsed="false">
      <c r="B559" s="89" t="s">
        <v>610</v>
      </c>
      <c r="C559" s="90" t="n">
        <v>171.326232910156</v>
      </c>
    </row>
    <row r="560" customFormat="false" ht="14.25" hidden="false" customHeight="false" outlineLevel="0" collapsed="false">
      <c r="B560" s="89" t="s">
        <v>611</v>
      </c>
      <c r="C560" s="90" t="n">
        <v>169.060668945313</v>
      </c>
    </row>
    <row r="561" customFormat="false" ht="14.25" hidden="false" customHeight="false" outlineLevel="0" collapsed="false">
      <c r="B561" s="89" t="s">
        <v>612</v>
      </c>
      <c r="C561" s="90" t="n">
        <v>168.361282348633</v>
      </c>
    </row>
    <row r="562" customFormat="false" ht="14.25" hidden="false" customHeight="false" outlineLevel="0" collapsed="false">
      <c r="B562" s="89" t="s">
        <v>613</v>
      </c>
      <c r="C562" s="90" t="n">
        <v>168.587829589844</v>
      </c>
    </row>
    <row r="563" customFormat="false" ht="14.25" hidden="false" customHeight="false" outlineLevel="0" collapsed="false">
      <c r="B563" s="89" t="s">
        <v>614</v>
      </c>
      <c r="C563" s="90" t="n">
        <v>166.154830932617</v>
      </c>
    </row>
    <row r="564" customFormat="false" ht="14.25" hidden="false" customHeight="false" outlineLevel="0" collapsed="false">
      <c r="B564" s="89" t="s">
        <v>615</v>
      </c>
      <c r="C564" s="90" t="n">
        <v>160.067337036133</v>
      </c>
    </row>
    <row r="565" customFormat="false" ht="14.25" hidden="false" customHeight="false" outlineLevel="0" collapsed="false">
      <c r="B565" s="89" t="s">
        <v>616</v>
      </c>
      <c r="C565" s="90" t="n">
        <v>161.850234985352</v>
      </c>
    </row>
    <row r="566" customFormat="false" ht="14.25" hidden="false" customHeight="false" outlineLevel="0" collapsed="false">
      <c r="B566" s="89" t="s">
        <v>617</v>
      </c>
      <c r="C566" s="90" t="n">
        <v>162.786010742188</v>
      </c>
    </row>
    <row r="567" customFormat="false" ht="14.25" hidden="false" customHeight="false" outlineLevel="0" collapsed="false">
      <c r="B567" s="89" t="s">
        <v>618</v>
      </c>
      <c r="C567" s="90" t="n">
        <v>157.821441650391</v>
      </c>
    </row>
    <row r="568" customFormat="false" ht="14.25" hidden="false" customHeight="false" outlineLevel="0" collapsed="false">
      <c r="B568" s="89" t="s">
        <v>619</v>
      </c>
      <c r="C568" s="90" t="n">
        <v>157.772216796875</v>
      </c>
    </row>
    <row r="569" customFormat="false" ht="14.25" hidden="false" customHeight="false" outlineLevel="0" collapsed="false">
      <c r="B569" s="89" t="s">
        <v>620</v>
      </c>
      <c r="C569" s="90" t="n">
        <v>158.589797973633</v>
      </c>
    </row>
    <row r="570" customFormat="false" ht="14.25" hidden="false" customHeight="false" outlineLevel="0" collapsed="false">
      <c r="B570" s="89" t="s">
        <v>621</v>
      </c>
      <c r="C570" s="90" t="n">
        <v>158.954238891602</v>
      </c>
    </row>
    <row r="571" customFormat="false" ht="14.25" hidden="false" customHeight="false" outlineLevel="0" collapsed="false">
      <c r="B571" s="89" t="s">
        <v>622</v>
      </c>
      <c r="C571" s="90" t="n">
        <v>161.032653808594</v>
      </c>
    </row>
    <row r="572" customFormat="false" ht="14.25" hidden="false" customHeight="false" outlineLevel="0" collapsed="false">
      <c r="B572" s="89" t="s">
        <v>623</v>
      </c>
      <c r="C572" s="90" t="n">
        <v>159.850631713867</v>
      </c>
    </row>
    <row r="573" customFormat="false" ht="14.25" hidden="false" customHeight="false" outlineLevel="0" collapsed="false">
      <c r="B573" s="89" t="s">
        <v>624</v>
      </c>
      <c r="C573" s="90" t="n">
        <v>161.229644775391</v>
      </c>
    </row>
    <row r="574" customFormat="false" ht="14.25" hidden="false" customHeight="false" outlineLevel="0" collapsed="false">
      <c r="B574" s="89" t="s">
        <v>625</v>
      </c>
      <c r="C574" s="90" t="n">
        <v>163.436141967773</v>
      </c>
    </row>
    <row r="575" customFormat="false" ht="14.25" hidden="false" customHeight="false" outlineLevel="0" collapsed="false">
      <c r="B575" s="89" t="s">
        <v>626</v>
      </c>
      <c r="C575" s="90" t="n">
        <v>165.179656982422</v>
      </c>
    </row>
    <row r="576" customFormat="false" ht="14.25" hidden="false" customHeight="false" outlineLevel="0" collapsed="false">
      <c r="B576" s="89" t="s">
        <v>627</v>
      </c>
      <c r="C576" s="90" t="n">
        <v>163.89909362793</v>
      </c>
    </row>
    <row r="577" customFormat="false" ht="14.25" hidden="false" customHeight="false" outlineLevel="0" collapsed="false">
      <c r="B577" s="89" t="s">
        <v>628</v>
      </c>
      <c r="C577" s="90" t="n">
        <v>166.361663818359</v>
      </c>
    </row>
    <row r="578" customFormat="false" ht="14.25" hidden="false" customHeight="false" outlineLevel="0" collapsed="false">
      <c r="B578" s="89" t="s">
        <v>629</v>
      </c>
      <c r="C578" s="90" t="n">
        <v>170.419982910156</v>
      </c>
    </row>
    <row r="579" customFormat="false" ht="14.25" hidden="false" customHeight="false" outlineLevel="0" collapsed="false">
      <c r="B579" s="89" t="s">
        <v>630</v>
      </c>
      <c r="C579" s="90" t="n">
        <v>168.134735107422</v>
      </c>
    </row>
    <row r="580" customFormat="false" ht="14.25" hidden="false" customHeight="false" outlineLevel="0" collapsed="false">
      <c r="B580" s="89" t="s">
        <v>631</v>
      </c>
      <c r="C580" s="90" t="n">
        <v>169.67138671875</v>
      </c>
    </row>
    <row r="581" customFormat="false" ht="14.25" hidden="false" customHeight="false" outlineLevel="0" collapsed="false">
      <c r="B581" s="89" t="s">
        <v>632</v>
      </c>
      <c r="C581" s="90" t="n">
        <v>170.154006958008</v>
      </c>
    </row>
    <row r="582" customFormat="false" ht="14.25" hidden="false" customHeight="false" outlineLevel="0" collapsed="false">
      <c r="B582" s="89" t="s">
        <v>633</v>
      </c>
      <c r="C582" s="90" t="n">
        <v>169.100067138672</v>
      </c>
    </row>
    <row r="583" customFormat="false" ht="14.25" hidden="false" customHeight="false" outlineLevel="0" collapsed="false">
      <c r="B583" s="89" t="s">
        <v>634</v>
      </c>
      <c r="C583" s="90" t="n">
        <v>165.82975769043</v>
      </c>
    </row>
    <row r="584" customFormat="false" ht="14.25" hidden="false" customHeight="false" outlineLevel="0" collapsed="false">
      <c r="B584" s="89" t="s">
        <v>635</v>
      </c>
      <c r="C584" s="90" t="n">
        <v>167.02165222168</v>
      </c>
    </row>
    <row r="585" customFormat="false" ht="14.25" hidden="false" customHeight="false" outlineLevel="0" collapsed="false">
      <c r="B585" s="89" t="s">
        <v>636</v>
      </c>
      <c r="C585" s="90" t="n">
        <v>173.040191650391</v>
      </c>
    </row>
    <row r="586" customFormat="false" ht="14.25" hidden="false" customHeight="false" outlineLevel="0" collapsed="false">
      <c r="B586" s="89" t="s">
        <v>637</v>
      </c>
      <c r="C586" s="90" t="n">
        <v>172.93180847168</v>
      </c>
    </row>
    <row r="587" customFormat="false" ht="14.25" hidden="false" customHeight="false" outlineLevel="0" collapsed="false">
      <c r="B587" s="89" t="s">
        <v>638</v>
      </c>
      <c r="C587" s="90" t="n">
        <v>171.670989990234</v>
      </c>
    </row>
    <row r="588" customFormat="false" ht="14.25" hidden="false" customHeight="false" outlineLevel="0" collapsed="false">
      <c r="B588" s="89" t="s">
        <v>639</v>
      </c>
      <c r="C588" s="90" t="n">
        <v>173.365249633789</v>
      </c>
    </row>
    <row r="589" customFormat="false" ht="14.25" hidden="false" customHeight="false" outlineLevel="0" collapsed="false">
      <c r="B589" s="89" t="s">
        <v>640</v>
      </c>
      <c r="C589" s="90" t="n">
        <v>174.478317260742</v>
      </c>
    </row>
    <row r="590" customFormat="false" ht="14.25" hidden="false" customHeight="false" outlineLevel="0" collapsed="false">
      <c r="B590" s="89" t="s">
        <v>641</v>
      </c>
      <c r="C590" s="90" t="n">
        <v>174.005493164063</v>
      </c>
    </row>
    <row r="591" customFormat="false" ht="14.25" hidden="false" customHeight="false" outlineLevel="0" collapsed="false">
      <c r="B591" s="89" t="s">
        <v>642</v>
      </c>
      <c r="C591" s="90" t="n">
        <v>177.354629516602</v>
      </c>
    </row>
    <row r="592" customFormat="false" ht="14.25" hidden="false" customHeight="false" outlineLevel="0" collapsed="false">
      <c r="B592" s="89" t="s">
        <v>643</v>
      </c>
      <c r="C592" s="90" t="n">
        <v>180.486999511719</v>
      </c>
    </row>
    <row r="593" customFormat="false" ht="14.25" hidden="false" customHeight="false" outlineLevel="0" collapsed="false">
      <c r="B593" s="89" t="s">
        <v>644</v>
      </c>
      <c r="C593" s="90" t="n">
        <v>178.339630126953</v>
      </c>
    </row>
    <row r="594" customFormat="false" ht="14.25" hidden="false" customHeight="false" outlineLevel="0" collapsed="false">
      <c r="B594" s="89" t="s">
        <v>645</v>
      </c>
      <c r="C594" s="90" t="n">
        <v>175.542175292969</v>
      </c>
    </row>
    <row r="595" customFormat="false" ht="14.25" hidden="false" customHeight="false" outlineLevel="0" collapsed="false">
      <c r="B595" s="89" t="s">
        <v>646</v>
      </c>
      <c r="C595" s="90" t="n">
        <v>173.207641601563</v>
      </c>
    </row>
    <row r="596" customFormat="false" ht="14.25" hidden="false" customHeight="false" outlineLevel="0" collapsed="false">
      <c r="B596" s="89" t="s">
        <v>647</v>
      </c>
      <c r="C596" s="90" t="n">
        <v>171.286804199219</v>
      </c>
    </row>
    <row r="597" customFormat="false" ht="14.25" hidden="false" customHeight="false" outlineLevel="0" collapsed="false">
      <c r="B597" s="89" t="s">
        <v>648</v>
      </c>
      <c r="C597" s="90" t="n">
        <v>173.030334472656</v>
      </c>
    </row>
    <row r="598" customFormat="false" ht="14.25" hidden="false" customHeight="false" outlineLevel="0" collapsed="false">
      <c r="B598" s="89" t="s">
        <v>649</v>
      </c>
      <c r="C598" s="90" t="n">
        <v>171.011016845703</v>
      </c>
    </row>
    <row r="599" customFormat="false" ht="14.25" hidden="false" customHeight="false" outlineLevel="0" collapsed="false">
      <c r="B599" s="89" t="s">
        <v>650</v>
      </c>
      <c r="C599" s="90" t="n">
        <v>168.262771606445</v>
      </c>
    </row>
    <row r="600" customFormat="false" ht="14.25" hidden="false" customHeight="false" outlineLevel="0" collapsed="false">
      <c r="B600" s="89" t="s">
        <v>651</v>
      </c>
      <c r="C600" s="90" t="n">
        <v>167.080718994141</v>
      </c>
    </row>
    <row r="601" customFormat="false" ht="14.25" hidden="false" customHeight="false" outlineLevel="0" collapsed="false">
      <c r="B601" s="89" t="s">
        <v>652</v>
      </c>
      <c r="C601" s="90" t="n">
        <v>166.696578979492</v>
      </c>
    </row>
    <row r="602" customFormat="false" ht="14.25" hidden="false" customHeight="false" outlineLevel="0" collapsed="false">
      <c r="B602" s="89" t="s">
        <v>653</v>
      </c>
      <c r="C602" s="90" t="n">
        <v>182.348709106445</v>
      </c>
    </row>
    <row r="603" customFormat="false" ht="14.25" hidden="false" customHeight="false" outlineLevel="0" collapsed="false">
      <c r="B603" s="89" t="s">
        <v>654</v>
      </c>
      <c r="C603" s="90" t="n">
        <v>181.61979675293</v>
      </c>
    </row>
    <row r="604" customFormat="false" ht="14.25" hidden="false" customHeight="false" outlineLevel="0" collapsed="false">
      <c r="B604" s="89" t="s">
        <v>655</v>
      </c>
      <c r="C604" s="90" t="n">
        <v>179.324661254883</v>
      </c>
    </row>
    <row r="605" customFormat="false" ht="14.25" hidden="false" customHeight="false" outlineLevel="0" collapsed="false">
      <c r="B605" s="89" t="s">
        <v>656</v>
      </c>
      <c r="C605" s="90" t="n">
        <v>176.123321533203</v>
      </c>
    </row>
    <row r="606" customFormat="false" ht="14.25" hidden="false" customHeight="false" outlineLevel="0" collapsed="false">
      <c r="B606" s="89" t="s">
        <v>657</v>
      </c>
      <c r="C606" s="90" t="n">
        <v>181.954681396484</v>
      </c>
    </row>
    <row r="607" customFormat="false" ht="14.25" hidden="false" customHeight="false" outlineLevel="0" collapsed="false">
      <c r="B607" s="89" t="s">
        <v>658</v>
      </c>
      <c r="C607" s="90" t="n">
        <v>182.762420654297</v>
      </c>
    </row>
    <row r="608" customFormat="false" ht="14.25" hidden="false" customHeight="false" outlineLevel="0" collapsed="false">
      <c r="B608" s="89" t="s">
        <v>659</v>
      </c>
      <c r="C608" s="90" t="n">
        <v>182.102432250977</v>
      </c>
    </row>
    <row r="609" customFormat="false" ht="14.25" hidden="false" customHeight="false" outlineLevel="0" collapsed="false">
      <c r="B609" s="89" t="s">
        <v>660</v>
      </c>
      <c r="C609" s="90" t="n">
        <v>182.003967285156</v>
      </c>
    </row>
    <row r="610" customFormat="false" ht="14.25" hidden="false" customHeight="false" outlineLevel="0" collapsed="false">
      <c r="B610" s="89" t="s">
        <v>661</v>
      </c>
      <c r="C610" s="90" t="n">
        <v>180.171798706055</v>
      </c>
    </row>
    <row r="611" customFormat="false" ht="14.25" hidden="false" customHeight="false" outlineLevel="0" collapsed="false">
      <c r="B611" s="89" t="s">
        <v>662</v>
      </c>
      <c r="C611" s="90" t="n">
        <v>188.120971679688</v>
      </c>
    </row>
    <row r="612" customFormat="false" ht="14.25" hidden="false" customHeight="false" outlineLevel="0" collapsed="false">
      <c r="B612" s="89" t="s">
        <v>663</v>
      </c>
      <c r="C612" s="90" t="n">
        <v>189.568969726563</v>
      </c>
    </row>
    <row r="613" customFormat="false" ht="14.25" hidden="false" customHeight="false" outlineLevel="0" collapsed="false">
      <c r="B613" s="89" t="s">
        <v>664</v>
      </c>
      <c r="C613" s="90" t="n">
        <v>191.893630981445</v>
      </c>
    </row>
    <row r="614" customFormat="false" ht="14.25" hidden="false" customHeight="false" outlineLevel="0" collapsed="false">
      <c r="B614" s="89" t="s">
        <v>665</v>
      </c>
      <c r="C614" s="90" t="n">
        <v>189.165100097656</v>
      </c>
    </row>
    <row r="615" customFormat="false" ht="14.25" hidden="false" customHeight="false" outlineLevel="0" collapsed="false">
      <c r="B615" s="89" t="s">
        <v>666</v>
      </c>
      <c r="C615" s="90" t="n">
        <v>194.021301269531</v>
      </c>
    </row>
    <row r="616" customFormat="false" ht="14.25" hidden="false" customHeight="false" outlineLevel="0" collapsed="false">
      <c r="B616" s="89" t="s">
        <v>667</v>
      </c>
      <c r="C616" s="90" t="n">
        <v>193.164321899414</v>
      </c>
    </row>
    <row r="617" customFormat="false" ht="14.25" hidden="false" customHeight="false" outlineLevel="0" collapsed="false">
      <c r="B617" s="89" t="s">
        <v>668</v>
      </c>
      <c r="C617" s="90" t="n">
        <v>198.063049316406</v>
      </c>
    </row>
    <row r="618" customFormat="false" ht="14.25" hidden="false" customHeight="false" outlineLevel="0" collapsed="false">
      <c r="B618" s="89" t="s">
        <v>669</v>
      </c>
      <c r="C618" s="90" t="n">
        <v>201.830505371094</v>
      </c>
    </row>
    <row r="619" customFormat="false" ht="14.25" hidden="false" customHeight="false" outlineLevel="0" collapsed="false">
      <c r="B619" s="89" t="s">
        <v>670</v>
      </c>
      <c r="C619" s="90" t="n">
        <v>199.597595214844</v>
      </c>
    </row>
    <row r="620" customFormat="false" ht="14.25" hidden="false" customHeight="false" outlineLevel="0" collapsed="false">
      <c r="B620" s="89" t="s">
        <v>671</v>
      </c>
      <c r="C620" s="90" t="n">
        <v>196.597351074219</v>
      </c>
    </row>
    <row r="621" customFormat="false" ht="14.25" hidden="false" customHeight="false" outlineLevel="0" collapsed="false">
      <c r="B621" s="89" t="s">
        <v>672</v>
      </c>
      <c r="C621" s="90" t="n">
        <v>194.866104125977</v>
      </c>
    </row>
    <row r="622" customFormat="false" ht="14.25" hidden="false" customHeight="false" outlineLevel="0" collapsed="false">
      <c r="B622" s="89" t="s">
        <v>673</v>
      </c>
      <c r="C622" s="90" t="n">
        <v>198.564727783203</v>
      </c>
    </row>
    <row r="623" customFormat="false" ht="14.25" hidden="false" customHeight="false" outlineLevel="0" collapsed="false">
      <c r="B623" s="89" t="s">
        <v>674</v>
      </c>
      <c r="C623" s="90" t="n">
        <v>201.850204467773</v>
      </c>
    </row>
    <row r="624" customFormat="false" ht="14.25" hidden="false" customHeight="false" outlineLevel="0" collapsed="false">
      <c r="B624" s="89" t="s">
        <v>675</v>
      </c>
      <c r="C624" s="90" t="n">
        <v>198.004028320313</v>
      </c>
    </row>
    <row r="625" customFormat="false" ht="14.25" hidden="false" customHeight="false" outlineLevel="0" collapsed="false">
      <c r="B625" s="89" t="s">
        <v>676</v>
      </c>
      <c r="C625" s="90" t="n">
        <v>194.590667724609</v>
      </c>
    </row>
    <row r="626" customFormat="false" ht="14.25" hidden="false" customHeight="false" outlineLevel="0" collapsed="false">
      <c r="B626" s="89" t="s">
        <v>677</v>
      </c>
      <c r="C626" s="90" t="n">
        <v>192.082336425781</v>
      </c>
    </row>
    <row r="627" customFormat="false" ht="14.25" hidden="false" customHeight="false" outlineLevel="0" collapsed="false">
      <c r="B627" s="89" t="s">
        <v>678</v>
      </c>
      <c r="C627" s="90" t="n">
        <v>194.020141601563</v>
      </c>
    </row>
    <row r="628" customFormat="false" ht="14.25" hidden="false" customHeight="false" outlineLevel="0" collapsed="false">
      <c r="B628" s="89" t="s">
        <v>679</v>
      </c>
      <c r="C628" s="90" t="n">
        <v>193.439758300781</v>
      </c>
    </row>
    <row r="629" customFormat="false" ht="14.25" hidden="false" customHeight="false" outlineLevel="0" collapsed="false">
      <c r="B629" s="89" t="s">
        <v>680</v>
      </c>
      <c r="C629" s="90" t="n">
        <v>197.984359741211</v>
      </c>
    </row>
    <row r="630" customFormat="false" ht="14.25" hidden="false" customHeight="false" outlineLevel="0" collapsed="false">
      <c r="B630" s="89" t="s">
        <v>681</v>
      </c>
      <c r="C630" s="90" t="n">
        <v>198.525375366211</v>
      </c>
    </row>
    <row r="631" customFormat="false" ht="14.25" hidden="false" customHeight="false" outlineLevel="0" collapsed="false">
      <c r="B631" s="89" t="s">
        <v>682</v>
      </c>
      <c r="C631" s="90" t="n">
        <v>202.056777954102</v>
      </c>
    </row>
    <row r="632" customFormat="false" ht="14.25" hidden="false" customHeight="false" outlineLevel="0" collapsed="false">
      <c r="B632" s="89" t="s">
        <v>683</v>
      </c>
      <c r="C632" s="90" t="n">
        <v>208.126037597656</v>
      </c>
    </row>
    <row r="633" customFormat="false" ht="14.25" hidden="false" customHeight="false" outlineLevel="0" collapsed="false">
      <c r="B633" s="89" t="s">
        <v>684</v>
      </c>
      <c r="C633" s="90" t="n">
        <v>211.322998046875</v>
      </c>
    </row>
    <row r="634" customFormat="false" ht="14.25" hidden="false" customHeight="false" outlineLevel="0" collapsed="false">
      <c r="B634" s="89" t="s">
        <v>685</v>
      </c>
      <c r="C634" s="90" t="n">
        <v>208.794937133789</v>
      </c>
    </row>
    <row r="635" customFormat="false" ht="14.25" hidden="false" customHeight="false" outlineLevel="0" collapsed="false">
      <c r="B635" s="89" t="s">
        <v>686</v>
      </c>
      <c r="C635" s="90" t="n">
        <v>205.686508178711</v>
      </c>
    </row>
    <row r="636" customFormat="false" ht="14.25" hidden="false" customHeight="false" outlineLevel="0" collapsed="false">
      <c r="B636" s="89" t="s">
        <v>687</v>
      </c>
      <c r="C636" s="90" t="n">
        <v>208.726089477539</v>
      </c>
    </row>
    <row r="637" customFormat="false" ht="14.25" hidden="false" customHeight="false" outlineLevel="0" collapsed="false">
      <c r="B637" s="89" t="s">
        <v>688</v>
      </c>
      <c r="C637" s="90" t="n">
        <v>205.883255004883</v>
      </c>
    </row>
    <row r="638" customFormat="false" ht="14.25" hidden="false" customHeight="false" outlineLevel="0" collapsed="false">
      <c r="B638" s="89" t="s">
        <v>689</v>
      </c>
      <c r="C638" s="90" t="n">
        <v>205.273376464844</v>
      </c>
    </row>
    <row r="639" customFormat="false" ht="14.25" hidden="false" customHeight="false" outlineLevel="0" collapsed="false">
      <c r="B639" s="89" t="s">
        <v>690</v>
      </c>
      <c r="C639" s="90" t="n">
        <v>205.430770874023</v>
      </c>
    </row>
    <row r="640" customFormat="false" ht="14.25" hidden="false" customHeight="false" outlineLevel="0" collapsed="false">
      <c r="B640" s="89" t="s">
        <v>691</v>
      </c>
      <c r="C640" s="90" t="n">
        <v>203.866714477539</v>
      </c>
    </row>
    <row r="641" customFormat="false" ht="14.25" hidden="false" customHeight="false" outlineLevel="0" collapsed="false">
      <c r="B641" s="89" t="s">
        <v>692</v>
      </c>
      <c r="C641" s="90" t="n">
        <v>196.312103271484</v>
      </c>
    </row>
    <row r="642" customFormat="false" ht="14.25" hidden="false" customHeight="false" outlineLevel="0" collapsed="false">
      <c r="B642" s="89" t="s">
        <v>693</v>
      </c>
      <c r="C642" s="90" t="n">
        <v>196.695724487305</v>
      </c>
    </row>
    <row r="643" customFormat="false" ht="14.25" hidden="false" customHeight="false" outlineLevel="0" collapsed="false">
      <c r="B643" s="89" t="s">
        <v>694</v>
      </c>
      <c r="C643" s="90" t="n">
        <v>192.033081054688</v>
      </c>
    </row>
    <row r="644" customFormat="false" ht="14.25" hidden="false" customHeight="false" outlineLevel="0" collapsed="false">
      <c r="B644" s="89" t="s">
        <v>695</v>
      </c>
      <c r="C644" s="90" t="n">
        <v>189.869003295898</v>
      </c>
    </row>
    <row r="645" customFormat="false" ht="14.25" hidden="false" customHeight="false" outlineLevel="0" collapsed="false">
      <c r="B645" s="89" t="s">
        <v>696</v>
      </c>
      <c r="C645" s="90" t="n">
        <v>189.760833740234</v>
      </c>
    </row>
    <row r="646" customFormat="false" ht="14.25" hidden="false" customHeight="false" outlineLevel="0" collapsed="false">
      <c r="B646" s="89" t="s">
        <v>697</v>
      </c>
      <c r="C646" s="90" t="n">
        <v>190.626449584961</v>
      </c>
    </row>
    <row r="647" customFormat="false" ht="14.25" hidden="false" customHeight="false" outlineLevel="0" collapsed="false">
      <c r="B647" s="89" t="s">
        <v>698</v>
      </c>
      <c r="C647" s="90" t="n">
        <v>192.800369262695</v>
      </c>
    </row>
    <row r="648" customFormat="false" ht="14.25" hidden="false" customHeight="false" outlineLevel="0" collapsed="false">
      <c r="B648" s="89" t="s">
        <v>699</v>
      </c>
      <c r="C648" s="90" t="n">
        <v>187.655776977539</v>
      </c>
    </row>
    <row r="649" customFormat="false" ht="14.25" hidden="false" customHeight="false" outlineLevel="0" collapsed="false">
      <c r="B649" s="89" t="s">
        <v>700</v>
      </c>
      <c r="C649" s="90" t="n">
        <v>182.973449707031</v>
      </c>
    </row>
    <row r="650" customFormat="false" ht="14.25" hidden="false" customHeight="false" outlineLevel="0" collapsed="false">
      <c r="B650" s="89" t="s">
        <v>701</v>
      </c>
      <c r="C650" s="90" t="n">
        <v>191.639633178711</v>
      </c>
    </row>
    <row r="651" customFormat="false" ht="14.25" hidden="false" customHeight="false" outlineLevel="0" collapsed="false">
      <c r="B651" s="89" t="s">
        <v>702</v>
      </c>
      <c r="C651" s="90" t="n">
        <v>189.259124755859</v>
      </c>
    </row>
    <row r="652" customFormat="false" ht="14.25" hidden="false" customHeight="false" outlineLevel="0" collapsed="false">
      <c r="B652" s="89" t="s">
        <v>703</v>
      </c>
      <c r="C652" s="90" t="n">
        <v>187.311447143555</v>
      </c>
    </row>
    <row r="653" customFormat="false" ht="14.25" hidden="false" customHeight="false" outlineLevel="0" collapsed="false">
      <c r="B653" s="89" t="s">
        <v>704</v>
      </c>
      <c r="C653" s="90" t="n">
        <v>179.707641601563</v>
      </c>
    </row>
    <row r="654" customFormat="false" ht="14.25" hidden="false" customHeight="false" outlineLevel="0" collapsed="false">
      <c r="B654" s="89" t="s">
        <v>705</v>
      </c>
      <c r="C654" s="90" t="n">
        <v>177.740310668945</v>
      </c>
    </row>
    <row r="655" customFormat="false" ht="14.25" hidden="false" customHeight="false" outlineLevel="0" collapsed="false">
      <c r="B655" s="89" t="s">
        <v>706</v>
      </c>
      <c r="C655" s="90" t="n">
        <v>180.750350952148</v>
      </c>
    </row>
    <row r="656" customFormat="false" ht="14.25" hidden="false" customHeight="false" outlineLevel="0" collapsed="false">
      <c r="B656" s="89" t="s">
        <v>707</v>
      </c>
      <c r="C656" s="90" t="n">
        <v>184.134201049805</v>
      </c>
    </row>
    <row r="657" customFormat="false" ht="14.25" hidden="false" customHeight="false" outlineLevel="0" collapsed="false">
      <c r="B657" s="89" t="s">
        <v>708</v>
      </c>
      <c r="C657" s="90" t="n">
        <v>182.766891479492</v>
      </c>
    </row>
    <row r="658" customFormat="false" ht="14.25" hidden="false" customHeight="false" outlineLevel="0" collapsed="false">
      <c r="B658" s="89" t="s">
        <v>709</v>
      </c>
      <c r="C658" s="90" t="n">
        <v>178.035430908203</v>
      </c>
    </row>
    <row r="659" customFormat="false" ht="14.25" hidden="false" customHeight="false" outlineLevel="0" collapsed="false">
      <c r="B659" s="89" t="s">
        <v>710</v>
      </c>
      <c r="C659" s="90" t="n">
        <v>185.324432373047</v>
      </c>
    </row>
    <row r="660" customFormat="false" ht="14.25" hidden="false" customHeight="false" outlineLevel="0" collapsed="false">
      <c r="B660" s="89" t="s">
        <v>711</v>
      </c>
      <c r="C660" s="90" t="n">
        <v>183.829254150391</v>
      </c>
    </row>
    <row r="661" customFormat="false" ht="14.25" hidden="false" customHeight="false" outlineLevel="0" collapsed="false">
      <c r="B661" s="89" t="s">
        <v>712</v>
      </c>
      <c r="C661" s="90" t="n">
        <v>179.37321472168</v>
      </c>
    </row>
    <row r="662" customFormat="false" ht="14.25" hidden="false" customHeight="false" outlineLevel="0" collapsed="false">
      <c r="B662" s="89" t="s">
        <v>713</v>
      </c>
      <c r="C662" s="90" t="n">
        <v>179.402725219727</v>
      </c>
    </row>
    <row r="663" customFormat="false" ht="14.25" hidden="false" customHeight="false" outlineLevel="0" collapsed="false">
      <c r="B663" s="89" t="s">
        <v>714</v>
      </c>
      <c r="C663" s="90" t="n">
        <v>176.953353881836</v>
      </c>
    </row>
    <row r="664" customFormat="false" ht="14.25" hidden="false" customHeight="false" outlineLevel="0" collapsed="false">
      <c r="B664" s="89" t="s">
        <v>715</v>
      </c>
      <c r="C664" s="90" t="n">
        <v>178.782989501953</v>
      </c>
    </row>
    <row r="665" customFormat="false" ht="14.25" hidden="false" customHeight="false" outlineLevel="0" collapsed="false">
      <c r="B665" s="89" t="s">
        <v>716</v>
      </c>
      <c r="C665" s="90" t="n">
        <v>183.052154541016</v>
      </c>
    </row>
    <row r="666" customFormat="false" ht="14.25" hidden="false" customHeight="false" outlineLevel="0" collapsed="false">
      <c r="B666" s="89" t="s">
        <v>717</v>
      </c>
      <c r="C666" s="90" t="n">
        <v>179.353515625</v>
      </c>
    </row>
    <row r="667" customFormat="false" ht="14.25" hidden="false" customHeight="false" outlineLevel="0" collapsed="false">
      <c r="B667" s="89" t="s">
        <v>718</v>
      </c>
      <c r="C667" s="90" t="n">
        <v>180.701156616211</v>
      </c>
    </row>
    <row r="668" customFormat="false" ht="14.25" hidden="false" customHeight="false" outlineLevel="0" collapsed="false">
      <c r="B668" s="89" t="s">
        <v>719</v>
      </c>
      <c r="C668" s="90" t="n">
        <v>178.173126220703</v>
      </c>
    </row>
    <row r="669" customFormat="false" ht="14.25" hidden="false" customHeight="false" outlineLevel="0" collapsed="false">
      <c r="B669" s="89" t="s">
        <v>720</v>
      </c>
      <c r="C669" s="90" t="n">
        <v>177.88786315918</v>
      </c>
    </row>
    <row r="670" customFormat="false" ht="14.25" hidden="false" customHeight="false" outlineLevel="0" collapsed="false">
      <c r="B670" s="89" t="s">
        <v>721</v>
      </c>
      <c r="C670" s="90" t="n">
        <v>179.215850830078</v>
      </c>
    </row>
    <row r="671" customFormat="false" ht="14.25" hidden="false" customHeight="false" outlineLevel="0" collapsed="false">
      <c r="B671" s="89" t="s">
        <v>722</v>
      </c>
      <c r="C671" s="90" t="n">
        <v>181.212677001953</v>
      </c>
    </row>
    <row r="672" customFormat="false" ht="14.25" hidden="false" customHeight="false" outlineLevel="0" collapsed="false">
      <c r="B672" s="89" t="s">
        <v>723</v>
      </c>
      <c r="C672" s="90" t="n">
        <v>180.602813720703</v>
      </c>
    </row>
    <row r="673" customFormat="false" ht="14.25" hidden="false" customHeight="false" outlineLevel="0" collapsed="false">
      <c r="B673" s="89" t="s">
        <v>724</v>
      </c>
      <c r="C673" s="90" t="n">
        <v>180.917572021484</v>
      </c>
    </row>
    <row r="674" customFormat="false" ht="14.25" hidden="false" customHeight="false" outlineLevel="0" collapsed="false">
      <c r="B674" s="89" t="s">
        <v>725</v>
      </c>
      <c r="C674" s="90" t="n">
        <v>184.035827636719</v>
      </c>
    </row>
    <row r="675" customFormat="false" ht="14.25" hidden="false" customHeight="false" outlineLevel="0" collapsed="false">
      <c r="B675" s="89" t="s">
        <v>726</v>
      </c>
      <c r="C675" s="90" t="n">
        <v>180.760177612305</v>
      </c>
    </row>
    <row r="676" customFormat="false" ht="14.25" hidden="false" customHeight="false" outlineLevel="0" collapsed="false">
      <c r="B676" s="89" t="s">
        <v>727</v>
      </c>
      <c r="C676" s="90" t="n">
        <v>182.757034301758</v>
      </c>
    </row>
    <row r="677" customFormat="false" ht="14.25" hidden="false" customHeight="false" outlineLevel="0" collapsed="false">
      <c r="B677" s="89" t="s">
        <v>728</v>
      </c>
      <c r="C677" s="90" t="n">
        <v>183.701400756836</v>
      </c>
    </row>
    <row r="678" customFormat="false" ht="14.25" hidden="false" customHeight="false" outlineLevel="0" collapsed="false">
      <c r="B678" s="89" t="s">
        <v>729</v>
      </c>
      <c r="C678" s="90" t="n">
        <v>190.252639770508</v>
      </c>
    </row>
    <row r="679" customFormat="false" ht="14.25" hidden="false" customHeight="false" outlineLevel="0" collapsed="false">
      <c r="B679" s="89" t="s">
        <v>730</v>
      </c>
      <c r="C679" s="90" t="n">
        <v>194.4765625</v>
      </c>
    </row>
    <row r="680" customFormat="false" ht="14.25" hidden="false" customHeight="false" outlineLevel="0" collapsed="false">
      <c r="B680" s="89" t="s">
        <v>731</v>
      </c>
      <c r="C680" s="90" t="n">
        <v>197.354751586914</v>
      </c>
    </row>
    <row r="681" customFormat="false" ht="14.25" hidden="false" customHeight="false" outlineLevel="0" collapsed="false">
      <c r="B681" s="89" t="s">
        <v>732</v>
      </c>
      <c r="C681" s="90" t="n">
        <v>197.118957519531</v>
      </c>
    </row>
    <row r="682" customFormat="false" ht="14.25" hidden="false" customHeight="false" outlineLevel="0" collapsed="false">
      <c r="B682" s="89" t="s">
        <v>733</v>
      </c>
      <c r="C682" s="90" t="n">
        <v>195.792846679688</v>
      </c>
    </row>
    <row r="683" customFormat="false" ht="14.25" hidden="false" customHeight="false" outlineLevel="0" collapsed="false">
      <c r="B683" s="89" t="s">
        <v>734</v>
      </c>
      <c r="C683" s="90" t="n">
        <v>194.103302001953</v>
      </c>
    </row>
    <row r="684" customFormat="false" ht="14.25" hidden="false" customHeight="false" outlineLevel="0" collapsed="false">
      <c r="B684" s="89" t="s">
        <v>735</v>
      </c>
      <c r="C684" s="90" t="n">
        <v>192.109252929688</v>
      </c>
    </row>
    <row r="685" customFormat="false" ht="14.25" hidden="false" customHeight="false" outlineLevel="0" collapsed="false">
      <c r="B685" s="89" t="s">
        <v>736</v>
      </c>
      <c r="C685" s="90" t="n">
        <v>189.221237182617</v>
      </c>
    </row>
    <row r="686" customFormat="false" ht="14.25" hidden="false" customHeight="false" outlineLevel="0" collapsed="false">
      <c r="B686" s="89" t="s">
        <v>737</v>
      </c>
      <c r="C686" s="90" t="n">
        <v>192.806640625</v>
      </c>
    </row>
    <row r="687" customFormat="false" ht="14.25" hidden="false" customHeight="false" outlineLevel="0" collapsed="false">
      <c r="B687" s="89" t="s">
        <v>738</v>
      </c>
      <c r="C687" s="90" t="n">
        <v>185.979644775391</v>
      </c>
    </row>
    <row r="688" customFormat="false" ht="14.25" hidden="false" customHeight="false" outlineLevel="0" collapsed="false">
      <c r="B688" s="89" t="s">
        <v>739</v>
      </c>
      <c r="C688" s="90" t="n">
        <v>188.916732788086</v>
      </c>
    </row>
    <row r="689" customFormat="false" ht="14.25" hidden="false" customHeight="false" outlineLevel="0" collapsed="false">
      <c r="B689" s="89" t="s">
        <v>740</v>
      </c>
      <c r="C689" s="90" t="n">
        <v>191.431411743164</v>
      </c>
    </row>
    <row r="690" customFormat="false" ht="14.25" hidden="false" customHeight="false" outlineLevel="0" collapsed="false">
      <c r="B690" s="89" t="s">
        <v>741</v>
      </c>
      <c r="C690" s="90" t="n">
        <v>183.140777587891</v>
      </c>
    </row>
    <row r="691" customFormat="false" ht="14.25" hidden="false" customHeight="false" outlineLevel="0" collapsed="false">
      <c r="B691" s="89" t="s">
        <v>742</v>
      </c>
      <c r="C691" s="90" t="n">
        <v>180.252807617188</v>
      </c>
    </row>
    <row r="692" customFormat="false" ht="14.25" hidden="false" customHeight="false" outlineLevel="0" collapsed="false">
      <c r="B692" s="89" t="s">
        <v>743</v>
      </c>
      <c r="C692" s="90" t="n">
        <v>178.533767700195</v>
      </c>
    </row>
    <row r="693" customFormat="false" ht="14.25" hidden="false" customHeight="false" outlineLevel="0" collapsed="false">
      <c r="B693" s="89" t="s">
        <v>744</v>
      </c>
      <c r="C693" s="90" t="n">
        <v>178.956161499023</v>
      </c>
    </row>
    <row r="694" customFormat="false" ht="14.25" hidden="false" customHeight="false" outlineLevel="0" collapsed="false">
      <c r="B694" s="89" t="s">
        <v>745</v>
      </c>
      <c r="C694" s="90" t="n">
        <v>176.009216308594</v>
      </c>
    </row>
    <row r="695" customFormat="false" ht="14.25" hidden="false" customHeight="false" outlineLevel="0" collapsed="false">
      <c r="B695" s="89" t="s">
        <v>746</v>
      </c>
      <c r="C695" s="90" t="n">
        <v>175.026931762695</v>
      </c>
    </row>
    <row r="696" customFormat="false" ht="14.25" hidden="false" customHeight="false" outlineLevel="0" collapsed="false">
      <c r="B696" s="89" t="s">
        <v>747</v>
      </c>
      <c r="C696" s="90" t="n">
        <v>172.355087280273</v>
      </c>
    </row>
    <row r="697" customFormat="false" ht="14.25" hidden="false" customHeight="false" outlineLevel="0" collapsed="false">
      <c r="B697" s="89" t="s">
        <v>748</v>
      </c>
      <c r="C697" s="90" t="n">
        <v>172.050537109375</v>
      </c>
    </row>
    <row r="698" customFormat="false" ht="14.25" hidden="false" customHeight="false" outlineLevel="0" collapsed="false">
      <c r="B698" s="89" t="s">
        <v>749</v>
      </c>
      <c r="C698" s="90" t="n">
        <v>169.43766784668</v>
      </c>
    </row>
    <row r="699" customFormat="false" ht="14.25" hidden="false" customHeight="false" outlineLevel="0" collapsed="false">
      <c r="B699" s="89" t="s">
        <v>750</v>
      </c>
      <c r="C699" s="90" t="n">
        <v>164.01530456543</v>
      </c>
    </row>
    <row r="700" customFormat="false" ht="14.25" hidden="false" customHeight="false" outlineLevel="0" collapsed="false">
      <c r="B700" s="89" t="s">
        <v>751</v>
      </c>
      <c r="C700" s="90" t="n">
        <v>163.082153320313</v>
      </c>
    </row>
    <row r="701" customFormat="false" ht="14.25" hidden="false" customHeight="false" outlineLevel="0" collapsed="false">
      <c r="B701" s="89" t="s">
        <v>752</v>
      </c>
      <c r="C701" s="90" t="n">
        <v>158.592987060547</v>
      </c>
    </row>
    <row r="702" customFormat="false" ht="14.25" hidden="false" customHeight="false" outlineLevel="0" collapsed="false">
      <c r="B702" s="89" t="s">
        <v>753</v>
      </c>
      <c r="C702" s="90" t="n">
        <v>161.382751464844</v>
      </c>
    </row>
    <row r="703" customFormat="false" ht="14.25" hidden="false" customHeight="false" outlineLevel="0" collapsed="false">
      <c r="B703" s="89" t="s">
        <v>754</v>
      </c>
      <c r="C703" s="90" t="n">
        <v>160.44953918457</v>
      </c>
    </row>
    <row r="704" customFormat="false" ht="14.25" hidden="false" customHeight="false" outlineLevel="0" collapsed="false">
      <c r="B704" s="89" t="s">
        <v>755</v>
      </c>
      <c r="C704" s="90" t="n">
        <v>159.604782104492</v>
      </c>
    </row>
    <row r="705" customFormat="false" ht="14.25" hidden="false" customHeight="false" outlineLevel="0" collapsed="false">
      <c r="B705" s="89" t="s">
        <v>756</v>
      </c>
      <c r="C705" s="90" t="n">
        <v>157.345458984375</v>
      </c>
    </row>
    <row r="706" customFormat="false" ht="14.25" hidden="false" customHeight="false" outlineLevel="0" collapsed="false">
      <c r="B706" s="89" t="s">
        <v>757</v>
      </c>
      <c r="C706" s="90" t="n">
        <v>155.724655151367</v>
      </c>
    </row>
    <row r="707" customFormat="false" ht="14.25" hidden="false" customHeight="false" outlineLevel="0" collapsed="false">
      <c r="B707" s="89" t="s">
        <v>758</v>
      </c>
      <c r="C707" s="90" t="n">
        <v>154.162780761719</v>
      </c>
    </row>
    <row r="708" customFormat="false" ht="14.25" hidden="false" customHeight="false" outlineLevel="0" collapsed="false">
      <c r="B708" s="89" t="s">
        <v>759</v>
      </c>
      <c r="C708" s="90" t="n">
        <v>152.178558349609</v>
      </c>
    </row>
    <row r="709" customFormat="false" ht="14.25" hidden="false" customHeight="false" outlineLevel="0" collapsed="false">
      <c r="B709" s="89" t="s">
        <v>760</v>
      </c>
      <c r="C709" s="90" t="n">
        <v>152.905471801758</v>
      </c>
    </row>
    <row r="710" customFormat="false" ht="14.25" hidden="false" customHeight="false" outlineLevel="0" collapsed="false">
      <c r="B710" s="89" t="s">
        <v>761</v>
      </c>
      <c r="C710" s="90" t="n">
        <v>153.838638305664</v>
      </c>
    </row>
    <row r="711" customFormat="false" ht="14.25" hidden="false" customHeight="false" outlineLevel="0" collapsed="false">
      <c r="B711" s="89" t="s">
        <v>762</v>
      </c>
      <c r="C711" s="90" t="n">
        <v>142.935073852539</v>
      </c>
    </row>
    <row r="712" customFormat="false" ht="14.25" hidden="false" customHeight="false" outlineLevel="0" collapsed="false">
      <c r="B712" s="89" t="s">
        <v>763</v>
      </c>
      <c r="C712" s="90" t="n">
        <v>142.797546386719</v>
      </c>
    </row>
    <row r="713" customFormat="false" ht="14.25" hidden="false" customHeight="false" outlineLevel="0" collapsed="false">
      <c r="B713" s="89" t="s">
        <v>764</v>
      </c>
      <c r="C713" s="90" t="n">
        <v>138.966552734375</v>
      </c>
    </row>
    <row r="714" customFormat="false" ht="14.25" hidden="false" customHeight="false" outlineLevel="0" collapsed="false">
      <c r="B714" s="89" t="s">
        <v>765</v>
      </c>
      <c r="C714" s="90" t="n">
        <v>139.850646972656</v>
      </c>
    </row>
    <row r="715" customFormat="false" ht="14.25" hidden="false" customHeight="false" outlineLevel="0" collapsed="false">
      <c r="B715" s="89" t="s">
        <v>766</v>
      </c>
      <c r="C715" s="90" t="n">
        <v>141.363403320313</v>
      </c>
    </row>
    <row r="716" customFormat="false" ht="14.25" hidden="false" customHeight="false" outlineLevel="0" collapsed="false">
      <c r="B716" s="89" t="s">
        <v>767</v>
      </c>
      <c r="C716" s="90" t="n">
        <v>142.699310302734</v>
      </c>
    </row>
    <row r="717" customFormat="false" ht="14.25" hidden="false" customHeight="false" outlineLevel="0" collapsed="false">
      <c r="B717" s="89" t="s">
        <v>768</v>
      </c>
      <c r="C717" s="90" t="n">
        <v>140.911514282227</v>
      </c>
    </row>
    <row r="718" customFormat="false" ht="14.25" hidden="false" customHeight="false" outlineLevel="0" collapsed="false">
      <c r="B718" s="89" t="s">
        <v>769</v>
      </c>
      <c r="C718" s="90" t="n">
        <v>138.013717651367</v>
      </c>
    </row>
    <row r="719" customFormat="false" ht="14.25" hidden="false" customHeight="false" outlineLevel="0" collapsed="false">
      <c r="B719" s="89" t="s">
        <v>770</v>
      </c>
      <c r="C719" s="90" t="n">
        <v>134.35954284668</v>
      </c>
    </row>
    <row r="720" customFormat="false" ht="14.25" hidden="false" customHeight="false" outlineLevel="0" collapsed="false">
      <c r="B720" s="89" t="s">
        <v>771</v>
      </c>
      <c r="C720" s="90" t="n">
        <v>130.8232421875</v>
      </c>
    </row>
    <row r="721" customFormat="false" ht="14.25" hidden="false" customHeight="false" outlineLevel="0" collapsed="false">
      <c r="B721" s="89" t="s">
        <v>772</v>
      </c>
      <c r="C721" s="90" t="n">
        <v>129.418563842773</v>
      </c>
    </row>
    <row r="722" customFormat="false" ht="14.25" hidden="false" customHeight="false" outlineLevel="0" collapsed="false">
      <c r="B722" s="89" t="s">
        <v>773</v>
      </c>
      <c r="C722" s="90" t="n">
        <v>126.343955993652</v>
      </c>
    </row>
    <row r="723" customFormat="false" ht="14.25" hidden="false" customHeight="false" outlineLevel="0" collapsed="false">
      <c r="B723" s="89" t="s">
        <v>774</v>
      </c>
      <c r="C723" s="90" t="n">
        <v>126.285003662109</v>
      </c>
    </row>
    <row r="724" customFormat="false" ht="14.25" hidden="false" customHeight="false" outlineLevel="0" collapsed="false">
      <c r="B724" s="89" t="s">
        <v>775</v>
      </c>
      <c r="C724" s="90" t="n">
        <v>125.214294433594</v>
      </c>
    </row>
    <row r="725" customFormat="false" ht="14.25" hidden="false" customHeight="false" outlineLevel="0" collapsed="false">
      <c r="B725" s="89" t="s">
        <v>776</v>
      </c>
      <c r="C725" s="90" t="n">
        <v>123.691734313965</v>
      </c>
    </row>
    <row r="726" customFormat="false" ht="14.25" hidden="false" customHeight="false" outlineLevel="0" collapsed="false">
      <c r="B726" s="89" t="s">
        <v>777</v>
      </c>
      <c r="C726" s="90" t="n">
        <v>130.194580078125</v>
      </c>
    </row>
    <row r="727" customFormat="false" ht="14.25" hidden="false" customHeight="false" outlineLevel="0" collapsed="false">
      <c r="B727" s="89" t="s">
        <v>778</v>
      </c>
      <c r="C727" s="90" t="n">
        <v>129.56591796875</v>
      </c>
    </row>
    <row r="728" customFormat="false" ht="14.25" hidden="false" customHeight="false" outlineLevel="0" collapsed="false">
      <c r="B728" s="89" t="s">
        <v>779</v>
      </c>
      <c r="C728" s="90" t="n">
        <v>130.725036621094</v>
      </c>
    </row>
    <row r="729" customFormat="false" ht="14.25" hidden="false" customHeight="false" outlineLevel="0" collapsed="false">
      <c r="B729" s="89" t="s">
        <v>780</v>
      </c>
      <c r="C729" s="90" t="n">
        <v>131.992202758789</v>
      </c>
    </row>
    <row r="730" customFormat="false" ht="14.25" hidden="false" customHeight="false" outlineLevel="0" collapsed="false">
      <c r="B730" s="89" t="s">
        <v>781</v>
      </c>
      <c r="C730" s="90" t="n">
        <v>135.832992553711</v>
      </c>
    </row>
    <row r="731" customFormat="false" ht="14.25" hidden="false" customHeight="false" outlineLevel="0" collapsed="false">
      <c r="B731" s="89" t="s">
        <v>782</v>
      </c>
      <c r="C731" s="90" t="n">
        <v>136.343811035156</v>
      </c>
    </row>
    <row r="732" customFormat="false" ht="14.25" hidden="false" customHeight="false" outlineLevel="0" collapsed="false">
      <c r="B732" s="89" t="s">
        <v>783</v>
      </c>
      <c r="C732" s="90" t="n">
        <v>132.709289550781</v>
      </c>
    </row>
    <row r="733" customFormat="false" ht="14.25" hidden="false" customHeight="false" outlineLevel="0" collapsed="false">
      <c r="B733" s="89" t="s">
        <v>784</v>
      </c>
      <c r="C733" s="90" t="n">
        <v>134.978393554688</v>
      </c>
    </row>
    <row r="734" customFormat="false" ht="14.25" hidden="false" customHeight="false" outlineLevel="0" collapsed="false">
      <c r="B734" s="89" t="s">
        <v>785</v>
      </c>
      <c r="C734" s="90" t="n">
        <v>138.838851928711</v>
      </c>
    </row>
    <row r="735" customFormat="false" ht="14.25" hidden="false" customHeight="false" outlineLevel="0" collapsed="false">
      <c r="B735" s="89" t="s">
        <v>786</v>
      </c>
      <c r="C735" s="90" t="n">
        <v>140.528411865234</v>
      </c>
    </row>
    <row r="736" customFormat="false" ht="14.25" hidden="false" customHeight="false" outlineLevel="0" collapsed="false">
      <c r="B736" s="89" t="s">
        <v>787</v>
      </c>
      <c r="C736" s="90" t="n">
        <v>136.658172607422</v>
      </c>
    </row>
    <row r="737" customFormat="false" ht="14.25" hidden="false" customHeight="false" outlineLevel="0" collapsed="false">
      <c r="B737" s="89" t="s">
        <v>788</v>
      </c>
      <c r="C737" s="90" t="n">
        <v>138.298568725586</v>
      </c>
    </row>
    <row r="738" customFormat="false" ht="14.25" hidden="false" customHeight="false" outlineLevel="0" collapsed="false">
      <c r="B738" s="89" t="s">
        <v>789</v>
      </c>
      <c r="C738" s="90" t="n">
        <v>143.475372314453</v>
      </c>
    </row>
    <row r="739" customFormat="false" ht="14.25" hidden="false" customHeight="false" outlineLevel="0" collapsed="false">
      <c r="B739" s="89" t="s">
        <v>790</v>
      </c>
      <c r="C739" s="90" t="n">
        <v>144.025436401367</v>
      </c>
    </row>
    <row r="740" customFormat="false" ht="14.25" hidden="false" customHeight="false" outlineLevel="0" collapsed="false">
      <c r="B740" s="89" t="s">
        <v>791</v>
      </c>
      <c r="C740" s="90" t="n">
        <v>143.003829956055</v>
      </c>
    </row>
    <row r="741" customFormat="false" ht="14.25" hidden="false" customHeight="false" outlineLevel="0" collapsed="false">
      <c r="B741" s="89" t="s">
        <v>792</v>
      </c>
      <c r="C741" s="90" t="n">
        <v>145.837463378906</v>
      </c>
    </row>
    <row r="742" customFormat="false" ht="14.25" hidden="false" customHeight="false" outlineLevel="0" collapsed="false">
      <c r="B742" s="89" t="s">
        <v>793</v>
      </c>
      <c r="C742" s="90" t="n">
        <v>146.886566162109</v>
      </c>
    </row>
    <row r="743" customFormat="false" ht="14.25" hidden="false" customHeight="false" outlineLevel="0" collapsed="false">
      <c r="B743" s="89" t="s">
        <v>794</v>
      </c>
      <c r="C743" s="90" t="n">
        <v>147.749359130859</v>
      </c>
    </row>
    <row r="744" customFormat="false" ht="14.25" hidden="false" customHeight="false" outlineLevel="0" collapsed="false">
      <c r="B744" s="89" t="s">
        <v>795</v>
      </c>
      <c r="C744" s="90" t="n">
        <v>146.249221801758</v>
      </c>
    </row>
    <row r="745" customFormat="false" ht="14.25" hidden="false" customHeight="false" outlineLevel="0" collapsed="false">
      <c r="B745" s="89" t="s">
        <v>796</v>
      </c>
      <c r="C745" s="90" t="n">
        <v>143.484283447266</v>
      </c>
    </row>
    <row r="746" customFormat="false" ht="14.25" hidden="false" customHeight="false" outlineLevel="0" collapsed="false">
      <c r="B746" s="89" t="s">
        <v>797</v>
      </c>
      <c r="C746" s="90" t="n">
        <v>145.082473754883</v>
      </c>
    </row>
    <row r="747" customFormat="false" ht="14.25" hidden="false" customHeight="false" outlineLevel="0" collapsed="false">
      <c r="B747" s="89" t="s">
        <v>798</v>
      </c>
      <c r="C747" s="90" t="n">
        <v>143.964721679688</v>
      </c>
    </row>
    <row r="748" customFormat="false" ht="14.25" hidden="false" customHeight="false" outlineLevel="0" collapsed="false">
      <c r="B748" s="89" t="s">
        <v>799</v>
      </c>
      <c r="C748" s="90" t="n">
        <v>143.631362915039</v>
      </c>
    </row>
    <row r="749" customFormat="false" ht="14.25" hidden="false" customHeight="false" outlineLevel="0" collapsed="false">
      <c r="B749" s="89" t="s">
        <v>800</v>
      </c>
      <c r="C749" s="90" t="n">
        <v>147.965087890625</v>
      </c>
    </row>
    <row r="750" customFormat="false" ht="14.25" hidden="false" customHeight="false" outlineLevel="0" collapsed="false">
      <c r="B750" s="89" t="s">
        <v>801</v>
      </c>
      <c r="C750" s="90" t="n">
        <v>149.533874511719</v>
      </c>
    </row>
    <row r="751" customFormat="false" ht="14.25" hidden="false" customHeight="false" outlineLevel="0" collapsed="false">
      <c r="B751" s="89" t="s">
        <v>802</v>
      </c>
      <c r="C751" s="90" t="n">
        <v>149.435806274414</v>
      </c>
    </row>
    <row r="752" customFormat="false" ht="14.25" hidden="false" customHeight="false" outlineLevel="0" collapsed="false">
      <c r="B752" s="89" t="s">
        <v>803</v>
      </c>
      <c r="C752" s="90" t="n">
        <v>149.033828735352</v>
      </c>
    </row>
    <row r="753" customFormat="false" ht="14.25" hidden="false" customHeight="false" outlineLevel="0" collapsed="false">
      <c r="B753" s="89" t="s">
        <v>804</v>
      </c>
      <c r="C753" s="90" t="n">
        <v>153.740127563477</v>
      </c>
    </row>
    <row r="754" customFormat="false" ht="14.25" hidden="false" customHeight="false" outlineLevel="0" collapsed="false">
      <c r="B754" s="89" t="s">
        <v>805</v>
      </c>
      <c r="C754" s="90" t="n">
        <v>150.337860107422</v>
      </c>
    </row>
    <row r="755" customFormat="false" ht="14.25" hidden="false" customHeight="false" outlineLevel="0" collapsed="false">
      <c r="B755" s="89" t="s">
        <v>806</v>
      </c>
      <c r="C755" s="90" t="n">
        <v>154.004913330078</v>
      </c>
    </row>
    <row r="756" customFormat="false" ht="14.25" hidden="false" customHeight="false" outlineLevel="0" collapsed="false">
      <c r="B756" s="89" t="s">
        <v>807</v>
      </c>
      <c r="C756" s="90" t="n">
        <v>155.622680664063</v>
      </c>
    </row>
    <row r="757" customFormat="false" ht="14.25" hidden="false" customHeight="false" outlineLevel="0" collapsed="false">
      <c r="B757" s="89" t="s">
        <v>808</v>
      </c>
      <c r="C757" s="90" t="n">
        <v>151.27912902832</v>
      </c>
    </row>
    <row r="758" customFormat="false" ht="14.25" hidden="false" customHeight="false" outlineLevel="0" collapsed="false">
      <c r="B758" s="89" t="s">
        <v>809</v>
      </c>
      <c r="C758" s="90" t="n">
        <v>152.387100219727</v>
      </c>
    </row>
    <row r="759" customFormat="false" ht="14.25" hidden="false" customHeight="false" outlineLevel="0" collapsed="false">
      <c r="B759" s="89" t="s">
        <v>810</v>
      </c>
      <c r="C759" s="90" t="n">
        <v>153.504852294922</v>
      </c>
    </row>
    <row r="760" customFormat="false" ht="14.25" hidden="false" customHeight="false" outlineLevel="0" collapsed="false">
      <c r="B760" s="89" t="s">
        <v>811</v>
      </c>
      <c r="C760" s="90" t="n">
        <v>153.730316162109</v>
      </c>
    </row>
    <row r="761" customFormat="false" ht="14.25" hidden="false" customHeight="false" outlineLevel="0" collapsed="false">
      <c r="B761" s="89" t="s">
        <v>812</v>
      </c>
      <c r="C761" s="90" t="n">
        <v>159.995651245117</v>
      </c>
    </row>
    <row r="762" customFormat="false" ht="14.25" hidden="false" customHeight="false" outlineLevel="0" collapsed="false">
      <c r="B762" s="89" t="s">
        <v>813</v>
      </c>
      <c r="C762" s="90" t="n">
        <v>156.642379760742</v>
      </c>
    </row>
    <row r="763" customFormat="false" ht="14.25" hidden="false" customHeight="false" outlineLevel="0" collapsed="false">
      <c r="B763" s="89" t="s">
        <v>814</v>
      </c>
      <c r="C763" s="90" t="n">
        <v>155.593276977539</v>
      </c>
    </row>
    <row r="764" customFormat="false" ht="14.25" hidden="false" customHeight="false" outlineLevel="0" collapsed="false">
      <c r="B764" s="89" t="s">
        <v>815</v>
      </c>
      <c r="C764" s="90" t="n">
        <v>155.06379699707</v>
      </c>
    </row>
    <row r="765" customFormat="false" ht="14.25" hidden="false" customHeight="false" outlineLevel="0" collapsed="false">
      <c r="B765" s="89" t="s">
        <v>816</v>
      </c>
      <c r="C765" s="90" t="n">
        <v>151.602676391602</v>
      </c>
    </row>
    <row r="766" customFormat="false" ht="14.25" hidden="false" customHeight="false" outlineLevel="0" collapsed="false">
      <c r="B766" s="89" t="s">
        <v>817</v>
      </c>
      <c r="C766" s="90" t="n">
        <v>151.043807983398</v>
      </c>
    </row>
    <row r="767" customFormat="false" ht="14.25" hidden="false" customHeight="false" outlineLevel="0" collapsed="false">
      <c r="B767" s="89" t="s">
        <v>818</v>
      </c>
      <c r="C767" s="90" t="n">
        <v>150.279037475586</v>
      </c>
    </row>
    <row r="768" customFormat="false" ht="14.25" hidden="false" customHeight="false" outlineLevel="0" collapsed="false">
      <c r="B768" s="89" t="s">
        <v>819</v>
      </c>
      <c r="C768" s="90" t="n">
        <v>153.298934936523</v>
      </c>
    </row>
    <row r="769" customFormat="false" ht="14.25" hidden="false" customHeight="false" outlineLevel="0" collapsed="false">
      <c r="B769" s="89" t="s">
        <v>820</v>
      </c>
      <c r="C769" s="90" t="n">
        <v>150.328048706055</v>
      </c>
    </row>
    <row r="770" customFormat="false" ht="14.25" hidden="false" customHeight="false" outlineLevel="0" collapsed="false">
      <c r="B770" s="89" t="s">
        <v>821</v>
      </c>
      <c r="C770" s="90" t="n">
        <v>149.514251708984</v>
      </c>
    </row>
    <row r="771" customFormat="false" ht="14.25" hidden="false" customHeight="false" outlineLevel="0" collapsed="false">
      <c r="B771" s="89" t="s">
        <v>822</v>
      </c>
      <c r="C771" s="90" t="n">
        <v>149.808380126953</v>
      </c>
    </row>
    <row r="772" customFormat="false" ht="14.25" hidden="false" customHeight="false" outlineLevel="0" collapsed="false">
      <c r="B772" s="89" t="s">
        <v>823</v>
      </c>
      <c r="C772" s="90" t="n">
        <v>147.896469116211</v>
      </c>
    </row>
    <row r="773" customFormat="false" ht="14.25" hidden="false" customHeight="false" outlineLevel="0" collapsed="false">
      <c r="B773" s="89" t="s">
        <v>824</v>
      </c>
      <c r="C773" s="90" t="n">
        <v>153.524444580078</v>
      </c>
    </row>
    <row r="774" customFormat="false" ht="14.25" hidden="false" customHeight="false" outlineLevel="0" collapsed="false">
      <c r="B774" s="89" t="s">
        <v>825</v>
      </c>
      <c r="C774" s="90" t="n">
        <v>153.583297729492</v>
      </c>
    </row>
    <row r="775" customFormat="false" ht="14.25" hidden="false" customHeight="false" outlineLevel="0" collapsed="false">
      <c r="B775" s="89" t="s">
        <v>826</v>
      </c>
      <c r="C775" s="90" t="n">
        <v>153.485229492188</v>
      </c>
    </row>
    <row r="776" customFormat="false" ht="14.25" hidden="false" customHeight="false" outlineLevel="0" collapsed="false">
      <c r="B776" s="89" t="s">
        <v>827</v>
      </c>
      <c r="C776" s="90" t="n">
        <v>153.632278442383</v>
      </c>
    </row>
    <row r="777" customFormat="false" ht="14.25" hidden="false" customHeight="false" outlineLevel="0" collapsed="false">
      <c r="B777" s="89" t="s">
        <v>828</v>
      </c>
      <c r="C777" s="90" t="n">
        <v>151.994873046875</v>
      </c>
    </row>
    <row r="778" customFormat="false" ht="14.25" hidden="false" customHeight="false" outlineLevel="0" collapsed="false">
      <c r="B778" s="89" t="s">
        <v>829</v>
      </c>
      <c r="C778" s="90" t="n">
        <v>152.857711791992</v>
      </c>
    </row>
    <row r="779" customFormat="false" ht="14.25" hidden="false" customHeight="false" outlineLevel="0" collapsed="false">
      <c r="B779" s="89" t="s">
        <v>830</v>
      </c>
      <c r="C779" s="90" t="n">
        <v>152.553771972656</v>
      </c>
    </row>
    <row r="780" customFormat="false" ht="14.25" hidden="false" customHeight="false" outlineLevel="0" collapsed="false">
      <c r="B780" s="89" t="s">
        <v>831</v>
      </c>
      <c r="C780" s="90" t="n">
        <v>153.985275268555</v>
      </c>
    </row>
    <row r="781" customFormat="false" ht="14.25" hidden="false" customHeight="false" outlineLevel="0" collapsed="false">
      <c r="B781" s="89" t="s">
        <v>832</v>
      </c>
      <c r="C781" s="90" t="n">
        <v>152.249816894531</v>
      </c>
    </row>
    <row r="782" customFormat="false" ht="14.25" hidden="false" customHeight="false" outlineLevel="0" collapsed="false">
      <c r="B782" s="94"/>
      <c r="C782" s="76"/>
    </row>
    <row r="784" customFormat="false" ht="14.25" hidden="false" customHeight="false" outlineLevel="0" collapsed="false">
      <c r="A784" s="25" t="s">
        <v>10</v>
      </c>
      <c r="B784" s="22" t="s">
        <v>35</v>
      </c>
      <c r="C784" s="22"/>
      <c r="D784" s="22"/>
      <c r="E784" s="22"/>
      <c r="F784" s="2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7"/>
  <sheetViews>
    <sheetView showFormulas="false" showGridLines="false" showRowColHeaders="true" showZeros="true" rightToLeft="false" tabSelected="false" showOutlineSymbols="true" defaultGridColor="true" view="normal" topLeftCell="G17" colorId="64" zoomScale="100" zoomScaleNormal="100" zoomScalePageLayoutView="100" workbookViewId="0">
      <selection pane="topLeft" activeCell="A1" activeCellId="0" sqref="A1"/>
    </sheetView>
  </sheetViews>
  <sheetFormatPr defaultColWidth="14.71484375" defaultRowHeight="14.25" customHeight="false" zeroHeight="false" outlineLevelRow="0" outlineLevelCol="0"/>
  <cols>
    <col collapsed="false" customWidth="true" hidden="false" outlineLevel="0" max="1" min="1" style="25" width="7.71"/>
    <col collapsed="false" customWidth="false" hidden="false" outlineLevel="0" max="7" min="2" style="20" width="14.71"/>
    <col collapsed="false" customWidth="true" hidden="false" outlineLevel="0" max="8" min="8" style="20" width="7.71"/>
    <col collapsed="false" customWidth="false" hidden="false" outlineLevel="0" max="12" min="9" style="20" width="14.71"/>
    <col collapsed="false" customWidth="true" hidden="false" outlineLevel="0" max="13" min="13" style="20" width="7.71"/>
    <col collapsed="false" customWidth="false" hidden="false" outlineLevel="0" max="19" min="14" style="20" width="14.71"/>
    <col collapsed="false" customWidth="true" hidden="false" outlineLevel="0" max="20" min="20" style="20" width="7.71"/>
    <col collapsed="false" customWidth="false" hidden="false" outlineLevel="0" max="16384" min="21" style="20" width="14.71"/>
  </cols>
  <sheetData>
    <row r="1" s="22" customFormat="true" ht="14.25" hidden="false" customHeight="false" outlineLevel="0" collapsed="false">
      <c r="A1" s="21"/>
    </row>
    <row r="2" s="22" customFormat="true" ht="15" hidden="false" customHeight="false" outlineLevel="0" collapsed="false">
      <c r="A2" s="21"/>
      <c r="B2" s="23" t="s">
        <v>833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="22" customFormat="true" ht="14.25" hidden="false" customHeight="false" outlineLevel="0" collapsed="false">
      <c r="A3" s="21"/>
    </row>
    <row r="5" customFormat="false" ht="14.25" hidden="false" customHeight="false" outlineLevel="0" collapsed="false">
      <c r="A5" s="25" t="s">
        <v>10</v>
      </c>
      <c r="B5" s="22" t="s">
        <v>11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7" customFormat="false" ht="14.25" hidden="false" customHeight="false" outlineLevel="0" collapsed="false">
      <c r="B7" s="26" t="s">
        <v>2</v>
      </c>
      <c r="C7" s="27" t="str">
        <f aca="false">Cover!D8</f>
        <v>Simpson Manufacturing</v>
      </c>
    </row>
    <row r="8" customFormat="false" ht="14.25" hidden="false" customHeight="false" outlineLevel="0" collapsed="false">
      <c r="B8" s="26" t="s">
        <v>3</v>
      </c>
      <c r="C8" s="27" t="str">
        <f aca="false">Cover!D9</f>
        <v>SSD</v>
      </c>
    </row>
    <row r="9" customFormat="false" ht="14.25" hidden="false" customHeight="false" outlineLevel="0" collapsed="false">
      <c r="B9" s="26" t="s">
        <v>5</v>
      </c>
      <c r="C9" s="20" t="str">
        <f aca="false">Cover!D10</f>
        <v>Industrials</v>
      </c>
    </row>
    <row r="10" customFormat="false" ht="14.25" hidden="false" customHeight="false" outlineLevel="0" collapsed="false">
      <c r="B10" s="26" t="s">
        <v>7</v>
      </c>
      <c r="C10" s="28" t="n">
        <f aca="false">Cover!D11</f>
        <v>46235</v>
      </c>
    </row>
    <row r="11" customFormat="false" ht="14.25" hidden="false" customHeight="false" outlineLevel="0" collapsed="false">
      <c r="B11" s="26" t="s">
        <v>8</v>
      </c>
      <c r="C11" s="27" t="n">
        <f aca="false">Cover!D12</f>
        <v>187.74</v>
      </c>
    </row>
    <row r="12" customFormat="false" ht="14.25" hidden="false" customHeight="false" outlineLevel="0" collapsed="false">
      <c r="C12" s="27"/>
    </row>
    <row r="13" customFormat="false" ht="14.25" hidden="false" customHeight="false" outlineLevel="0" collapsed="false">
      <c r="A13" s="25" t="s">
        <v>10</v>
      </c>
      <c r="B13" s="22" t="s">
        <v>67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5" customFormat="false" ht="14.25" hidden="false" customHeight="false" outlineLevel="0" collapsed="false">
      <c r="B15" s="47" t="s">
        <v>46</v>
      </c>
      <c r="C15" s="48" t="s">
        <v>68</v>
      </c>
      <c r="D15" s="48" t="s">
        <v>48</v>
      </c>
      <c r="E15" s="48" t="s">
        <v>49</v>
      </c>
    </row>
    <row r="16" customFormat="false" ht="14.25" hidden="false" customHeight="false" outlineLevel="0" collapsed="false">
      <c r="B16" s="20" t="s">
        <v>52</v>
      </c>
      <c r="C16" s="82" t="n">
        <f aca="false">D16*0.95</f>
        <v>173.153157015133</v>
      </c>
      <c r="D16" s="95" t="n">
        <f aca="false">N46</f>
        <v>182.266481068561</v>
      </c>
      <c r="E16" s="82" t="n">
        <f aca="false">D16*1.05</f>
        <v>191.379805121989</v>
      </c>
    </row>
    <row r="17" customFormat="false" ht="14.25" hidden="false" customHeight="false" outlineLevel="0" collapsed="false">
      <c r="B17" s="20" t="s">
        <v>53</v>
      </c>
      <c r="C17" s="82" t="n">
        <f aca="false">D17*0.95</f>
        <v>190.397873971445</v>
      </c>
      <c r="D17" s="95" t="n">
        <f aca="false">O46</f>
        <v>200.418814706784</v>
      </c>
      <c r="E17" s="82" t="n">
        <f aca="false">D17*1.05</f>
        <v>210.439755442123</v>
      </c>
    </row>
    <row r="18" customFormat="false" ht="14.25" hidden="false" customHeight="false" outlineLevel="0" collapsed="false">
      <c r="B18" s="20" t="s">
        <v>54</v>
      </c>
      <c r="C18" s="82" t="n">
        <f aca="false">D18*0.95</f>
        <v>154.054735447312</v>
      </c>
      <c r="D18" s="95" t="n">
        <f aca="false">P46</f>
        <v>162.162879418223</v>
      </c>
      <c r="E18" s="82" t="n">
        <f aca="false">D18*1.05</f>
        <v>170.271023389134</v>
      </c>
    </row>
    <row r="19" customFormat="false" ht="14.25" hidden="false" customHeight="false" outlineLevel="0" collapsed="false">
      <c r="B19" s="20" t="s">
        <v>55</v>
      </c>
      <c r="C19" s="82" t="n">
        <f aca="false">D19*0.95</f>
        <v>232.135637830401</v>
      </c>
      <c r="D19" s="83" t="n">
        <f aca="false">Q46</f>
        <v>244.35330297937</v>
      </c>
      <c r="E19" s="82" t="n">
        <f aca="false">D19*1.05</f>
        <v>256.570968128338</v>
      </c>
      <c r="Q19" s="96"/>
    </row>
    <row r="21" customFormat="false" ht="14.25" hidden="false" customHeight="false" outlineLevel="0" collapsed="false">
      <c r="A21" s="25" t="s">
        <v>10</v>
      </c>
      <c r="B21" s="22" t="s">
        <v>834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Z21" s="75"/>
    </row>
    <row r="22" customFormat="false" ht="14.25" hidden="false" customHeight="false" outlineLevel="0" collapsed="false">
      <c r="U22" s="97"/>
      <c r="V22" s="97"/>
      <c r="W22" s="97"/>
      <c r="X22" s="97"/>
      <c r="Y22" s="97"/>
      <c r="Z22" s="75"/>
    </row>
    <row r="23" customFormat="false" ht="14.25" hidden="false" customHeight="false" outlineLevel="0" collapsed="false">
      <c r="C23" s="54"/>
      <c r="D23" s="54"/>
      <c r="E23" s="55" t="s">
        <v>835</v>
      </c>
      <c r="F23" s="54"/>
      <c r="G23" s="54"/>
      <c r="H23" s="37"/>
      <c r="I23" s="54"/>
      <c r="J23" s="55" t="s">
        <v>836</v>
      </c>
      <c r="K23" s="55"/>
      <c r="L23" s="98"/>
      <c r="N23" s="54"/>
      <c r="O23" s="54"/>
      <c r="P23" s="55" t="s">
        <v>837</v>
      </c>
      <c r="Q23" s="55"/>
      <c r="R23" s="98"/>
      <c r="S23" s="98"/>
      <c r="U23" s="54"/>
      <c r="V23" s="55" t="s">
        <v>838</v>
      </c>
      <c r="W23" s="55"/>
      <c r="X23" s="98"/>
    </row>
    <row r="24" customFormat="false" ht="14.25" hidden="false" customHeight="false" outlineLevel="0" collapsed="false">
      <c r="B24" s="48" t="s">
        <v>839</v>
      </c>
      <c r="C24" s="99" t="s">
        <v>840</v>
      </c>
      <c r="D24" s="31" t="s">
        <v>841</v>
      </c>
      <c r="E24" s="31"/>
      <c r="F24" s="100" t="s">
        <v>842</v>
      </c>
      <c r="G24" s="100" t="s">
        <v>843</v>
      </c>
      <c r="H24" s="32"/>
      <c r="I24" s="101" t="s">
        <v>844</v>
      </c>
      <c r="J24" s="101" t="s">
        <v>845</v>
      </c>
      <c r="K24" s="102" t="s">
        <v>844</v>
      </c>
      <c r="L24" s="102" t="s">
        <v>846</v>
      </c>
      <c r="M24" s="103"/>
      <c r="N24" s="101" t="s">
        <v>39</v>
      </c>
      <c r="O24" s="101" t="s">
        <v>847</v>
      </c>
      <c r="P24" s="101" t="s">
        <v>848</v>
      </c>
      <c r="Q24" s="101" t="s">
        <v>849</v>
      </c>
      <c r="R24" s="101" t="s">
        <v>850</v>
      </c>
      <c r="S24" s="101" t="s">
        <v>851</v>
      </c>
      <c r="T24" s="103"/>
      <c r="U24" s="101" t="s">
        <v>852</v>
      </c>
      <c r="V24" s="101" t="s">
        <v>853</v>
      </c>
      <c r="W24" s="101" t="s">
        <v>54</v>
      </c>
      <c r="X24" s="101" t="s">
        <v>55</v>
      </c>
    </row>
    <row r="25" customFormat="false" ht="14.25" hidden="false" customHeight="false" outlineLevel="0" collapsed="false">
      <c r="C25" s="43"/>
      <c r="G25" s="27"/>
    </row>
    <row r="26" customFormat="false" ht="14.25" hidden="false" customHeight="false" outlineLevel="0" collapsed="false">
      <c r="B26" s="104"/>
      <c r="C26" s="105" t="s">
        <v>4</v>
      </c>
      <c r="D26" s="106" t="s">
        <v>0</v>
      </c>
      <c r="E26" s="106"/>
      <c r="F26" s="106" t="s">
        <v>6</v>
      </c>
      <c r="G26" s="106" t="s">
        <v>854</v>
      </c>
      <c r="H26" s="107"/>
      <c r="I26" s="108" t="n">
        <f aca="false">Data!D16</f>
        <v>2421.897984</v>
      </c>
      <c r="J26" s="108" t="n">
        <f aca="false">Data!D18</f>
        <v>579.369024</v>
      </c>
      <c r="K26" s="109" t="n">
        <f aca="false">I26</f>
        <v>2421.897984</v>
      </c>
      <c r="L26" s="108" t="n">
        <f aca="false">Data!D20</f>
        <v>378.916</v>
      </c>
      <c r="M26" s="107"/>
      <c r="N26" s="110" t="n">
        <f aca="false">Data!D29</f>
        <v>187.74</v>
      </c>
      <c r="O26" s="111" t="n">
        <f aca="false">Data!D30</f>
        <v>41.138325</v>
      </c>
      <c r="P26" s="111" t="n">
        <f aca="false">Data!D31</f>
        <v>7905.551872</v>
      </c>
      <c r="Q26" s="111" t="n">
        <f aca="false">Data!D26</f>
        <v>481.739008</v>
      </c>
      <c r="R26" s="111" t="n">
        <f aca="false">Data!D27</f>
        <v>341.004992</v>
      </c>
      <c r="S26" s="112" t="n">
        <f aca="false">P26+Q26-R26</f>
        <v>8046.285888</v>
      </c>
      <c r="T26" s="107"/>
      <c r="U26" s="113" t="n">
        <f aca="false">S26/I26</f>
        <v>3.32230586967614</v>
      </c>
      <c r="V26" s="113" t="n">
        <f aca="false">S26/J26</f>
        <v>13.8880153316585</v>
      </c>
      <c r="W26" s="113" t="n">
        <f aca="false">P26/K26</f>
        <v>3.26419689195298</v>
      </c>
      <c r="X26" s="114" t="n">
        <f aca="false">P26/L26</f>
        <v>20.8636000380031</v>
      </c>
    </row>
    <row r="27" customFormat="false" ht="14.25" hidden="false" customHeight="false" outlineLevel="0" collapsed="false">
      <c r="C27" s="43"/>
      <c r="I27" s="115"/>
      <c r="J27" s="115"/>
      <c r="K27" s="116"/>
      <c r="L27" s="115"/>
      <c r="N27" s="115"/>
      <c r="O27" s="115"/>
      <c r="P27" s="115"/>
      <c r="Q27" s="115"/>
      <c r="R27" s="115"/>
      <c r="S27" s="92"/>
    </row>
    <row r="28" customFormat="false" ht="14.25" hidden="false" customHeight="false" outlineLevel="0" collapsed="false">
      <c r="B28" s="117"/>
      <c r="C28" s="43" t="s">
        <v>855</v>
      </c>
      <c r="D28" s="20" t="s">
        <v>855</v>
      </c>
      <c r="F28" s="118" t="s">
        <v>6</v>
      </c>
      <c r="G28" s="92" t="s">
        <v>854</v>
      </c>
      <c r="H28" s="119"/>
      <c r="I28" s="120" t="n">
        <v>1616.957952</v>
      </c>
      <c r="J28" s="120" t="n">
        <v>251.051008</v>
      </c>
      <c r="K28" s="121" t="n">
        <f aca="false">I28</f>
        <v>1616.957952</v>
      </c>
      <c r="L28" s="120" t="n">
        <v>118.116</v>
      </c>
      <c r="N28" s="122" t="n">
        <v>89.06</v>
      </c>
      <c r="O28" s="120" t="n">
        <v>81.91171</v>
      </c>
      <c r="P28" s="120" t="n">
        <v>7581.747712</v>
      </c>
      <c r="Q28" s="120" t="n">
        <v>443.332</v>
      </c>
      <c r="R28" s="120" t="n">
        <v>0.013</v>
      </c>
      <c r="S28" s="118" t="n">
        <f aca="false">P28+Q28-R28</f>
        <v>8025.066712</v>
      </c>
      <c r="U28" s="123" t="n">
        <f aca="false">S28/I28</f>
        <v>4.96306456335112</v>
      </c>
      <c r="V28" s="123" t="n">
        <f aca="false">S28/J28</f>
        <v>31.9658812602736</v>
      </c>
      <c r="W28" s="123" t="n">
        <f aca="false">P28/K28</f>
        <v>4.68889602393322</v>
      </c>
      <c r="X28" s="123" t="n">
        <f aca="false">P28/L28</f>
        <v>64.1889982051543</v>
      </c>
    </row>
    <row r="29" customFormat="false" ht="14.25" hidden="false" customHeight="false" outlineLevel="0" collapsed="false">
      <c r="B29" s="117" t="s">
        <v>856</v>
      </c>
      <c r="C29" s="43" t="s">
        <v>857</v>
      </c>
      <c r="D29" s="20" t="s">
        <v>858</v>
      </c>
      <c r="F29" s="118" t="s">
        <v>6</v>
      </c>
      <c r="G29" s="92" t="s">
        <v>854</v>
      </c>
      <c r="H29" s="124"/>
      <c r="I29" s="120" t="n">
        <v>4441.399808</v>
      </c>
      <c r="J29" s="120" t="n">
        <v>811.299968</v>
      </c>
      <c r="K29" s="121" t="n">
        <f aca="false">I29</f>
        <v>4441.399808</v>
      </c>
      <c r="L29" s="120" t="n">
        <v>271.6</v>
      </c>
      <c r="N29" s="122" t="n">
        <v>49.26</v>
      </c>
      <c r="O29" s="120" t="n">
        <v>119.293417</v>
      </c>
      <c r="P29" s="120" t="n">
        <v>6223.537152</v>
      </c>
      <c r="Q29" s="120" t="n">
        <v>2962.899968</v>
      </c>
      <c r="R29" s="120" t="n">
        <v>223.1</v>
      </c>
      <c r="S29" s="118" t="n">
        <f aca="false">P29+Q29-R29</f>
        <v>8963.33712</v>
      </c>
      <c r="U29" s="123" t="n">
        <f aca="false">S29/I29</f>
        <v>2.01813336053533</v>
      </c>
      <c r="V29" s="123" t="n">
        <f aca="false">S29/J29</f>
        <v>11.0481171866631</v>
      </c>
      <c r="W29" s="123" t="n">
        <f aca="false">P29/K29</f>
        <v>1.40125577994351</v>
      </c>
      <c r="X29" s="123" t="n">
        <f aca="false">P29/L29</f>
        <v>22.9143488659794</v>
      </c>
    </row>
    <row r="30" customFormat="false" ht="14.25" hidden="false" customHeight="false" outlineLevel="0" collapsed="false">
      <c r="B30" s="117" t="s">
        <v>856</v>
      </c>
      <c r="C30" s="43" t="s">
        <v>859</v>
      </c>
      <c r="D30" s="20" t="s">
        <v>860</v>
      </c>
      <c r="F30" s="118" t="s">
        <v>6</v>
      </c>
      <c r="G30" s="92" t="s">
        <v>854</v>
      </c>
      <c r="H30" s="124"/>
      <c r="I30" s="120" t="n">
        <v>2558.000128</v>
      </c>
      <c r="J30" s="120" t="n">
        <v>318</v>
      </c>
      <c r="K30" s="121" t="n">
        <f aca="false">I30</f>
        <v>2558.000128</v>
      </c>
      <c r="L30" s="120" t="n">
        <v>82</v>
      </c>
      <c r="N30" s="122" t="n">
        <v>72.43</v>
      </c>
      <c r="O30" s="120" t="n">
        <v>69.86488</v>
      </c>
      <c r="P30" s="120" t="n">
        <v>5153.23392</v>
      </c>
      <c r="Q30" s="120" t="n">
        <v>378</v>
      </c>
      <c r="R30" s="120" t="n">
        <v>164</v>
      </c>
      <c r="S30" s="118" t="n">
        <f aca="false">P30+Q30-R30</f>
        <v>5367.23392</v>
      </c>
      <c r="U30" s="123" t="n">
        <f aca="false">S30/I30</f>
        <v>2.09821487546071</v>
      </c>
      <c r="V30" s="123" t="n">
        <f aca="false">S30/J30</f>
        <v>16.8780940880503</v>
      </c>
      <c r="W30" s="123" t="n">
        <f aca="false">P30/K30</f>
        <v>2.01455577096828</v>
      </c>
      <c r="X30" s="125" t="n">
        <f aca="false">P30/L30-30</f>
        <v>32.844316097561</v>
      </c>
    </row>
    <row r="31" customFormat="false" ht="14.25" hidden="false" customHeight="false" outlineLevel="0" collapsed="false">
      <c r="B31" s="117"/>
      <c r="C31" s="43" t="s">
        <v>861</v>
      </c>
      <c r="D31" s="20" t="s">
        <v>862</v>
      </c>
      <c r="F31" s="118" t="s">
        <v>6</v>
      </c>
      <c r="G31" s="92" t="s">
        <v>854</v>
      </c>
      <c r="H31" s="124"/>
      <c r="I31" s="120" t="n">
        <v>9838.000128</v>
      </c>
      <c r="J31" s="120" t="n">
        <v>2035.000064</v>
      </c>
      <c r="K31" s="121" t="n">
        <f aca="false">I31</f>
        <v>9838.000128</v>
      </c>
      <c r="L31" s="120" t="n">
        <v>-405</v>
      </c>
      <c r="N31" s="122" t="n">
        <v>138.9</v>
      </c>
      <c r="O31" s="120" t="n">
        <v>80.528319</v>
      </c>
      <c r="P31" s="120" t="n">
        <v>11532.461056</v>
      </c>
      <c r="Q31" s="120" t="n">
        <v>6023.000064</v>
      </c>
      <c r="R31" s="120" t="n">
        <v>272</v>
      </c>
      <c r="S31" s="118" t="n">
        <f aca="false">P31+Q31-R31</f>
        <v>17283.46112</v>
      </c>
      <c r="U31" s="123" t="n">
        <f aca="false">S31/I31</f>
        <v>1.75680635242212</v>
      </c>
      <c r="V31" s="123" t="n">
        <f aca="false">S31/J31</f>
        <v>8.49310102036439</v>
      </c>
      <c r="W31" s="123" t="n">
        <f aca="false">P31/K31</f>
        <v>1.17223631896257</v>
      </c>
      <c r="X31" s="123" t="n">
        <f aca="false">P31/L31</f>
        <v>-28.4752124839506</v>
      </c>
    </row>
    <row r="32" customFormat="false" ht="14.25" hidden="false" customHeight="false" outlineLevel="0" collapsed="false">
      <c r="B32" s="117" t="s">
        <v>856</v>
      </c>
      <c r="C32" s="43" t="s">
        <v>863</v>
      </c>
      <c r="D32" s="20" t="s">
        <v>864</v>
      </c>
      <c r="F32" s="118" t="s">
        <v>6</v>
      </c>
      <c r="G32" s="92" t="s">
        <v>854</v>
      </c>
      <c r="H32" s="124"/>
      <c r="I32" s="120" t="n">
        <v>1177.677056</v>
      </c>
      <c r="J32" s="120" t="n">
        <v>325.982016</v>
      </c>
      <c r="K32" s="121" t="n">
        <f aca="false">I32</f>
        <v>1177.677056</v>
      </c>
      <c r="L32" s="120" t="n">
        <v>191.384</v>
      </c>
      <c r="N32" s="122" t="n">
        <v>43.36</v>
      </c>
      <c r="O32" s="120" t="n">
        <v>103.898729</v>
      </c>
      <c r="P32" s="120" t="n">
        <v>4657.780224</v>
      </c>
      <c r="Q32" s="120" t="n">
        <v>435.198016</v>
      </c>
      <c r="R32" s="120" t="n">
        <v>4.492</v>
      </c>
      <c r="S32" s="118" t="n">
        <f aca="false">P32+Q32-R32</f>
        <v>5088.48624</v>
      </c>
      <c r="U32" s="123" t="n">
        <f aca="false">S32/I32</f>
        <v>4.32078235206783</v>
      </c>
      <c r="V32" s="123" t="n">
        <f aca="false">S32/J32</f>
        <v>15.6097146168947</v>
      </c>
      <c r="W32" s="123" t="n">
        <f aca="false">P32/K32</f>
        <v>3.95505728864263</v>
      </c>
      <c r="X32" s="123" t="n">
        <f aca="false">P32/L32</f>
        <v>24.3373543451908</v>
      </c>
    </row>
    <row r="33" customFormat="false" ht="14.25" hidden="false" customHeight="false" outlineLevel="0" collapsed="false">
      <c r="B33" s="117"/>
      <c r="C33" s="43" t="s">
        <v>865</v>
      </c>
      <c r="D33" s="20" t="s">
        <v>866</v>
      </c>
      <c r="F33" s="118" t="s">
        <v>6</v>
      </c>
      <c r="G33" s="92" t="s">
        <v>854</v>
      </c>
      <c r="H33" s="124"/>
      <c r="I33" s="120" t="n">
        <v>6233.65376</v>
      </c>
      <c r="J33" s="120" t="n">
        <v>478.663008</v>
      </c>
      <c r="K33" s="121" t="n">
        <f aca="false">I33</f>
        <v>6233.65376</v>
      </c>
      <c r="L33" s="120" t="n">
        <v>237.858</v>
      </c>
      <c r="N33" s="122" t="n">
        <v>86.74</v>
      </c>
      <c r="O33" s="120" t="n">
        <v>56.48023</v>
      </c>
      <c r="P33" s="120" t="n">
        <v>5178.107904</v>
      </c>
      <c r="Q33" s="120" t="n">
        <v>234.251008</v>
      </c>
      <c r="R33" s="120" t="n">
        <v>643.593024</v>
      </c>
      <c r="S33" s="118" t="n">
        <f aca="false">P33+Q33-R33</f>
        <v>4768.765888</v>
      </c>
      <c r="U33" s="123" t="n">
        <f aca="false">S33/I33</f>
        <v>0.765003330566759</v>
      </c>
      <c r="V33" s="123" t="n">
        <f aca="false">S33/J33</f>
        <v>9.96267897936245</v>
      </c>
      <c r="W33" s="123" t="n">
        <f aca="false">P33/K33</f>
        <v>0.830669797098259</v>
      </c>
      <c r="X33" s="123" t="n">
        <f aca="false">P33/L33</f>
        <v>21.7697445702898</v>
      </c>
    </row>
    <row r="34" customFormat="false" ht="14.25" hidden="false" customHeight="false" outlineLevel="0" collapsed="false">
      <c r="B34" s="117" t="s">
        <v>856</v>
      </c>
      <c r="C34" s="43" t="s">
        <v>867</v>
      </c>
      <c r="D34" s="20" t="s">
        <v>868</v>
      </c>
      <c r="F34" s="118" t="s">
        <v>6</v>
      </c>
      <c r="G34" s="92" t="s">
        <v>854</v>
      </c>
      <c r="H34" s="124"/>
      <c r="I34" s="120" t="n">
        <v>3050.375936</v>
      </c>
      <c r="J34" s="120" t="n">
        <v>887.817984</v>
      </c>
      <c r="K34" s="121" t="n">
        <f aca="false">I34</f>
        <v>3050.375936</v>
      </c>
      <c r="L34" s="120" t="n">
        <v>427.555008</v>
      </c>
      <c r="N34" s="122" t="n">
        <v>138.48</v>
      </c>
      <c r="O34" s="120" t="n">
        <v>76.645382</v>
      </c>
      <c r="P34" s="120" t="n">
        <v>11125.076992</v>
      </c>
      <c r="Q34" s="120" t="n">
        <v>1846.093056</v>
      </c>
      <c r="R34" s="120" t="n">
        <v>223.012</v>
      </c>
      <c r="S34" s="118" t="n">
        <f aca="false">P34+Q34-R34</f>
        <v>12748.158048</v>
      </c>
      <c r="U34" s="123" t="n">
        <f aca="false">S34/I34</f>
        <v>4.17920883047512</v>
      </c>
      <c r="V34" s="123" t="n">
        <f aca="false">S34/J34</f>
        <v>14.3589770400506</v>
      </c>
      <c r="W34" s="123" t="n">
        <f aca="false">P34/K34</f>
        <v>3.64711669165227</v>
      </c>
      <c r="X34" s="123" t="n">
        <f aca="false">P34/L34</f>
        <v>26.0202237930517</v>
      </c>
    </row>
    <row r="35" customFormat="false" ht="14.25" hidden="false" customHeight="false" outlineLevel="0" collapsed="false">
      <c r="B35" s="117"/>
      <c r="C35" s="43" t="s">
        <v>869</v>
      </c>
      <c r="D35" s="20" t="s">
        <v>870</v>
      </c>
      <c r="F35" s="118" t="s">
        <v>6</v>
      </c>
      <c r="G35" s="92" t="s">
        <v>854</v>
      </c>
      <c r="H35" s="119"/>
      <c r="I35" s="120" t="n">
        <v>2557.799936</v>
      </c>
      <c r="J35" s="120" t="n">
        <v>558.499968</v>
      </c>
      <c r="K35" s="121" t="n">
        <f aca="false">I35</f>
        <v>2557.799936</v>
      </c>
      <c r="L35" s="120" t="n">
        <v>366.4</v>
      </c>
      <c r="N35" s="122" t="n">
        <v>345.79</v>
      </c>
      <c r="O35" s="120" t="n">
        <v>27.4746</v>
      </c>
      <c r="P35" s="120" t="n">
        <v>11704.174592</v>
      </c>
      <c r="Q35" s="120" t="n">
        <v>305</v>
      </c>
      <c r="R35" s="120" t="n">
        <v>374.7</v>
      </c>
      <c r="S35" s="118" t="n">
        <f aca="false">P35+Q35-R35</f>
        <v>11634.474592</v>
      </c>
      <c r="U35" s="123" t="n">
        <f aca="false">S35/I35</f>
        <v>4.54862572644931</v>
      </c>
      <c r="V35" s="123" t="n">
        <f aca="false">S35/J35</f>
        <v>20.8316477325205</v>
      </c>
      <c r="W35" s="123" t="n">
        <f aca="false">P35/K35</f>
        <v>4.5758757075831</v>
      </c>
      <c r="X35" s="123" t="n">
        <f aca="false">P35/L35</f>
        <v>31.9437079475983</v>
      </c>
    </row>
    <row r="36" customFormat="false" ht="14.25" hidden="false" customHeight="false" outlineLevel="0" collapsed="false">
      <c r="I36" s="115"/>
      <c r="J36" s="115"/>
      <c r="K36" s="116"/>
      <c r="L36" s="115"/>
      <c r="N36" s="115"/>
      <c r="O36" s="115"/>
      <c r="P36" s="115"/>
      <c r="Q36" s="115"/>
      <c r="R36" s="115"/>
      <c r="S36" s="92"/>
    </row>
    <row r="37" customFormat="false" ht="14.25" hidden="false" customHeight="false" outlineLevel="0" collapsed="false">
      <c r="B37" s="61" t="s">
        <v>57</v>
      </c>
      <c r="C37" s="126"/>
      <c r="D37" s="127"/>
      <c r="E37" s="126"/>
      <c r="F37" s="126"/>
      <c r="G37" s="126"/>
      <c r="H37" s="128"/>
      <c r="I37" s="128" t="n">
        <f aca="false">AVERAGE(_xlfn._xlws.FILTER(I$28:I$35,$B$28:$B$35="X"))</f>
        <v>2806.863232</v>
      </c>
      <c r="J37" s="128" t="n">
        <f aca="false">AVERAGE(_xlfn._xlws.FILTER(J$28:J$35,$B$28:$B$35="X"))</f>
        <v>585.774992</v>
      </c>
      <c r="K37" s="128" t="n">
        <f aca="false">AVERAGE(_xlfn._xlws.FILTER(K$28:K$35,$B$28:$B$35="X"))</f>
        <v>2806.863232</v>
      </c>
      <c r="L37" s="128" t="n">
        <f aca="false">AVERAGE(_xlfn._xlws.FILTER(L$28:L$35,$B$28:$B$35="X"))</f>
        <v>243.134752</v>
      </c>
      <c r="M37" s="128"/>
      <c r="N37" s="129"/>
      <c r="O37" s="128" t="n">
        <f aca="false">AVERAGE(_xlfn._xlws.FILTER(O$28:O$35,$B$28:$B$35="X"))</f>
        <v>92.425602</v>
      </c>
      <c r="P37" s="128" t="n">
        <f aca="false">AVERAGE(_xlfn._xlws.FILTER(P$28:P$35,$B$28:$B$35="X"))</f>
        <v>6789.907072</v>
      </c>
      <c r="Q37" s="128" t="n">
        <f aca="false">AVERAGE(_xlfn._xlws.FILTER(Q$28:Q$35,$B$28:$B$35="X"))</f>
        <v>1405.54776</v>
      </c>
      <c r="R37" s="128" t="n">
        <f aca="false">AVERAGE(_xlfn._xlws.FILTER(R$28:R$35,$B$28:$B$35="X"))</f>
        <v>153.651</v>
      </c>
      <c r="S37" s="128" t="n">
        <f aca="false">AVERAGE(_xlfn._xlws.FILTER(S$28:S$35,$B$28:$B$35="X"))</f>
        <v>8041.803832</v>
      </c>
      <c r="T37" s="128"/>
      <c r="U37" s="127" t="n">
        <f aca="false">AVERAGE(_xlfn._xlws.FILTER(U$28:U$35,$B$28:$B$35="X"))</f>
        <v>3.15408485463475</v>
      </c>
      <c r="V37" s="127" t="n">
        <f aca="false">AVERAGE(_xlfn._xlws.FILTER(V$28:V$35,$B$28:$B$35="X"))</f>
        <v>14.4737257329147</v>
      </c>
      <c r="W37" s="127" t="n">
        <f aca="false">AVERAGE(_xlfn._xlws.FILTER(W$28:W$35,$B$28:$B$35="X"))</f>
        <v>2.75449638280167</v>
      </c>
      <c r="X37" s="130" t="n">
        <f aca="false">AVERAGE(_xlfn._xlws.FILTER(X$28:X$35,$B$28:$B$35="X"))</f>
        <v>26.5290607754457</v>
      </c>
    </row>
    <row r="38" customFormat="false" ht="14.25" hidden="false" customHeight="false" outlineLevel="0" collapsed="false">
      <c r="B38" s="65" t="s">
        <v>75</v>
      </c>
      <c r="H38" s="96"/>
      <c r="I38" s="96" t="n">
        <f aca="false">QUARTILE(_xlfn._xlws.FILTER(I$28:I$35,$B$28:$B$35="X"),3)</f>
        <v>3398.131904</v>
      </c>
      <c r="J38" s="96" t="n">
        <f aca="false">QUARTILE(_xlfn._xlws.FILTER(J$28:J$35,$B$28:$B$35="X"),3)</f>
        <v>830.429472</v>
      </c>
      <c r="K38" s="96" t="n">
        <f aca="false">QUARTILE(_xlfn._xlws.FILTER(K$28:K$35,$B$28:$B$35="X"),3)</f>
        <v>3398.131904</v>
      </c>
      <c r="L38" s="96" t="n">
        <f aca="false">QUARTILE(_xlfn._xlws.FILTER(L$28:L$35,$B$28:$B$35="X"),3)</f>
        <v>310.588752</v>
      </c>
      <c r="M38" s="96"/>
      <c r="N38" s="76"/>
      <c r="O38" s="96" t="n">
        <f aca="false">QUARTILE(_xlfn._xlws.FILTER(O$28:O$35,$B$28:$B$35="X"),3)</f>
        <v>107.747401</v>
      </c>
      <c r="P38" s="96" t="n">
        <f aca="false">QUARTILE(_xlfn._xlws.FILTER(P$28:P$35,$B$28:$B$35="X"),3)</f>
        <v>7448.922112</v>
      </c>
      <c r="Q38" s="96" t="n">
        <f aca="false">QUARTILE(_xlfn._xlws.FILTER(Q$28:Q$35,$B$28:$B$35="X"),3)</f>
        <v>2125.294784</v>
      </c>
      <c r="R38" s="96" t="n">
        <f aca="false">QUARTILE(_xlfn._xlws.FILTER(R$28:R$35,$B$28:$B$35="X"),3)</f>
        <v>223.034</v>
      </c>
      <c r="S38" s="96" t="n">
        <f aca="false">QUARTILE(_xlfn._xlws.FILTER(S$28:S$35,$B$28:$B$35="X"),3)</f>
        <v>9909.542352</v>
      </c>
      <c r="T38" s="96"/>
      <c r="U38" s="123" t="n">
        <f aca="false">QUARTILE(_xlfn._xlws.FILTER(U$28:U$35,$B$28:$B$35="X"),3)</f>
        <v>4.2146022108733</v>
      </c>
      <c r="V38" s="123" t="n">
        <f aca="false">QUARTILE(_xlfn._xlws.FILTER(V$28:V$35,$B$28:$B$35="X"),3)</f>
        <v>15.9268094846836</v>
      </c>
      <c r="W38" s="123" t="n">
        <f aca="false">QUARTILE(_xlfn._xlws.FILTER(W$28:W$35,$B$28:$B$35="X"),3)</f>
        <v>3.72410184089986</v>
      </c>
      <c r="X38" s="131" t="n">
        <f aca="false">QUARTILE(_xlfn._xlws.FILTER(X$28:X$35,$B$28:$B$35="X"),3)</f>
        <v>27.726246869179</v>
      </c>
    </row>
    <row r="39" customFormat="false" ht="14.25" hidden="false" customHeight="false" outlineLevel="0" collapsed="false">
      <c r="B39" s="65" t="s">
        <v>76</v>
      </c>
      <c r="H39" s="96"/>
      <c r="I39" s="96" t="n">
        <f aca="false">MEDIAN(_xlfn._xlws.FILTER(I$28:I$35,$B$28:$B$35="X"))</f>
        <v>2804.188032</v>
      </c>
      <c r="J39" s="96" t="n">
        <f aca="false">MEDIAN(_xlfn._xlws.FILTER(J$28:J$35,$B$28:$B$35="X"))</f>
        <v>568.640992</v>
      </c>
      <c r="K39" s="96" t="n">
        <f aca="false">MEDIAN(_xlfn._xlws.FILTER(K$28:K$35,$B$28:$B$35="X"))</f>
        <v>2804.188032</v>
      </c>
      <c r="L39" s="96" t="n">
        <f aca="false">MEDIAN(_xlfn._xlws.FILTER(L$28:L$35,$B$28:$B$35="X"))</f>
        <v>231.492</v>
      </c>
      <c r="M39" s="96"/>
      <c r="N39" s="76"/>
      <c r="O39" s="96" t="n">
        <f aca="false">MEDIAN(_xlfn._xlws.FILTER(O$28:O$35,$B$28:$B$35="X"))</f>
        <v>90.2720555</v>
      </c>
      <c r="P39" s="96" t="n">
        <f aca="false">MEDIAN(_xlfn._xlws.FILTER(P$28:P$35,$B$28:$B$35="X"))</f>
        <v>5688.385536</v>
      </c>
      <c r="Q39" s="96" t="n">
        <f aca="false">MEDIAN(_xlfn._xlws.FILTER(Q$28:Q$35,$B$28:$B$35="X"))</f>
        <v>1140.645536</v>
      </c>
      <c r="R39" s="96" t="n">
        <f aca="false">MEDIAN(_xlfn._xlws.FILTER(R$28:R$35,$B$28:$B$35="X"))</f>
        <v>193.506</v>
      </c>
      <c r="S39" s="96" t="n">
        <f aca="false">MEDIAN(_xlfn._xlws.FILTER(S$28:S$35,$B$28:$B$35="X"))</f>
        <v>7165.28552</v>
      </c>
      <c r="T39" s="96"/>
      <c r="U39" s="123" t="n">
        <f aca="false">MEDIAN(_xlfn._xlws.FILTER(U$28:U$35,$B$28:$B$35="X"))</f>
        <v>3.13871185296791</v>
      </c>
      <c r="V39" s="123" t="n">
        <f aca="false">MEDIAN(_xlfn._xlws.FILTER(V$28:V$35,$B$28:$B$35="X"))</f>
        <v>14.9843458284726</v>
      </c>
      <c r="W39" s="123" t="n">
        <f aca="false">MEDIAN(_xlfn._xlws.FILTER(W$28:W$35,$B$28:$B$35="X"))</f>
        <v>2.83083623131027</v>
      </c>
      <c r="X39" s="131" t="n">
        <f aca="false">MEDIAN(_xlfn._xlws.FILTER(X$28:X$35,$B$28:$B$35="X"))</f>
        <v>25.1787890691213</v>
      </c>
    </row>
    <row r="40" customFormat="false" ht="14.25" hidden="false" customHeight="false" outlineLevel="0" collapsed="false">
      <c r="B40" s="69" t="s">
        <v>77</v>
      </c>
      <c r="C40" s="132"/>
      <c r="D40" s="132"/>
      <c r="E40" s="132"/>
      <c r="F40" s="132"/>
      <c r="G40" s="132"/>
      <c r="H40" s="133"/>
      <c r="I40" s="133" t="n">
        <f aca="false">QUARTILE(_xlfn._xlws.FILTER(I$28:I$35,$B$28:$B$35="X"),1)</f>
        <v>2212.91936</v>
      </c>
      <c r="J40" s="133" t="n">
        <f aca="false">QUARTILE(_xlfn._xlws.FILTER(J$28:J$35,$B$28:$B$35="X"),1)</f>
        <v>323.986512</v>
      </c>
      <c r="K40" s="133" t="n">
        <f aca="false">QUARTILE(_xlfn._xlws.FILTER(K$28:K$35,$B$28:$B$35="X"),1)</f>
        <v>2212.91936</v>
      </c>
      <c r="L40" s="133" t="n">
        <f aca="false">QUARTILE(_xlfn._xlws.FILTER(L$28:L$35,$B$28:$B$35="X"),1)</f>
        <v>164.038</v>
      </c>
      <c r="M40" s="133"/>
      <c r="N40" s="134"/>
      <c r="O40" s="133" t="n">
        <f aca="false">QUARTILE(_xlfn._xlws.FILTER(O$28:O$35,$B$28:$B$35="X"),1)</f>
        <v>74.9502565</v>
      </c>
      <c r="P40" s="133" t="n">
        <f aca="false">QUARTILE(_xlfn._xlws.FILTER(P$28:P$35,$B$28:$B$35="X"),1)</f>
        <v>5029.370496</v>
      </c>
      <c r="Q40" s="133" t="n">
        <f aca="false">QUARTILE(_xlfn._xlws.FILTER(Q$28:Q$35,$B$28:$B$35="X"),1)</f>
        <v>420.898512</v>
      </c>
      <c r="R40" s="133" t="n">
        <f aca="false">QUARTILE(_xlfn._xlws.FILTER(R$28:R$35,$B$28:$B$35="X"),1)</f>
        <v>124.123</v>
      </c>
      <c r="S40" s="133" t="n">
        <f aca="false">QUARTILE(_xlfn._xlws.FILTER(S$28:S$35,$B$28:$B$35="X"),1)</f>
        <v>5297.547</v>
      </c>
      <c r="T40" s="133"/>
      <c r="U40" s="135" t="n">
        <f aca="false">QUARTILE(_xlfn._xlws.FILTER(U$28:U$35,$B$28:$B$35="X"),1)</f>
        <v>2.07819449672936</v>
      </c>
      <c r="V40" s="135" t="n">
        <f aca="false">QUARTILE(_xlfn._xlws.FILTER(V$28:V$35,$B$28:$B$35="X"),1)</f>
        <v>13.5312620767037</v>
      </c>
      <c r="W40" s="135" t="n">
        <f aca="false">QUARTILE(_xlfn._xlws.FILTER(W$28:W$35,$B$28:$B$35="X"),1)</f>
        <v>1.86123077321209</v>
      </c>
      <c r="X40" s="136" t="n">
        <f aca="false">QUARTILE(_xlfn._xlws.FILTER(X$28:X$35,$B$28:$B$35="X"),1)</f>
        <v>23.981602975388</v>
      </c>
    </row>
    <row r="42" customFormat="false" ht="14.25" hidden="false" customHeight="false" outlineLevel="0" collapsed="false">
      <c r="A42" s="25" t="s">
        <v>10</v>
      </c>
      <c r="B42" s="22" t="s">
        <v>871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4" customFormat="false" ht="14.25" hidden="false" customHeight="false" outlineLevel="0" collapsed="false">
      <c r="D44" s="54"/>
      <c r="E44" s="55" t="s">
        <v>838</v>
      </c>
      <c r="F44" s="55"/>
      <c r="G44" s="98"/>
      <c r="I44" s="54"/>
      <c r="J44" s="55" t="s">
        <v>872</v>
      </c>
      <c r="K44" s="55"/>
      <c r="L44" s="98"/>
      <c r="N44" s="54"/>
      <c r="O44" s="55" t="s">
        <v>873</v>
      </c>
      <c r="P44" s="55"/>
    </row>
    <row r="45" customFormat="false" ht="14.25" hidden="false" customHeight="false" outlineLevel="0" collapsed="false">
      <c r="B45" s="31" t="s">
        <v>70</v>
      </c>
      <c r="C45" s="31"/>
      <c r="D45" s="101" t="s">
        <v>852</v>
      </c>
      <c r="E45" s="101" t="s">
        <v>853</v>
      </c>
      <c r="F45" s="101" t="s">
        <v>54</v>
      </c>
      <c r="G45" s="101" t="s">
        <v>55</v>
      </c>
      <c r="H45" s="103"/>
      <c r="I45" s="101" t="s">
        <v>52</v>
      </c>
      <c r="J45" s="101" t="s">
        <v>853</v>
      </c>
      <c r="K45" s="101" t="s">
        <v>54</v>
      </c>
      <c r="L45" s="101" t="s">
        <v>55</v>
      </c>
      <c r="M45" s="103"/>
      <c r="N45" s="101" t="s">
        <v>852</v>
      </c>
      <c r="O45" s="101" t="s">
        <v>853</v>
      </c>
      <c r="P45" s="101" t="s">
        <v>54</v>
      </c>
      <c r="Q45" s="101" t="s">
        <v>55</v>
      </c>
    </row>
    <row r="46" customFormat="false" ht="14.25" hidden="false" customHeight="false" outlineLevel="0" collapsed="false">
      <c r="B46" s="20" t="s">
        <v>57</v>
      </c>
      <c r="D46" s="137" t="n">
        <f aca="false">U37</f>
        <v>3.15408485463475</v>
      </c>
      <c r="E46" s="137" t="n">
        <f aca="false">V37</f>
        <v>14.4737257329147</v>
      </c>
      <c r="F46" s="137" t="n">
        <f aca="false">W37</f>
        <v>2.75449638280167</v>
      </c>
      <c r="G46" s="137" t="n">
        <f aca="false">X37</f>
        <v>26.5290607754457</v>
      </c>
      <c r="I46" s="96" t="n">
        <f aca="false">I$26*D46-($Q$26-$R$26)</f>
        <v>7498.13773480483</v>
      </c>
      <c r="J46" s="96" t="n">
        <f aca="false">J$26*E46-($Q$26-$R$26)</f>
        <v>8244.89433552246</v>
      </c>
      <c r="K46" s="96" t="n">
        <f aca="false">K$26*F46</f>
        <v>6671.10923644266</v>
      </c>
      <c r="L46" s="96" t="n">
        <f aca="false">L$26*G46</f>
        <v>10052.2855927888</v>
      </c>
      <c r="N46" s="60" t="n">
        <f aca="false">I46/$O$26</f>
        <v>182.266481068561</v>
      </c>
      <c r="O46" s="60" t="n">
        <f aca="false">J46/$O$26</f>
        <v>200.418814706784</v>
      </c>
      <c r="P46" s="60" t="n">
        <f aca="false">K46/$O$26</f>
        <v>162.162879418223</v>
      </c>
      <c r="Q46" s="60" t="n">
        <f aca="false">L46/$O$26</f>
        <v>244.35330297937</v>
      </c>
    </row>
    <row r="47" customFormat="false" ht="14.25" hidden="false" customHeight="false" outlineLevel="0" collapsed="false">
      <c r="B47" s="20" t="s">
        <v>75</v>
      </c>
      <c r="D47" s="137" t="n">
        <f aca="false">U38</f>
        <v>4.2146022108733</v>
      </c>
      <c r="E47" s="137" t="n">
        <f aca="false">V38</f>
        <v>15.9268094846836</v>
      </c>
      <c r="F47" s="137" t="n">
        <f aca="false">W38</f>
        <v>3.72410184089986</v>
      </c>
      <c r="G47" s="137" t="n">
        <f aca="false">X38</f>
        <v>27.726246869179</v>
      </c>
      <c r="I47" s="96" t="n">
        <f aca="false">I$26*D47-($Q$26-$R$26)</f>
        <v>10066.602581876</v>
      </c>
      <c r="J47" s="96" t="n">
        <f aca="false">J$26*E47-($Q$26-$R$26)</f>
        <v>9086.76605057508</v>
      </c>
      <c r="K47" s="96" t="n">
        <f aca="false">K$26*F47</f>
        <v>9019.39474068605</v>
      </c>
      <c r="L47" s="96" t="n">
        <f aca="false">L$26*G47</f>
        <v>10505.9185586818</v>
      </c>
      <c r="N47" s="60" t="n">
        <f aca="false">I47/$O$26</f>
        <v>244.701323689673</v>
      </c>
      <c r="O47" s="60" t="n">
        <f aca="false">J47/$O$26</f>
        <v>220.883228730754</v>
      </c>
      <c r="P47" s="60" t="n">
        <f aca="false">K47/$O$26</f>
        <v>219.245551214981</v>
      </c>
      <c r="Q47" s="60" t="n">
        <f aca="false">L47/$O$26</f>
        <v>255.38031892844</v>
      </c>
    </row>
    <row r="48" customFormat="false" ht="14.25" hidden="false" customHeight="false" outlineLevel="0" collapsed="false">
      <c r="B48" s="50" t="s">
        <v>76</v>
      </c>
      <c r="C48" s="138"/>
      <c r="D48" s="139" t="n">
        <f aca="false">U39</f>
        <v>3.13871185296791</v>
      </c>
      <c r="E48" s="139" t="n">
        <f aca="false">V39</f>
        <v>14.9843458284726</v>
      </c>
      <c r="F48" s="139" t="n">
        <f aca="false">W39</f>
        <v>2.83083623131027</v>
      </c>
      <c r="G48" s="139" t="n">
        <f aca="false">X39</f>
        <v>25.1787890691213</v>
      </c>
      <c r="H48" s="140"/>
      <c r="I48" s="141" t="n">
        <f aca="false">I$26*D48-($Q$26-$R$26)</f>
        <v>7460.90589305989</v>
      </c>
      <c r="J48" s="141" t="n">
        <f aca="false">J$26*E48-($Q$26-$R$26)</f>
        <v>8540.73180192067</v>
      </c>
      <c r="K48" s="141" t="n">
        <f aca="false">K$26*F48</f>
        <v>6855.99656164451</v>
      </c>
      <c r="L48" s="141" t="n">
        <f aca="false">L$26*G48</f>
        <v>9540.64603891515</v>
      </c>
      <c r="M48" s="141"/>
      <c r="N48" s="142" t="n">
        <f aca="false">I48/$O$26</f>
        <v>181.361440774749</v>
      </c>
      <c r="O48" s="142" t="n">
        <f aca="false">J48/$O$26</f>
        <v>207.610100846854</v>
      </c>
      <c r="P48" s="142" t="n">
        <f aca="false">K48/$O$26</f>
        <v>166.657163645931</v>
      </c>
      <c r="Q48" s="86" t="n">
        <f aca="false">L48/$O$26</f>
        <v>231.916249359087</v>
      </c>
    </row>
    <row r="49" customFormat="false" ht="14.25" hidden="false" customHeight="false" outlineLevel="0" collapsed="false">
      <c r="B49" s="20" t="s">
        <v>77</v>
      </c>
      <c r="D49" s="137" t="n">
        <f aca="false">U40</f>
        <v>2.07819449672936</v>
      </c>
      <c r="E49" s="137" t="n">
        <f aca="false">V40</f>
        <v>13.5312620767037</v>
      </c>
      <c r="F49" s="137" t="n">
        <f aca="false">W40</f>
        <v>1.86123077321209</v>
      </c>
      <c r="G49" s="137" t="n">
        <f aca="false">X40</f>
        <v>23.981602975388</v>
      </c>
      <c r="I49" s="96" t="n">
        <f aca="false">I$26*D49-($Q$26-$R$26)</f>
        <v>4892.44104598874</v>
      </c>
      <c r="J49" s="96" t="n">
        <f aca="false">J$26*E49-($Q$26-$R$26)</f>
        <v>7698.86008686804</v>
      </c>
      <c r="K49" s="96" t="n">
        <f aca="false">K$26*F49</f>
        <v>4507.71105740112</v>
      </c>
      <c r="L49" s="96" t="n">
        <f aca="false">L$26*G49</f>
        <v>9087.0130730221</v>
      </c>
      <c r="N49" s="60" t="n">
        <f aca="false">I49/$O$26</f>
        <v>118.926598153638</v>
      </c>
      <c r="O49" s="60" t="n">
        <f aca="false">J49/$O$26</f>
        <v>187.145686822884</v>
      </c>
      <c r="P49" s="60" t="n">
        <f aca="false">K49/$O$26</f>
        <v>109.574491849173</v>
      </c>
      <c r="Q49" s="60" t="n">
        <f aca="false">L49/$O$26</f>
        <v>220.889233410016</v>
      </c>
    </row>
    <row r="51" customFormat="false" ht="14.25" hidden="false" customHeight="false" outlineLevel="0" collapsed="false">
      <c r="A51" s="25" t="s">
        <v>10</v>
      </c>
      <c r="B51" s="22" t="s">
        <v>35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3" customFormat="false" ht="14.25" hidden="false" customHeight="false" outlineLevel="0" collapsed="false">
      <c r="N53" s="143"/>
      <c r="O53" s="143"/>
      <c r="P53" s="143"/>
      <c r="Q53" s="143"/>
    </row>
    <row r="55" customFormat="false" ht="14.25" hidden="false" customHeight="false" outlineLevel="0" collapsed="false">
      <c r="I55" s="96"/>
      <c r="J55" s="96"/>
      <c r="K55" s="96"/>
      <c r="L55" s="96"/>
      <c r="N55" s="96"/>
      <c r="O55" s="96"/>
      <c r="P55" s="96"/>
      <c r="Q55" s="96"/>
    </row>
    <row r="56" customFormat="false" ht="14.25" hidden="false" customHeight="false" outlineLevel="0" collapsed="false">
      <c r="N56" s="143"/>
      <c r="O56" s="143"/>
      <c r="P56" s="143"/>
      <c r="Q56" s="143"/>
    </row>
    <row r="57" customFormat="false" ht="14.25" hidden="false" customHeight="false" outlineLevel="0" collapsed="false">
      <c r="I57" s="77"/>
      <c r="J57" s="77"/>
      <c r="K57" s="77"/>
      <c r="L57" s="77"/>
    </row>
  </sheetData>
  <mergeCells count="6">
    <mergeCell ref="J23:K23"/>
    <mergeCell ref="P23:Q23"/>
    <mergeCell ref="V23:W23"/>
    <mergeCell ref="E44:F44"/>
    <mergeCell ref="J44:K44"/>
    <mergeCell ref="O44:P4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94"/>
  <sheetViews>
    <sheetView showFormulas="false" showGridLines="false" showRowColHeaders="true" showZeros="true" rightToLeft="false" tabSelected="true" showOutlineSymbols="true" defaultGridColor="true" view="normal" topLeftCell="A175" colorId="64" zoomScale="100" zoomScaleNormal="100" zoomScalePageLayoutView="100" workbookViewId="0">
      <selection pane="topLeft" activeCell="A1" activeCellId="0" sqref="A1"/>
    </sheetView>
  </sheetViews>
  <sheetFormatPr defaultColWidth="14.71484375" defaultRowHeight="14.25" customHeight="false" zeroHeight="false" outlineLevelRow="0" outlineLevelCol="0"/>
  <cols>
    <col collapsed="false" customWidth="true" hidden="false" outlineLevel="0" max="1" min="1" style="25" width="7.71"/>
    <col collapsed="false" customWidth="false" hidden="false" outlineLevel="0" max="8" min="2" style="20" width="14.71"/>
    <col collapsed="false" customWidth="true" hidden="false" outlineLevel="0" max="9" min="9" style="20" width="7.71"/>
    <col collapsed="false" customWidth="false" hidden="false" outlineLevel="0" max="16384" min="10" style="20" width="14.71"/>
  </cols>
  <sheetData>
    <row r="1" s="22" customFormat="true" ht="14.25" hidden="false" customHeight="false" outlineLevel="0" collapsed="false">
      <c r="A1" s="21"/>
    </row>
    <row r="2" s="22" customFormat="true" ht="15" hidden="false" customHeight="false" outlineLevel="0" collapsed="false">
      <c r="A2" s="21"/>
      <c r="B2" s="23" t="s">
        <v>874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="22" customFormat="true" ht="14.25" hidden="false" customHeight="false" outlineLevel="0" collapsed="false">
      <c r="A3" s="21"/>
    </row>
    <row r="5" customFormat="false" ht="14.25" hidden="false" customHeight="false" outlineLevel="0" collapsed="false">
      <c r="A5" s="25" t="s">
        <v>10</v>
      </c>
      <c r="B5" s="22" t="s">
        <v>11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7" customFormat="false" ht="14.25" hidden="false" customHeight="false" outlineLevel="0" collapsed="false">
      <c r="B7" s="26" t="s">
        <v>2</v>
      </c>
      <c r="C7" s="27" t="str">
        <f aca="false">Cover!D8</f>
        <v>Simpson Manufacturing</v>
      </c>
    </row>
    <row r="8" customFormat="false" ht="14.25" hidden="false" customHeight="false" outlineLevel="0" collapsed="false">
      <c r="B8" s="26" t="s">
        <v>3</v>
      </c>
      <c r="C8" s="27" t="str">
        <f aca="false">Cover!D9</f>
        <v>SSD</v>
      </c>
    </row>
    <row r="9" customFormat="false" ht="14.25" hidden="false" customHeight="false" outlineLevel="0" collapsed="false">
      <c r="B9" s="26" t="s">
        <v>5</v>
      </c>
      <c r="C9" s="20" t="str">
        <f aca="false">Cover!D10</f>
        <v>Industrials</v>
      </c>
    </row>
    <row r="10" customFormat="false" ht="14.25" hidden="false" customHeight="false" outlineLevel="0" collapsed="false">
      <c r="B10" s="26" t="s">
        <v>7</v>
      </c>
      <c r="C10" s="28" t="n">
        <f aca="false">Cover!D11</f>
        <v>46235</v>
      </c>
      <c r="F10" s="29"/>
      <c r="G10" s="46"/>
      <c r="H10" s="29"/>
    </row>
    <row r="11" customFormat="false" ht="14.25" hidden="false" customHeight="false" outlineLevel="0" collapsed="false">
      <c r="B11" s="26" t="s">
        <v>8</v>
      </c>
      <c r="C11" s="27" t="n">
        <f aca="false">Cover!D12</f>
        <v>187.74</v>
      </c>
      <c r="F11" s="30"/>
      <c r="G11" s="80"/>
      <c r="H11" s="53"/>
    </row>
    <row r="12" customFormat="false" ht="14.25" hidden="false" customHeight="false" outlineLevel="0" collapsed="false">
      <c r="B12" s="26"/>
      <c r="C12" s="27"/>
      <c r="F12" s="29"/>
      <c r="G12" s="81"/>
    </row>
    <row r="13" customFormat="false" ht="14.25" hidden="false" customHeight="false" outlineLevel="0" collapsed="false">
      <c r="A13" s="25" t="s">
        <v>10</v>
      </c>
      <c r="B13" s="22" t="s">
        <v>67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</row>
    <row r="15" customFormat="false" ht="14.25" hidden="false" customHeight="false" outlineLevel="0" collapsed="false">
      <c r="B15" s="47" t="s">
        <v>46</v>
      </c>
      <c r="C15" s="48" t="s">
        <v>68</v>
      </c>
      <c r="D15" s="48" t="s">
        <v>48</v>
      </c>
      <c r="E15" s="48" t="s">
        <v>49</v>
      </c>
    </row>
    <row r="16" customFormat="false" ht="14.25" hidden="false" customHeight="false" outlineLevel="0" collapsed="false">
      <c r="B16" s="20" t="s">
        <v>56</v>
      </c>
      <c r="C16" s="82" t="n">
        <f aca="false">D16*0.95</f>
        <v>171.66344772509</v>
      </c>
      <c r="D16" s="83" t="n">
        <f aca="false">D192</f>
        <v>180.69836602641</v>
      </c>
      <c r="E16" s="82" t="n">
        <f aca="false">D16*1.05</f>
        <v>189.733284327731</v>
      </c>
    </row>
    <row r="18" customFormat="false" ht="14.25" hidden="false" customHeight="false" outlineLevel="0" collapsed="false">
      <c r="A18" s="25" t="s">
        <v>10</v>
      </c>
      <c r="B18" s="22" t="s">
        <v>875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20" customFormat="false" ht="14.25" hidden="false" customHeight="false" outlineLevel="0" collapsed="false">
      <c r="B20" s="31" t="s">
        <v>876</v>
      </c>
      <c r="C20" s="48" t="s">
        <v>38</v>
      </c>
      <c r="D20" s="99" t="s">
        <v>877</v>
      </c>
      <c r="H20" s="144"/>
    </row>
    <row r="21" customFormat="false" ht="14.25" hidden="false" customHeight="false" outlineLevel="0" collapsed="false">
      <c r="B21" s="27" t="s">
        <v>878</v>
      </c>
      <c r="C21" s="84" t="s">
        <v>41</v>
      </c>
      <c r="D21" s="145" t="n">
        <f aca="false">_xlfn.SWITCH(C21,"Base",WACC!D16,"Bear",WACC!C16,"Bull",WACC!E16)</f>
        <v>0.094396401340295</v>
      </c>
    </row>
    <row r="22" customFormat="false" ht="14.25" hidden="false" customHeight="false" outlineLevel="0" collapsed="false">
      <c r="B22" s="27" t="s">
        <v>879</v>
      </c>
      <c r="C22" s="59" t="n">
        <v>0.03</v>
      </c>
      <c r="D22" s="146" t="n">
        <f aca="false">C22</f>
        <v>0.03</v>
      </c>
    </row>
    <row r="24" customFormat="false" ht="14.25" hidden="false" customHeight="false" outlineLevel="0" collapsed="false">
      <c r="A24" s="25" t="s">
        <v>10</v>
      </c>
      <c r="B24" s="22" t="s">
        <v>880</v>
      </c>
      <c r="C24" s="22"/>
      <c r="D24" s="22"/>
      <c r="E24" s="147"/>
      <c r="F24" s="22"/>
      <c r="G24" s="22"/>
      <c r="H24" s="22"/>
      <c r="I24" s="22"/>
      <c r="J24" s="22"/>
      <c r="K24" s="22"/>
      <c r="L24" s="22"/>
      <c r="M24" s="22"/>
      <c r="N24" s="22"/>
    </row>
    <row r="25" customFormat="false" ht="14.25" hidden="false" customHeight="false" outlineLevel="0" collapsed="false">
      <c r="E25" s="148"/>
    </row>
    <row r="26" customFormat="false" ht="14.25" hidden="false" customHeight="false" outlineLevel="0" collapsed="false">
      <c r="D26" s="54"/>
      <c r="E26" s="149"/>
      <c r="F26" s="150" t="s">
        <v>881</v>
      </c>
      <c r="G26" s="98"/>
      <c r="H26" s="98"/>
      <c r="J26" s="54"/>
      <c r="K26" s="54"/>
      <c r="L26" s="150" t="s">
        <v>882</v>
      </c>
      <c r="M26" s="98"/>
      <c r="N26" s="98"/>
    </row>
    <row r="27" customFormat="false" ht="14.25" hidden="false" customHeight="false" outlineLevel="0" collapsed="false">
      <c r="B27" s="47" t="s">
        <v>883</v>
      </c>
      <c r="C27" s="47"/>
      <c r="D27" s="101" t="n">
        <f aca="false">E27-1</f>
        <v>2021</v>
      </c>
      <c r="E27" s="151" t="n">
        <f aca="false">F27-1</f>
        <v>2022</v>
      </c>
      <c r="F27" s="101" t="n">
        <f aca="false">G27-1</f>
        <v>2023</v>
      </c>
      <c r="G27" s="101" t="n">
        <f aca="false">H27-1</f>
        <v>2024</v>
      </c>
      <c r="H27" s="101" t="n">
        <v>2025</v>
      </c>
      <c r="I27" s="47"/>
      <c r="J27" s="101" t="n">
        <f aca="false">H27+1</f>
        <v>2026</v>
      </c>
      <c r="K27" s="101" t="n">
        <f aca="false">J27+1</f>
        <v>2027</v>
      </c>
      <c r="L27" s="101" t="n">
        <f aca="false">K27+1</f>
        <v>2028</v>
      </c>
      <c r="M27" s="101" t="n">
        <f aca="false">L27+1</f>
        <v>2029</v>
      </c>
      <c r="N27" s="101" t="n">
        <f aca="false">M27+1</f>
        <v>2030</v>
      </c>
    </row>
    <row r="29" customFormat="false" ht="14.25" hidden="false" customHeight="false" outlineLevel="0" collapsed="false">
      <c r="B29" s="93" t="s">
        <v>844</v>
      </c>
      <c r="C29" s="93"/>
      <c r="D29" s="152" t="n">
        <f aca="false">D32+D42</f>
        <v>1571893</v>
      </c>
      <c r="E29" s="152" t="n">
        <f aca="false">E32+E42</f>
        <v>2113785</v>
      </c>
      <c r="F29" s="152" t="n">
        <f aca="false">F32+F42</f>
        <v>2211949</v>
      </c>
      <c r="G29" s="152" t="n">
        <f aca="false">G32+G42</f>
        <v>2230081</v>
      </c>
      <c r="H29" s="152" t="n">
        <f aca="false">H32+H42</f>
        <v>2328354</v>
      </c>
      <c r="I29" s="152"/>
      <c r="J29" s="152" t="n">
        <f aca="false">J32+J42</f>
        <v>2422348.992</v>
      </c>
      <c r="K29" s="152" t="n">
        <f aca="false">K32+K42</f>
        <v>2518608.64583</v>
      </c>
      <c r="L29" s="152" t="n">
        <f aca="false">L32+L42</f>
        <v>2606436.04524223</v>
      </c>
      <c r="M29" s="152" t="n">
        <f aca="false">M32+M42</f>
        <v>2689818.70309941</v>
      </c>
      <c r="N29" s="152" t="n">
        <f aca="false">N32+N42</f>
        <v>2761682.43746613</v>
      </c>
      <c r="P29" s="77"/>
      <c r="Q29" s="77"/>
      <c r="R29" s="77"/>
      <c r="S29" s="77"/>
      <c r="T29" s="77"/>
      <c r="U29" s="77"/>
    </row>
    <row r="30" customFormat="false" ht="14.25" hidden="false" customHeight="false" outlineLevel="0" collapsed="false">
      <c r="B30" s="153" t="s">
        <v>18</v>
      </c>
      <c r="C30" s="154"/>
      <c r="D30" s="155"/>
      <c r="E30" s="155" t="n">
        <f aca="false">E29/D29-1</f>
        <v>0.344738477746259</v>
      </c>
      <c r="F30" s="155" t="n">
        <f aca="false">F29/E29-1</f>
        <v>0.0464399170208891</v>
      </c>
      <c r="G30" s="155" t="n">
        <f aca="false">G29/F29-1</f>
        <v>0.00819729568810135</v>
      </c>
      <c r="H30" s="155" t="n">
        <f aca="false">H29/G29-1</f>
        <v>0.0440670092252256</v>
      </c>
      <c r="I30" s="155"/>
      <c r="J30" s="155" t="n">
        <f aca="false">J29/H29-1</f>
        <v>0.0403697169760267</v>
      </c>
      <c r="K30" s="155" t="n">
        <f aca="false">K29/J29-1</f>
        <v>0.0397381443169031</v>
      </c>
      <c r="L30" s="155" t="n">
        <f aca="false">L29/K29-1</f>
        <v>0.0348713959819227</v>
      </c>
      <c r="M30" s="155" t="n">
        <f aca="false">M29/L29-1</f>
        <v>0.0319910622819171</v>
      </c>
      <c r="N30" s="156" t="n">
        <f aca="false">N29/M29-1</f>
        <v>0.0267169435188739</v>
      </c>
    </row>
    <row r="31" customFormat="false" ht="14.25" hidden="false" customHeight="false" outlineLevel="0" collapsed="false">
      <c r="B31" s="157"/>
      <c r="D31" s="75"/>
      <c r="E31" s="75"/>
      <c r="F31" s="158"/>
      <c r="G31" s="158"/>
      <c r="H31" s="158"/>
      <c r="I31" s="75"/>
      <c r="J31" s="75"/>
      <c r="K31" s="75"/>
      <c r="L31" s="75"/>
      <c r="M31" s="75"/>
      <c r="N31" s="159"/>
    </row>
    <row r="32" customFormat="false" ht="14.25" hidden="false" customHeight="false" outlineLevel="0" collapsed="false">
      <c r="B32" s="160" t="s">
        <v>884</v>
      </c>
      <c r="C32" s="26"/>
      <c r="D32" s="152" t="n">
        <f aca="false">D35+D37+D39</f>
        <v>1361113</v>
      </c>
      <c r="E32" s="152" t="n">
        <f aca="false">E35+E37+E39</f>
        <v>1831580</v>
      </c>
      <c r="F32" s="152" t="n">
        <f aca="false">F35+F37+F39</f>
        <v>1891449</v>
      </c>
      <c r="G32" s="152" t="n">
        <f aca="false">G35+G37+G39</f>
        <v>1899524</v>
      </c>
      <c r="H32" s="152" t="n">
        <f aca="false">H35+H37+H39</f>
        <v>1967741</v>
      </c>
      <c r="I32" s="161"/>
      <c r="J32" s="152" t="n">
        <f aca="false">J35+J37+J39</f>
        <v>2032297.324</v>
      </c>
      <c r="K32" s="152" t="n">
        <f aca="false">K35+K37+K39</f>
        <v>2101734.888518</v>
      </c>
      <c r="L32" s="152" t="n">
        <f aca="false">L35+L37+L39</f>
        <v>2166792.05547766</v>
      </c>
      <c r="M32" s="152" t="n">
        <f aca="false">M35+M37+M39</f>
        <v>2228621.90264561</v>
      </c>
      <c r="N32" s="162" t="n">
        <f aca="false">N35+N37+N39</f>
        <v>2279814.66773071</v>
      </c>
    </row>
    <row r="33" customFormat="false" ht="14.25" hidden="false" customHeight="false" outlineLevel="0" collapsed="false">
      <c r="B33" s="163" t="s">
        <v>18</v>
      </c>
      <c r="C33" s="164"/>
      <c r="D33" s="165"/>
      <c r="E33" s="165" t="n">
        <f aca="false">E32/D32-1</f>
        <v>0.345648744813987</v>
      </c>
      <c r="F33" s="165" t="n">
        <f aca="false">F32/E32-1</f>
        <v>0.0326870789154718</v>
      </c>
      <c r="G33" s="165" t="n">
        <f aca="false">G32/F32-1</f>
        <v>0.00426921370864353</v>
      </c>
      <c r="H33" s="165" t="n">
        <f aca="false">H32/G32-1</f>
        <v>0.0359126812822581</v>
      </c>
      <c r="I33" s="165"/>
      <c r="J33" s="165" t="n">
        <f aca="false">J32/H32-1</f>
        <v>0.0328073277936476</v>
      </c>
      <c r="K33" s="165" t="n">
        <f aca="false">K32/J32-1</f>
        <v>0.034167030432994</v>
      </c>
      <c r="L33" s="165" t="n">
        <f aca="false">L32/K32-1</f>
        <v>0.03095403103173</v>
      </c>
      <c r="M33" s="165" t="n">
        <f aca="false">M32/L32-1</f>
        <v>0.0285352011567752</v>
      </c>
      <c r="N33" s="166" t="n">
        <f aca="false">N32/M32-1</f>
        <v>0.0229705922858985</v>
      </c>
    </row>
    <row r="34" customFormat="false" ht="14.25" hidden="false" customHeight="false" outlineLevel="0" collapsed="false">
      <c r="B34" s="157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159"/>
    </row>
    <row r="35" customFormat="false" ht="14.25" hidden="false" customHeight="false" outlineLevel="0" collapsed="false">
      <c r="B35" s="167" t="s">
        <v>885</v>
      </c>
      <c r="C35" s="164"/>
      <c r="D35" s="168" t="n">
        <v>1189264</v>
      </c>
      <c r="E35" s="168" t="n">
        <v>1496062</v>
      </c>
      <c r="F35" s="168" t="n">
        <v>1491848</v>
      </c>
      <c r="G35" s="168" t="n">
        <v>1499889</v>
      </c>
      <c r="H35" s="168" t="n">
        <v>1555515</v>
      </c>
      <c r="I35" s="165"/>
      <c r="J35" s="169" t="n">
        <f aca="false">H35*(1+J36)</f>
        <v>1605291.48</v>
      </c>
      <c r="K35" s="169" t="n">
        <f aca="false">J35*(1+K36)</f>
        <v>1658266.09884</v>
      </c>
      <c r="L35" s="169" t="n">
        <f aca="false">K35*(1+L36)</f>
        <v>1708014.0818052</v>
      </c>
      <c r="M35" s="169" t="n">
        <f aca="false">L35*(1+M36)</f>
        <v>1755838.47609575</v>
      </c>
      <c r="N35" s="170" t="n">
        <f aca="false">M35*(1+N36)</f>
        <v>1794466.92256985</v>
      </c>
    </row>
    <row r="36" customFormat="false" ht="14.25" hidden="false" customHeight="false" outlineLevel="0" collapsed="false">
      <c r="B36" s="171" t="s">
        <v>18</v>
      </c>
      <c r="D36" s="172"/>
      <c r="E36" s="172" t="n">
        <f aca="false">E35/D35-1</f>
        <v>0.257972998425917</v>
      </c>
      <c r="F36" s="172" t="n">
        <f aca="false">F35/E35-1</f>
        <v>-0.00281672818372503</v>
      </c>
      <c r="G36" s="172" t="n">
        <f aca="false">G35/F35-1</f>
        <v>0.00538995929880248</v>
      </c>
      <c r="H36" s="172" t="n">
        <f aca="false">H35/G35-1</f>
        <v>0.037086744419087</v>
      </c>
      <c r="I36" s="173"/>
      <c r="J36" s="174" t="n">
        <v>0.032</v>
      </c>
      <c r="K36" s="174" t="n">
        <v>0.033</v>
      </c>
      <c r="L36" s="174" t="n">
        <v>0.03</v>
      </c>
      <c r="M36" s="174" t="n">
        <v>0.028</v>
      </c>
      <c r="N36" s="174" t="n">
        <v>0.022</v>
      </c>
    </row>
    <row r="37" customFormat="false" ht="14.25" hidden="false" customHeight="false" outlineLevel="0" collapsed="false">
      <c r="B37" s="167" t="s">
        <v>886</v>
      </c>
      <c r="D37" s="168" t="n">
        <v>160657</v>
      </c>
      <c r="E37" s="168" t="n">
        <v>323065</v>
      </c>
      <c r="F37" s="168" t="n">
        <v>385134</v>
      </c>
      <c r="G37" s="168" t="n">
        <v>384494</v>
      </c>
      <c r="H37" s="168" t="n">
        <v>396229</v>
      </c>
      <c r="I37" s="165"/>
      <c r="J37" s="169" t="n">
        <f aca="false">H37*(1+J38)</f>
        <v>410097.015</v>
      </c>
      <c r="K37" s="169" t="n">
        <f aca="false">J37*(1+K38)</f>
        <v>425680.70157</v>
      </c>
      <c r="L37" s="169" t="n">
        <f aca="false">K37*(1+L38)</f>
        <v>440153.84542338</v>
      </c>
      <c r="M37" s="169" t="n">
        <f aca="false">L37*(1+M38)</f>
        <v>453358.460786081</v>
      </c>
      <c r="N37" s="170" t="n">
        <f aca="false">M37*(1+N38)</f>
        <v>465145.78076652</v>
      </c>
    </row>
    <row r="38" customFormat="false" ht="14.25" hidden="false" customHeight="false" outlineLevel="0" collapsed="false">
      <c r="B38" s="171" t="s">
        <v>18</v>
      </c>
      <c r="D38" s="172"/>
      <c r="E38" s="172" t="n">
        <f aca="false">E37/D37-1</f>
        <v>1.01089899599768</v>
      </c>
      <c r="F38" s="172" t="n">
        <f aca="false">F37/E37-1</f>
        <v>0.19212542367635</v>
      </c>
      <c r="G38" s="172" t="n">
        <f aca="false">G37/F37-1</f>
        <v>-0.00166175928378176</v>
      </c>
      <c r="H38" s="172" t="n">
        <f aca="false">H37/G37-1</f>
        <v>0.0305206323115574</v>
      </c>
      <c r="I38" s="173"/>
      <c r="J38" s="174" t="n">
        <v>0.035</v>
      </c>
      <c r="K38" s="174" t="n">
        <v>0.038</v>
      </c>
      <c r="L38" s="174" t="n">
        <v>0.034</v>
      </c>
      <c r="M38" s="174" t="n">
        <v>0.03</v>
      </c>
      <c r="N38" s="174" t="n">
        <v>0.026</v>
      </c>
    </row>
    <row r="39" customFormat="false" ht="14.25" hidden="false" customHeight="false" outlineLevel="0" collapsed="false">
      <c r="B39" s="167" t="s">
        <v>887</v>
      </c>
      <c r="D39" s="168" t="n">
        <v>11192</v>
      </c>
      <c r="E39" s="168" t="n">
        <v>12453</v>
      </c>
      <c r="F39" s="168" t="n">
        <v>14467</v>
      </c>
      <c r="G39" s="168" t="n">
        <v>15141</v>
      </c>
      <c r="H39" s="168" t="n">
        <v>15997</v>
      </c>
      <c r="I39" s="165"/>
      <c r="J39" s="169" t="n">
        <f aca="false">H39*(1+J40)</f>
        <v>16908.829</v>
      </c>
      <c r="K39" s="169" t="n">
        <f aca="false">J39*(1+K40)</f>
        <v>17788.088108</v>
      </c>
      <c r="L39" s="169" t="n">
        <f aca="false">K39*(1+L40)</f>
        <v>18624.128249076</v>
      </c>
      <c r="M39" s="169" t="n">
        <f aca="false">L39*(1+M40)</f>
        <v>19424.9657637863</v>
      </c>
      <c r="N39" s="170" t="n">
        <f aca="false">M39*(1+N40)</f>
        <v>20201.9643943377</v>
      </c>
    </row>
    <row r="40" customFormat="false" ht="14.25" hidden="false" customHeight="false" outlineLevel="0" collapsed="false">
      <c r="B40" s="171" t="s">
        <v>18</v>
      </c>
      <c r="C40" s="37"/>
      <c r="D40" s="172"/>
      <c r="E40" s="172" t="n">
        <f aca="false">E39/D39-1</f>
        <v>0.112669764117227</v>
      </c>
      <c r="F40" s="172" t="n">
        <f aca="false">F39/E39-1</f>
        <v>0.161728097647153</v>
      </c>
      <c r="G40" s="172" t="n">
        <f aca="false">G39/F39-1</f>
        <v>0.0465887882767677</v>
      </c>
      <c r="H40" s="172" t="n">
        <f aca="false">H39/G39-1</f>
        <v>0.0565352354534046</v>
      </c>
      <c r="I40" s="173"/>
      <c r="J40" s="174" t="n">
        <v>0.057</v>
      </c>
      <c r="K40" s="174" t="n">
        <v>0.052</v>
      </c>
      <c r="L40" s="174" t="n">
        <v>0.047</v>
      </c>
      <c r="M40" s="174" t="n">
        <v>0.043</v>
      </c>
      <c r="N40" s="174" t="n">
        <v>0.04</v>
      </c>
    </row>
    <row r="41" customFormat="false" ht="14.25" hidden="false" customHeight="false" outlineLevel="0" collapsed="false">
      <c r="B41" s="157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159"/>
    </row>
    <row r="42" customFormat="false" ht="14.25" hidden="false" customHeight="false" outlineLevel="0" collapsed="false">
      <c r="B42" s="160" t="s">
        <v>888</v>
      </c>
      <c r="C42" s="26"/>
      <c r="D42" s="152" t="n">
        <f aca="false">D45+D47+D49</f>
        <v>210780</v>
      </c>
      <c r="E42" s="152" t="n">
        <f aca="false">E45+E47+E49</f>
        <v>282205</v>
      </c>
      <c r="F42" s="152" t="n">
        <f aca="false">F45+F47+F49</f>
        <v>320500</v>
      </c>
      <c r="G42" s="152" t="n">
        <f aca="false">G45+G47+G49</f>
        <v>330557</v>
      </c>
      <c r="H42" s="152" t="n">
        <f aca="false">H45+H47+H49</f>
        <v>360613</v>
      </c>
      <c r="I42" s="152"/>
      <c r="J42" s="152" t="n">
        <f aca="false">J45+J47+J49</f>
        <v>390051.668</v>
      </c>
      <c r="K42" s="152" t="n">
        <f aca="false">K45+K47+K49</f>
        <v>416873.757312</v>
      </c>
      <c r="L42" s="152" t="n">
        <f aca="false">L45+L47+L49</f>
        <v>439643.989764576</v>
      </c>
      <c r="M42" s="152" t="n">
        <f aca="false">M45+M47+M49</f>
        <v>461196.800453796</v>
      </c>
      <c r="N42" s="162" t="n">
        <f aca="false">N45+N47+N49</f>
        <v>481867.769735419</v>
      </c>
    </row>
    <row r="43" customFormat="false" ht="14.25" hidden="false" customHeight="false" outlineLevel="0" collapsed="false">
      <c r="B43" s="163" t="s">
        <v>18</v>
      </c>
      <c r="C43" s="164"/>
      <c r="D43" s="165"/>
      <c r="E43" s="165" t="n">
        <f aca="false">E42/D42-1</f>
        <v>0.338860423190056</v>
      </c>
      <c r="F43" s="165" t="n">
        <f aca="false">F42/E42-1</f>
        <v>0.135699225740153</v>
      </c>
      <c r="G43" s="165" t="n">
        <f aca="false">G42/F42-1</f>
        <v>0.0313790951638067</v>
      </c>
      <c r="H43" s="165" t="n">
        <f aca="false">H42/G42-1</f>
        <v>0.0909253169650015</v>
      </c>
      <c r="I43" s="165"/>
      <c r="J43" s="165" t="n">
        <f aca="false">J42/H42-1</f>
        <v>0.0816350713923237</v>
      </c>
      <c r="K43" s="165" t="n">
        <f aca="false">K42/J42-1</f>
        <v>0.0687654777879327</v>
      </c>
      <c r="L43" s="165" t="n">
        <f aca="false">L42/K42-1</f>
        <v>0.054621410086829</v>
      </c>
      <c r="M43" s="165" t="n">
        <f aca="false">M42/L42-1</f>
        <v>0.0490233261252167</v>
      </c>
      <c r="N43" s="166" t="n">
        <f aca="false">N42/M42-1</f>
        <v>0.0448202790246663</v>
      </c>
    </row>
    <row r="44" customFormat="false" ht="14.25" hidden="false" customHeight="false" outlineLevel="0" collapsed="false">
      <c r="B44" s="1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159"/>
    </row>
    <row r="45" customFormat="false" ht="14.25" hidden="false" customHeight="false" outlineLevel="0" collapsed="false">
      <c r="B45" s="167" t="s">
        <v>885</v>
      </c>
      <c r="C45" s="164"/>
      <c r="D45" s="168" t="n">
        <v>172353</v>
      </c>
      <c r="E45" s="168" t="n">
        <v>202687</v>
      </c>
      <c r="F45" s="168" t="n">
        <v>222720</v>
      </c>
      <c r="G45" s="168" t="n">
        <v>233936</v>
      </c>
      <c r="H45" s="168" t="n">
        <v>254061</v>
      </c>
      <c r="I45" s="165"/>
      <c r="J45" s="169" t="n">
        <f aca="false">H45*(1+J46)</f>
        <v>273877.758</v>
      </c>
      <c r="K45" s="169" t="n">
        <f aca="false">J45*(1+K46)</f>
        <v>291405.934512</v>
      </c>
      <c r="L45" s="169" t="n">
        <f aca="false">K45*(1+L46)</f>
        <v>305393.419368576</v>
      </c>
      <c r="M45" s="169" t="n">
        <f aca="false">L45*(1+M46)</f>
        <v>318219.942982056</v>
      </c>
      <c r="N45" s="170" t="n">
        <f aca="false">M45*(1+N46)</f>
        <v>330312.300815374</v>
      </c>
    </row>
    <row r="46" customFormat="false" ht="14.25" hidden="false" customHeight="false" outlineLevel="0" collapsed="false">
      <c r="B46" s="171" t="s">
        <v>18</v>
      </c>
      <c r="D46" s="172"/>
      <c r="E46" s="172" t="n">
        <f aca="false">E45/D45-1</f>
        <v>0.175999257338137</v>
      </c>
      <c r="F46" s="172" t="n">
        <f aca="false">F45/E45-1</f>
        <v>0.0988371232491476</v>
      </c>
      <c r="G46" s="172" t="n">
        <f aca="false">G45/F45-1</f>
        <v>0.0503591954022988</v>
      </c>
      <c r="H46" s="172" t="n">
        <f aca="false">H45/G45-1</f>
        <v>0.0860278024758909</v>
      </c>
      <c r="I46" s="173"/>
      <c r="J46" s="174" t="n">
        <v>0.078</v>
      </c>
      <c r="K46" s="174" t="n">
        <v>0.064</v>
      </c>
      <c r="L46" s="174" t="n">
        <v>0.048</v>
      </c>
      <c r="M46" s="174" t="n">
        <v>0.042</v>
      </c>
      <c r="N46" s="174" t="n">
        <v>0.038</v>
      </c>
    </row>
    <row r="47" customFormat="false" ht="14.25" hidden="false" customHeight="false" outlineLevel="0" collapsed="false">
      <c r="B47" s="167" t="s">
        <v>886</v>
      </c>
      <c r="D47" s="168" t="n">
        <v>36339</v>
      </c>
      <c r="E47" s="168" t="n">
        <v>77228</v>
      </c>
      <c r="F47" s="168" t="n">
        <v>95621</v>
      </c>
      <c r="G47" s="168" t="n">
        <v>94561</v>
      </c>
      <c r="H47" s="168" t="n">
        <v>103329</v>
      </c>
      <c r="I47" s="165"/>
      <c r="J47" s="169" t="n">
        <f aca="false">H47*(1+J48)</f>
        <v>112628.61</v>
      </c>
      <c r="K47" s="169" t="n">
        <f aca="false">J47*(1+K48)</f>
        <v>121638.8988</v>
      </c>
      <c r="L47" s="169" t="n">
        <f aca="false">K47*(1+L48)</f>
        <v>130153.621716</v>
      </c>
      <c r="M47" s="169" t="n">
        <f aca="false">L47*(1+M48)</f>
        <v>138613.60712754</v>
      </c>
      <c r="N47" s="170" t="n">
        <f aca="false">M47*(1+N48)</f>
        <v>146930.423555192</v>
      </c>
    </row>
    <row r="48" customFormat="false" ht="14.25" hidden="false" customHeight="false" outlineLevel="0" collapsed="false">
      <c r="B48" s="171" t="s">
        <v>18</v>
      </c>
      <c r="D48" s="172"/>
      <c r="E48" s="172" t="n">
        <f aca="false">E47/D47-1</f>
        <v>1.12520982965959</v>
      </c>
      <c r="F48" s="172" t="n">
        <f aca="false">F47/E47-1</f>
        <v>0.238164914279795</v>
      </c>
      <c r="G48" s="172" t="n">
        <f aca="false">G47/F47-1</f>
        <v>-0.0110854310245657</v>
      </c>
      <c r="H48" s="172" t="n">
        <f aca="false">H47/G47-1</f>
        <v>0.0927232157020337</v>
      </c>
      <c r="I48" s="173"/>
      <c r="J48" s="174" t="n">
        <v>0.09</v>
      </c>
      <c r="K48" s="174" t="n">
        <v>0.08</v>
      </c>
      <c r="L48" s="174" t="n">
        <v>0.07</v>
      </c>
      <c r="M48" s="174" t="n">
        <v>0.065</v>
      </c>
      <c r="N48" s="174" t="n">
        <v>0.06</v>
      </c>
    </row>
    <row r="49" customFormat="false" ht="14.25" hidden="false" customHeight="false" outlineLevel="0" collapsed="false">
      <c r="B49" s="167" t="s">
        <v>887</v>
      </c>
      <c r="C49" s="176"/>
      <c r="D49" s="168" t="n">
        <v>2088</v>
      </c>
      <c r="E49" s="168" t="n">
        <v>2290</v>
      </c>
      <c r="F49" s="168" t="n">
        <v>2159</v>
      </c>
      <c r="G49" s="168" t="n">
        <v>2060</v>
      </c>
      <c r="H49" s="168" t="n">
        <v>3223</v>
      </c>
      <c r="I49" s="165"/>
      <c r="J49" s="169" t="n">
        <f aca="false">H49*(1+J50)</f>
        <v>3545.3</v>
      </c>
      <c r="K49" s="169" t="n">
        <f aca="false">J49*(1+K50)</f>
        <v>3828.924</v>
      </c>
      <c r="L49" s="169" t="n">
        <f aca="false">K49*(1+L50)</f>
        <v>4096.94868</v>
      </c>
      <c r="M49" s="169" t="n">
        <f aca="false">L49*(1+M50)</f>
        <v>4363.2503442</v>
      </c>
      <c r="N49" s="170" t="n">
        <f aca="false">M49*(1+N50)</f>
        <v>4625.045364852</v>
      </c>
    </row>
    <row r="50" customFormat="false" ht="14.25" hidden="false" customHeight="false" outlineLevel="0" collapsed="false">
      <c r="B50" s="177" t="s">
        <v>18</v>
      </c>
      <c r="C50" s="178"/>
      <c r="D50" s="179"/>
      <c r="E50" s="179" t="n">
        <f aca="false">E49/D49-1</f>
        <v>0.0967432950191571</v>
      </c>
      <c r="F50" s="179" t="n">
        <f aca="false">F49/E49-1</f>
        <v>-0.0572052401746724</v>
      </c>
      <c r="G50" s="179" t="n">
        <f aca="false">G49/F49-1</f>
        <v>-0.0458545622973599</v>
      </c>
      <c r="H50" s="179" t="n">
        <f aca="false">H49/G49-1</f>
        <v>0.564563106796117</v>
      </c>
      <c r="I50" s="180"/>
      <c r="J50" s="174" t="n">
        <v>0.1</v>
      </c>
      <c r="K50" s="174" t="n">
        <v>0.08</v>
      </c>
      <c r="L50" s="174" t="n">
        <v>0.07</v>
      </c>
      <c r="M50" s="174" t="n">
        <v>0.065</v>
      </c>
      <c r="N50" s="174" t="n">
        <v>0.06</v>
      </c>
    </row>
    <row r="51" customFormat="false" ht="14.25" hidden="false" customHeight="false" outlineLevel="0" collapsed="false">
      <c r="B51" s="176"/>
    </row>
    <row r="52" customFormat="false" ht="14.25" hidden="false" customHeight="false" outlineLevel="0" collapsed="false">
      <c r="B52" s="26" t="s">
        <v>889</v>
      </c>
      <c r="C52" s="26"/>
      <c r="D52" s="181"/>
      <c r="E52" s="181"/>
      <c r="F52" s="182" t="n">
        <f aca="false">F55+F57+F59</f>
        <v>1170673</v>
      </c>
      <c r="G52" s="182" t="n">
        <f aca="false">G55+G57+G59</f>
        <v>1208818</v>
      </c>
      <c r="H52" s="182" t="n">
        <f aca="false">H55+H57+H59</f>
        <v>1262398</v>
      </c>
      <c r="I52" s="182"/>
      <c r="J52" s="182" t="n">
        <f aca="false">J55+J57+J59</f>
        <v>1302866.639334</v>
      </c>
      <c r="K52" s="182" t="n">
        <f aca="false">K55+K57+K59</f>
        <v>1346507.63612953</v>
      </c>
      <c r="L52" s="182" t="n">
        <f aca="false">L55+L57+L59</f>
        <v>1385020.18066024</v>
      </c>
      <c r="M52" s="182" t="n">
        <f aca="false">M55+M57+M59</f>
        <v>1422593.03353565</v>
      </c>
      <c r="N52" s="182" t="n">
        <f aca="false">N55+N57+N59</f>
        <v>1453764.85626878</v>
      </c>
    </row>
    <row r="53" customFormat="false" ht="14.25" hidden="false" customHeight="false" outlineLevel="0" collapsed="false">
      <c r="B53" s="183" t="s">
        <v>890</v>
      </c>
      <c r="C53" s="184"/>
      <c r="D53" s="185"/>
      <c r="E53" s="185"/>
      <c r="F53" s="186" t="n">
        <f aca="false">F52/F$29</f>
        <v>0.529249544180268</v>
      </c>
      <c r="G53" s="186" t="n">
        <f aca="false">G52/G$29</f>
        <v>0.542051163164029</v>
      </c>
      <c r="H53" s="186" t="n">
        <f aca="false">H52/H$29</f>
        <v>0.542184736513434</v>
      </c>
      <c r="I53" s="186"/>
      <c r="J53" s="186" t="n">
        <f aca="false">J52/J$29</f>
        <v>0.537852573529587</v>
      </c>
      <c r="K53" s="186" t="n">
        <f aca="false">K52/K$29</f>
        <v>0.534623605917859</v>
      </c>
      <c r="L53" s="186" t="n">
        <f aca="false">L52/L$29</f>
        <v>0.531384678779455</v>
      </c>
      <c r="M53" s="186" t="n">
        <f aca="false">M52/M$29</f>
        <v>0.528880638645433</v>
      </c>
      <c r="N53" s="187" t="n">
        <f aca="false">N52/N$29</f>
        <v>0.526405511562952</v>
      </c>
    </row>
    <row r="54" customFormat="false" ht="14.25" hidden="false" customHeight="false" outlineLevel="0" collapsed="false">
      <c r="B54" s="157"/>
      <c r="N54" s="188"/>
    </row>
    <row r="55" customFormat="false" ht="14.25" hidden="false" customHeight="false" outlineLevel="0" collapsed="false">
      <c r="B55" s="189" t="s">
        <v>885</v>
      </c>
      <c r="C55" s="190"/>
      <c r="D55" s="191"/>
      <c r="E55" s="192"/>
      <c r="F55" s="168" t="n">
        <v>856019</v>
      </c>
      <c r="G55" s="168" t="n">
        <v>887338</v>
      </c>
      <c r="H55" s="168" t="n">
        <v>928828</v>
      </c>
      <c r="I55" s="172"/>
      <c r="J55" s="169" t="n">
        <f aca="false">(J$35+J$45)*J56</f>
        <v>954617.972904</v>
      </c>
      <c r="K55" s="169" t="n">
        <f aca="false">(K$35+K$45)*K56</f>
        <v>984584.37684276</v>
      </c>
      <c r="L55" s="169" t="n">
        <f aca="false">(L$35+L$45)*L56</f>
        <v>1010730.56558924</v>
      </c>
      <c r="M55" s="169" t="n">
        <f aca="false">(M$35+M$45)*M56</f>
        <v>1037029.2095389</v>
      </c>
      <c r="N55" s="170" t="n">
        <f aca="false">(N$35+N$45)*N56</f>
        <v>1058140.05324584</v>
      </c>
    </row>
    <row r="56" customFormat="false" ht="14.25" hidden="false" customHeight="false" outlineLevel="0" collapsed="false">
      <c r="B56" s="193" t="s">
        <v>890</v>
      </c>
      <c r="D56" s="194"/>
      <c r="E56" s="194"/>
      <c r="F56" s="172" t="n">
        <f aca="false">F55/(F$35+F$45)</f>
        <v>0.499262204823606</v>
      </c>
      <c r="G56" s="172" t="n">
        <f aca="false">G55/(G$35+G$45)</f>
        <v>0.511780600694995</v>
      </c>
      <c r="H56" s="172" t="n">
        <f aca="false">H55/(H$35+H$45)</f>
        <v>0.513284879993988</v>
      </c>
      <c r="I56" s="173"/>
      <c r="J56" s="174" t="n">
        <v>0.508</v>
      </c>
      <c r="K56" s="174" t="n">
        <v>0.505</v>
      </c>
      <c r="L56" s="174" t="n">
        <v>0.502</v>
      </c>
      <c r="M56" s="174" t="n">
        <v>0.5</v>
      </c>
      <c r="N56" s="174" t="n">
        <v>0.498</v>
      </c>
    </row>
    <row r="57" customFormat="false" ht="14.25" hidden="false" customHeight="false" outlineLevel="0" collapsed="false">
      <c r="B57" s="163" t="s">
        <v>886</v>
      </c>
      <c r="C57" s="164"/>
      <c r="D57" s="191"/>
      <c r="E57" s="191"/>
      <c r="F57" s="168" t="n">
        <v>303708</v>
      </c>
      <c r="G57" s="168" t="n">
        <v>310073</v>
      </c>
      <c r="H57" s="168" t="n">
        <v>320626</v>
      </c>
      <c r="I57" s="172"/>
      <c r="J57" s="169" t="n">
        <f aca="false">(J$37+J$47)*J58</f>
        <v>334544.4</v>
      </c>
      <c r="K57" s="169" t="n">
        <f aca="false">(K$37+K$47)*K58</f>
        <v>347547.94623495</v>
      </c>
      <c r="L57" s="169" t="n">
        <f aca="false">(L$37+L$47)*L58</f>
        <v>359293.704297809</v>
      </c>
      <c r="M57" s="169" t="n">
        <f aca="false">(M$37+M$47)*M58</f>
        <v>369982.542446013</v>
      </c>
      <c r="N57" s="170" t="n">
        <f aca="false">(N$37+N$47)*N58</f>
        <v>379487.246679461</v>
      </c>
    </row>
    <row r="58" customFormat="false" ht="14.25" hidden="false" customHeight="false" outlineLevel="0" collapsed="false">
      <c r="B58" s="193" t="s">
        <v>890</v>
      </c>
      <c r="D58" s="194"/>
      <c r="E58" s="194"/>
      <c r="F58" s="172" t="n">
        <f aca="false">F57/(F$37+F$47)</f>
        <v>0.631731339247642</v>
      </c>
      <c r="G58" s="172" t="n">
        <f aca="false">G57/(G$37+G$47)</f>
        <v>0.647259709219192</v>
      </c>
      <c r="H58" s="172" t="n">
        <f aca="false">H57/(H$37+H$47)</f>
        <v>0.641819368321596</v>
      </c>
      <c r="I58" s="173"/>
      <c r="J58" s="174" t="n">
        <v>0.64</v>
      </c>
      <c r="K58" s="174" t="n">
        <v>0.635</v>
      </c>
      <c r="L58" s="174" t="n">
        <v>0.63</v>
      </c>
      <c r="M58" s="174" t="n">
        <v>0.625</v>
      </c>
      <c r="N58" s="174" t="n">
        <v>0.62</v>
      </c>
    </row>
    <row r="59" customFormat="false" ht="14.25" hidden="false" customHeight="false" outlineLevel="0" collapsed="false">
      <c r="B59" s="163" t="s">
        <v>887</v>
      </c>
      <c r="C59" s="164"/>
      <c r="D59" s="191"/>
      <c r="E59" s="191"/>
      <c r="F59" s="168" t="n">
        <v>10946</v>
      </c>
      <c r="G59" s="168" t="n">
        <v>11407</v>
      </c>
      <c r="H59" s="168" t="n">
        <v>12944</v>
      </c>
      <c r="I59" s="172"/>
      <c r="J59" s="169" t="n">
        <f aca="false">(J$39+J$49)*J60</f>
        <v>13704.26643</v>
      </c>
      <c r="K59" s="169" t="n">
        <f aca="false">(K$39+K$49)*K60</f>
        <v>14375.31305182</v>
      </c>
      <c r="L59" s="169" t="n">
        <f aca="false">(L$39+L$49)*L60</f>
        <v>14995.9107731902</v>
      </c>
      <c r="M59" s="169" t="n">
        <f aca="false">(M$39+M$49)*M60</f>
        <v>15581.281550731</v>
      </c>
      <c r="N59" s="170" t="n">
        <f aca="false">(N$39+N$49)*N60</f>
        <v>16137.5563434733</v>
      </c>
    </row>
    <row r="60" customFormat="false" ht="14.25" hidden="false" customHeight="false" outlineLevel="0" collapsed="false">
      <c r="B60" s="195" t="s">
        <v>890</v>
      </c>
      <c r="C60" s="98"/>
      <c r="D60" s="196"/>
      <c r="E60" s="196"/>
      <c r="F60" s="179" t="n">
        <f aca="false">F59/(F$39+F$49)</f>
        <v>0.658366414050283</v>
      </c>
      <c r="G60" s="179" t="n">
        <f aca="false">G59/(G$39+G$49)</f>
        <v>0.663159118655892</v>
      </c>
      <c r="H60" s="179" t="n">
        <f aca="false">H59/(H$39+H$49)</f>
        <v>0.673465140478668</v>
      </c>
      <c r="I60" s="180"/>
      <c r="J60" s="174" t="n">
        <v>0.67</v>
      </c>
      <c r="K60" s="174" t="n">
        <v>0.665</v>
      </c>
      <c r="L60" s="174" t="n">
        <v>0.66</v>
      </c>
      <c r="M60" s="174" t="n">
        <v>0.655</v>
      </c>
      <c r="N60" s="174" t="n">
        <v>0.65</v>
      </c>
    </row>
    <row r="62" customFormat="false" ht="14.25" hidden="false" customHeight="false" outlineLevel="0" collapsed="false">
      <c r="B62" s="197" t="s">
        <v>891</v>
      </c>
      <c r="C62" s="198"/>
      <c r="D62" s="199" t="n">
        <f aca="false">D29-D52</f>
        <v>1571893</v>
      </c>
      <c r="E62" s="199" t="n">
        <f aca="false">E29-E52</f>
        <v>2113785</v>
      </c>
      <c r="F62" s="199" t="n">
        <f aca="false">F29-F52</f>
        <v>1041276</v>
      </c>
      <c r="G62" s="199" t="n">
        <f aca="false">G29-G52</f>
        <v>1021263</v>
      </c>
      <c r="H62" s="199" t="n">
        <f aca="false">H29-H52</f>
        <v>1065956</v>
      </c>
      <c r="I62" s="199"/>
      <c r="J62" s="199" t="n">
        <f aca="false">J29-J52</f>
        <v>1119482.352666</v>
      </c>
      <c r="K62" s="199" t="n">
        <f aca="false">K29-K52</f>
        <v>1172101.00970047</v>
      </c>
      <c r="L62" s="199" t="n">
        <f aca="false">L29-L52</f>
        <v>1221415.864582</v>
      </c>
      <c r="M62" s="199" t="n">
        <f aca="false">M29-M52</f>
        <v>1267225.66956376</v>
      </c>
      <c r="N62" s="200" t="n">
        <f aca="false">N29-N52</f>
        <v>1307917.58119735</v>
      </c>
    </row>
    <row r="63" customFormat="false" ht="14.25" hidden="false" customHeight="false" outlineLevel="0" collapsed="false">
      <c r="B63" s="201" t="s">
        <v>890</v>
      </c>
      <c r="C63" s="202"/>
      <c r="D63" s="203" t="n">
        <f aca="false">D62/D$29</f>
        <v>1</v>
      </c>
      <c r="E63" s="203" t="n">
        <f aca="false">E62/E$29</f>
        <v>1</v>
      </c>
      <c r="F63" s="203" t="n">
        <f aca="false">F62/F$29</f>
        <v>0.470750455819732</v>
      </c>
      <c r="G63" s="203" t="n">
        <f aca="false">G62/G$29</f>
        <v>0.457948836835971</v>
      </c>
      <c r="H63" s="203" t="n">
        <f aca="false">H62/H$29</f>
        <v>0.457815263486566</v>
      </c>
      <c r="I63" s="203"/>
      <c r="J63" s="203" t="n">
        <f aca="false">J62/J$29</f>
        <v>0.462147426470413</v>
      </c>
      <c r="K63" s="203" t="n">
        <f aca="false">K62/K$29</f>
        <v>0.465376394082141</v>
      </c>
      <c r="L63" s="203" t="n">
        <f aca="false">L62/L$29</f>
        <v>0.468615321220546</v>
      </c>
      <c r="M63" s="203" t="n">
        <f aca="false">M62/M$29</f>
        <v>0.471119361354567</v>
      </c>
      <c r="N63" s="204" t="n">
        <f aca="false">N62/N$29</f>
        <v>0.473594488437048</v>
      </c>
    </row>
    <row r="64" customFormat="false" ht="14.25" hidden="false" customHeight="false" outlineLevel="0" collapsed="false">
      <c r="B64" s="205" t="s">
        <v>18</v>
      </c>
      <c r="C64" s="206"/>
      <c r="D64" s="206"/>
      <c r="E64" s="207" t="n">
        <f aca="false">E62/D62-1</f>
        <v>0.344738477746259</v>
      </c>
      <c r="F64" s="207" t="n">
        <f aca="false">F62/E62-1</f>
        <v>-0.507387932074454</v>
      </c>
      <c r="G64" s="207" t="n">
        <f aca="false">G62/F62-1</f>
        <v>-0.0192196881518445</v>
      </c>
      <c r="H64" s="207" t="n">
        <f aca="false">H62/G62-1</f>
        <v>0.0437624784213273</v>
      </c>
      <c r="I64" s="207"/>
      <c r="J64" s="207" t="n">
        <f aca="false">J62/H62-1</f>
        <v>0.0502144109756872</v>
      </c>
      <c r="K64" s="207" t="n">
        <f aca="false">K62/J62-1</f>
        <v>0.0470026677143784</v>
      </c>
      <c r="L64" s="207" t="n">
        <f aca="false">L62/K62-1</f>
        <v>0.0420738950597177</v>
      </c>
      <c r="M64" s="207" t="n">
        <f aca="false">M62/L62-1</f>
        <v>0.0375054936734796</v>
      </c>
      <c r="N64" s="208" t="n">
        <f aca="false">N62/M62-1</f>
        <v>0.0321110222203704</v>
      </c>
    </row>
    <row r="66" customFormat="false" ht="14.25" hidden="false" customHeight="false" outlineLevel="0" collapsed="false">
      <c r="B66" s="73" t="s">
        <v>892</v>
      </c>
      <c r="C66" s="73"/>
      <c r="D66" s="209"/>
      <c r="E66" s="209"/>
      <c r="F66" s="210" t="n">
        <f aca="false">F69+F71+F73</f>
        <v>433077</v>
      </c>
      <c r="G66" s="210" t="n">
        <f aca="false">G69+G71+G73</f>
        <v>465089</v>
      </c>
      <c r="H66" s="210" t="n">
        <f aca="false">H69+H71+H73</f>
        <v>498505</v>
      </c>
      <c r="I66" s="210"/>
      <c r="J66" s="210" t="n">
        <f aca="false">J69+J71+J73</f>
        <v>509628.781845</v>
      </c>
      <c r="K66" s="210" t="n">
        <f aca="false">K69+K71+K73</f>
        <v>517487.42892214</v>
      </c>
      <c r="L66" s="210" t="n">
        <f aca="false">L69+L71+L73</f>
        <v>528442.108175388</v>
      </c>
      <c r="M66" s="210" t="n">
        <f aca="false">M69+M71+M73</f>
        <v>539559.777501424</v>
      </c>
      <c r="N66" s="210" t="n">
        <f aca="false">N69+N71+N73</f>
        <v>548651.407189567</v>
      </c>
    </row>
    <row r="67" customFormat="false" ht="14.25" hidden="false" customHeight="false" outlineLevel="0" collapsed="false">
      <c r="B67" s="183" t="s">
        <v>890</v>
      </c>
      <c r="C67" s="184"/>
      <c r="D67" s="185"/>
      <c r="E67" s="185"/>
      <c r="F67" s="186" t="n">
        <f aca="false">F66/F$29</f>
        <v>0.195789776346561</v>
      </c>
      <c r="G67" s="186" t="n">
        <f aca="false">G66/G$29</f>
        <v>0.208552514460237</v>
      </c>
      <c r="H67" s="186" t="n">
        <f aca="false">H66/H$29</f>
        <v>0.214101893440602</v>
      </c>
      <c r="I67" s="186"/>
      <c r="J67" s="186" t="n">
        <f aca="false">J66/J$29</f>
        <v>0.210386192711327</v>
      </c>
      <c r="K67" s="186" t="n">
        <f aca="false">K66/K$29</f>
        <v>0.20546559695923</v>
      </c>
      <c r="L67" s="186" t="n">
        <f aca="false">L66/L$29</f>
        <v>0.202745089080548</v>
      </c>
      <c r="M67" s="186" t="n">
        <f aca="false">M66/M$29</f>
        <v>0.200593362251405</v>
      </c>
      <c r="N67" s="187" t="n">
        <f aca="false">N66/N$29</f>
        <v>0.198665639374873</v>
      </c>
    </row>
    <row r="68" customFormat="false" ht="14.25" hidden="false" customHeight="false" outlineLevel="0" collapsed="false">
      <c r="B68" s="157"/>
      <c r="N68" s="188"/>
    </row>
    <row r="69" customFormat="false" ht="14.25" hidden="false" customHeight="false" outlineLevel="0" collapsed="false">
      <c r="B69" s="189" t="s">
        <v>885</v>
      </c>
      <c r="C69" s="190"/>
      <c r="D69" s="191"/>
      <c r="E69" s="191"/>
      <c r="F69" s="211" t="n">
        <f aca="false">150616+158290</f>
        <v>308906</v>
      </c>
      <c r="G69" s="211" t="n">
        <f aca="false">159077+177525</f>
        <v>336602</v>
      </c>
      <c r="H69" s="211" t="n">
        <f aca="false">167899+200656</f>
        <v>368555</v>
      </c>
      <c r="I69" s="172"/>
      <c r="J69" s="169" t="n">
        <f aca="false">(J$35+J$45)*J70</f>
        <v>375833.8476</v>
      </c>
      <c r="K69" s="169" t="n">
        <f aca="false">(K$35+K$45)*K70</f>
        <v>380186.04650364</v>
      </c>
      <c r="L69" s="169" t="n">
        <f aca="false">(L$35+L$45)*L70</f>
        <v>386574.240225365</v>
      </c>
      <c r="M69" s="169" t="n">
        <f aca="false">(M$35+M$45)*M70</f>
        <v>394071.099624782</v>
      </c>
      <c r="N69" s="170" t="n">
        <f aca="false">(N$35+N$45)*N70</f>
        <v>399458.493996423</v>
      </c>
    </row>
    <row r="70" customFormat="false" ht="14.25" hidden="false" customHeight="false" outlineLevel="0" collapsed="false">
      <c r="B70" s="193" t="s">
        <v>890</v>
      </c>
      <c r="D70" s="194"/>
      <c r="E70" s="194"/>
      <c r="F70" s="172" t="n">
        <f aca="false">F69/(F$35+F$45)</f>
        <v>0.18016549941443</v>
      </c>
      <c r="G70" s="172" t="n">
        <f aca="false">G69/(G$35+G$45)</f>
        <v>0.194138393436477</v>
      </c>
      <c r="H70" s="172" t="n">
        <f aca="false">H69/(H$35+H$45)</f>
        <v>0.203669257328789</v>
      </c>
      <c r="I70" s="173"/>
      <c r="J70" s="174" t="n">
        <v>0.2</v>
      </c>
      <c r="K70" s="174" t="n">
        <v>0.195</v>
      </c>
      <c r="L70" s="174" t="n">
        <v>0.192</v>
      </c>
      <c r="M70" s="174" t="n">
        <v>0.19</v>
      </c>
      <c r="N70" s="174" t="n">
        <v>0.188</v>
      </c>
    </row>
    <row r="71" customFormat="false" ht="14.25" hidden="false" customHeight="false" outlineLevel="0" collapsed="false">
      <c r="B71" s="163" t="s">
        <v>886</v>
      </c>
      <c r="C71" s="164"/>
      <c r="D71" s="191"/>
      <c r="E71" s="191"/>
      <c r="F71" s="211" t="n">
        <f aca="false">50553+68578</f>
        <v>119131</v>
      </c>
      <c r="G71" s="211" t="n">
        <f aca="false">51005+72181</f>
        <v>123186</v>
      </c>
      <c r="H71" s="211" t="n">
        <f aca="false">51252+73483</f>
        <v>124735</v>
      </c>
      <c r="I71" s="172"/>
      <c r="J71" s="169" t="n">
        <f aca="false">(J$37+J$47)*J72</f>
        <v>128067.778125</v>
      </c>
      <c r="K71" s="169" t="n">
        <f aca="false">(K$37+K$47)*K72</f>
        <v>131356.7040888</v>
      </c>
      <c r="L71" s="169" t="n">
        <f aca="false">(L$37+L$47)*L72</f>
        <v>135733.177179172</v>
      </c>
      <c r="M71" s="169" t="n">
        <f aca="false">(M$37+M$47)*M72</f>
        <v>139113.435959701</v>
      </c>
      <c r="N71" s="170" t="n">
        <f aca="false">(N$37+N$47)*N72</f>
        <v>142613.755606959</v>
      </c>
    </row>
    <row r="72" customFormat="false" ht="14.25" hidden="false" customHeight="false" outlineLevel="0" collapsed="false">
      <c r="B72" s="193" t="s">
        <v>890</v>
      </c>
      <c r="D72" s="194"/>
      <c r="E72" s="194"/>
      <c r="F72" s="172" t="n">
        <f aca="false">F71/(F$37+F$47)</f>
        <v>0.24779981487452</v>
      </c>
      <c r="G72" s="172" t="n">
        <f aca="false">G71/(G$37+G$47)</f>
        <v>0.25714375176128</v>
      </c>
      <c r="H72" s="172" t="n">
        <f aca="false">H71/(H$37+H$47)</f>
        <v>0.249690726602316</v>
      </c>
      <c r="I72" s="173"/>
      <c r="J72" s="174" t="n">
        <v>0.245</v>
      </c>
      <c r="K72" s="174" t="n">
        <v>0.24</v>
      </c>
      <c r="L72" s="174" t="n">
        <v>0.238</v>
      </c>
      <c r="M72" s="174" t="n">
        <v>0.235</v>
      </c>
      <c r="N72" s="174" t="n">
        <v>0.233</v>
      </c>
    </row>
    <row r="73" customFormat="false" ht="14.25" hidden="false" customHeight="false" outlineLevel="0" collapsed="false">
      <c r="B73" s="163" t="s">
        <v>887</v>
      </c>
      <c r="C73" s="164"/>
      <c r="D73" s="191"/>
      <c r="E73" s="191"/>
      <c r="F73" s="211" t="n">
        <f aca="false">2811+2229</f>
        <v>5040</v>
      </c>
      <c r="G73" s="211" t="n">
        <f aca="false">3450+1851</f>
        <v>5301</v>
      </c>
      <c r="H73" s="211" t="n">
        <f aca="false">3657+1558</f>
        <v>5215</v>
      </c>
      <c r="I73" s="172"/>
      <c r="J73" s="169" t="n">
        <f aca="false">(J$39+J$49)*J74</f>
        <v>5727.15612</v>
      </c>
      <c r="K73" s="169" t="n">
        <f aca="false">(K$39+K$49)*K74</f>
        <v>5944.6783297</v>
      </c>
      <c r="L73" s="169" t="n">
        <f aca="false">(L$39+L$49)*L74</f>
        <v>6134.69077085052</v>
      </c>
      <c r="M73" s="169" t="n">
        <f aca="false">(M$39+M$49)*M74</f>
        <v>6375.24191694032</v>
      </c>
      <c r="N73" s="170" t="n">
        <f aca="false">(N$39+N$49)*N74</f>
        <v>6579.15758618528</v>
      </c>
    </row>
    <row r="74" customFormat="false" ht="14.25" hidden="false" customHeight="false" outlineLevel="0" collapsed="false">
      <c r="B74" s="195" t="s">
        <v>890</v>
      </c>
      <c r="C74" s="98"/>
      <c r="D74" s="196"/>
      <c r="E74" s="196"/>
      <c r="F74" s="179" t="n">
        <f aca="false">F73/(F$39+F$49)</f>
        <v>0.303139660772284</v>
      </c>
      <c r="G74" s="179" t="n">
        <f aca="false">G73/(G$39+G$49)</f>
        <v>0.308179756990873</v>
      </c>
      <c r="H74" s="179" t="n">
        <f aca="false">H73/(H$39+H$49)</f>
        <v>0.271331945889698</v>
      </c>
      <c r="I74" s="180"/>
      <c r="J74" s="174" t="n">
        <v>0.28</v>
      </c>
      <c r="K74" s="174" t="n">
        <v>0.275</v>
      </c>
      <c r="L74" s="174" t="n">
        <v>0.27</v>
      </c>
      <c r="M74" s="174" t="n">
        <v>0.268</v>
      </c>
      <c r="N74" s="174" t="n">
        <v>0.265</v>
      </c>
    </row>
    <row r="75" customFormat="false" ht="14.25" hidden="false" customHeight="false" outlineLevel="0" collapsed="false">
      <c r="B75" s="212"/>
    </row>
    <row r="76" customFormat="false" ht="14.25" hidden="false" customHeight="false" outlineLevel="0" collapsed="false">
      <c r="B76" s="213" t="s">
        <v>893</v>
      </c>
      <c r="C76" s="73"/>
      <c r="D76" s="214"/>
      <c r="E76" s="214"/>
      <c r="F76" s="215" t="n">
        <f aca="false">78335+7523+105+1530+43055</f>
        <v>130548</v>
      </c>
      <c r="G76" s="215" t="n">
        <f aca="false">72586+8514+816+41542-567</f>
        <v>122891</v>
      </c>
      <c r="H76" s="215" t="n">
        <f aca="false">72063+9573+847+45989+805</f>
        <v>129277</v>
      </c>
      <c r="I76" s="210"/>
      <c r="J76" s="182" t="n">
        <f aca="false">J$29*J77</f>
        <v>135651.543552</v>
      </c>
      <c r="K76" s="182" t="n">
        <f aca="false">K$29*K77</f>
        <v>138523.47552065</v>
      </c>
      <c r="L76" s="182" t="n">
        <f aca="false">L$29*L77</f>
        <v>143353.982488323</v>
      </c>
      <c r="M76" s="182" t="n">
        <f aca="false">M$29*M77</f>
        <v>145250.209967368</v>
      </c>
      <c r="N76" s="182" t="n">
        <f aca="false">N$29*N77</f>
        <v>149130.851623171</v>
      </c>
    </row>
    <row r="77" customFormat="false" ht="14.25" hidden="false" customHeight="false" outlineLevel="0" collapsed="false">
      <c r="B77" s="216" t="s">
        <v>890</v>
      </c>
      <c r="C77" s="217"/>
      <c r="D77" s="218"/>
      <c r="E77" s="218"/>
      <c r="F77" s="219" t="n">
        <f aca="false">F76/F$29</f>
        <v>0.0590194439383548</v>
      </c>
      <c r="G77" s="219" t="n">
        <f aca="false">G76/G$29</f>
        <v>0.0551060701382596</v>
      </c>
      <c r="H77" s="219" t="n">
        <f aca="false">H76/H$29</f>
        <v>0.0555229144709095</v>
      </c>
      <c r="I77" s="219"/>
      <c r="J77" s="174" t="n">
        <v>0.056</v>
      </c>
      <c r="K77" s="174" t="n">
        <v>0.055</v>
      </c>
      <c r="L77" s="174" t="n">
        <v>0.055</v>
      </c>
      <c r="M77" s="174" t="n">
        <v>0.054</v>
      </c>
      <c r="N77" s="174" t="n">
        <v>0.054</v>
      </c>
    </row>
    <row r="79" customFormat="false" ht="14.25" hidden="false" customHeight="false" outlineLevel="0" collapsed="false">
      <c r="B79" s="197" t="s">
        <v>894</v>
      </c>
      <c r="C79" s="198"/>
      <c r="D79" s="199"/>
      <c r="E79" s="199"/>
      <c r="F79" s="199" t="n">
        <f aca="false">F62-F66-F76</f>
        <v>477651</v>
      </c>
      <c r="G79" s="199" t="n">
        <f aca="false">G62-G66-G76</f>
        <v>433283</v>
      </c>
      <c r="H79" s="199" t="n">
        <f aca="false">H62-H66-H76</f>
        <v>438174</v>
      </c>
      <c r="I79" s="199"/>
      <c r="J79" s="199" t="n">
        <f aca="false">J62-J66-J76</f>
        <v>474202.027269</v>
      </c>
      <c r="K79" s="199" t="n">
        <f aca="false">K62-K66-K76</f>
        <v>516090.10525768</v>
      </c>
      <c r="L79" s="199" t="n">
        <f aca="false">L62-L66-L76</f>
        <v>549619.773918286</v>
      </c>
      <c r="M79" s="199" t="n">
        <f aca="false">M62-M66-M76</f>
        <v>582415.682094973</v>
      </c>
      <c r="N79" s="200" t="n">
        <f aca="false">N62-N66-N76</f>
        <v>610135.322384613</v>
      </c>
    </row>
    <row r="80" customFormat="false" ht="14.25" hidden="false" customHeight="false" outlineLevel="0" collapsed="false">
      <c r="B80" s="201" t="s">
        <v>890</v>
      </c>
      <c r="C80" s="202"/>
      <c r="D80" s="203"/>
      <c r="E80" s="203"/>
      <c r="F80" s="203" t="n">
        <f aca="false">F79/F$29</f>
        <v>0.215941235534816</v>
      </c>
      <c r="G80" s="203" t="n">
        <f aca="false">G79/G$29</f>
        <v>0.194290252237475</v>
      </c>
      <c r="H80" s="203" t="n">
        <f aca="false">H79/H$29</f>
        <v>0.188190455575054</v>
      </c>
      <c r="I80" s="203"/>
      <c r="J80" s="203" t="n">
        <f aca="false">J79/J$29</f>
        <v>0.195761233759087</v>
      </c>
      <c r="K80" s="203" t="n">
        <f aca="false">K79/K$29</f>
        <v>0.204910797122911</v>
      </c>
      <c r="L80" s="203" t="n">
        <f aca="false">L79/L$29</f>
        <v>0.210870232139997</v>
      </c>
      <c r="M80" s="203" t="n">
        <f aca="false">M79/M$29</f>
        <v>0.216525999103163</v>
      </c>
      <c r="N80" s="204" t="n">
        <f aca="false">N79/N$29</f>
        <v>0.220928849062175</v>
      </c>
    </row>
    <row r="81" customFormat="false" ht="14.25" hidden="false" customHeight="false" outlineLevel="0" collapsed="false">
      <c r="B81" s="205" t="s">
        <v>18</v>
      </c>
      <c r="C81" s="206"/>
      <c r="D81" s="206"/>
      <c r="E81" s="207"/>
      <c r="F81" s="207"/>
      <c r="G81" s="207" t="n">
        <f aca="false">G79/F79-1</f>
        <v>-0.092887903511141</v>
      </c>
      <c r="H81" s="207" t="n">
        <f aca="false">H79/G79-1</f>
        <v>0.0112882342487473</v>
      </c>
      <c r="I81" s="207"/>
      <c r="J81" s="207" t="n">
        <f aca="false">J79/H79-1</f>
        <v>0.0822231060469123</v>
      </c>
      <c r="K81" s="207" t="n">
        <f aca="false">K79/J79-1</f>
        <v>0.0883338230962871</v>
      </c>
      <c r="L81" s="207" t="n">
        <f aca="false">L79/K79-1</f>
        <v>0.064968633033305</v>
      </c>
      <c r="M81" s="207" t="n">
        <f aca="false">M79/L79-1</f>
        <v>0.059670175151963</v>
      </c>
      <c r="N81" s="208" t="n">
        <f aca="false">N79/M79-1</f>
        <v>0.0475942546566253</v>
      </c>
    </row>
    <row r="83" customFormat="false" ht="14.25" hidden="false" customHeight="false" outlineLevel="0" collapsed="false">
      <c r="A83" s="25" t="s">
        <v>10</v>
      </c>
      <c r="B83" s="22" t="s">
        <v>895</v>
      </c>
      <c r="C83" s="22"/>
      <c r="D83" s="22"/>
      <c r="E83" s="147"/>
      <c r="F83" s="22"/>
      <c r="G83" s="22"/>
      <c r="H83" s="22"/>
      <c r="I83" s="22"/>
      <c r="J83" s="22"/>
      <c r="K83" s="22"/>
      <c r="L83" s="22"/>
      <c r="M83" s="22"/>
      <c r="N83" s="22"/>
    </row>
    <row r="84" customFormat="false" ht="14.25" hidden="false" customHeight="false" outlineLevel="0" collapsed="false">
      <c r="E84" s="148"/>
    </row>
    <row r="85" customFormat="false" ht="14.25" hidden="false" customHeight="false" outlineLevel="0" collapsed="false">
      <c r="D85" s="54"/>
      <c r="E85" s="149"/>
      <c r="F85" s="55" t="s">
        <v>881</v>
      </c>
      <c r="G85" s="98"/>
      <c r="H85" s="98"/>
      <c r="J85" s="54"/>
      <c r="K85" s="54"/>
      <c r="L85" s="55" t="s">
        <v>882</v>
      </c>
      <c r="M85" s="98"/>
      <c r="N85" s="98"/>
    </row>
    <row r="86" customFormat="false" ht="14.25" hidden="false" customHeight="false" outlineLevel="0" collapsed="false">
      <c r="B86" s="47" t="s">
        <v>883</v>
      </c>
      <c r="C86" s="47"/>
      <c r="D86" s="101" t="n">
        <f aca="false">E86-1</f>
        <v>2022</v>
      </c>
      <c r="E86" s="151" t="n">
        <f aca="false">F86-1</f>
        <v>2023</v>
      </c>
      <c r="F86" s="101" t="n">
        <f aca="false">G86-1</f>
        <v>2024</v>
      </c>
      <c r="G86" s="101" t="n">
        <f aca="false">H86-1</f>
        <v>2025</v>
      </c>
      <c r="H86" s="101" t="n">
        <v>2026</v>
      </c>
      <c r="I86" s="47"/>
      <c r="J86" s="101" t="n">
        <f aca="false">H86+1</f>
        <v>2027</v>
      </c>
      <c r="K86" s="101" t="n">
        <f aca="false">J86+1</f>
        <v>2028</v>
      </c>
      <c r="L86" s="101" t="n">
        <f aca="false">K86+1</f>
        <v>2029</v>
      </c>
      <c r="M86" s="101" t="n">
        <f aca="false">L86+1</f>
        <v>2030</v>
      </c>
      <c r="N86" s="101" t="n">
        <f aca="false">M86+1</f>
        <v>2031</v>
      </c>
    </row>
    <row r="88" customFormat="false" ht="14.25" hidden="false" customHeight="false" outlineLevel="0" collapsed="false">
      <c r="B88" s="73" t="s">
        <v>896</v>
      </c>
      <c r="C88" s="73"/>
      <c r="D88" s="220"/>
      <c r="E88" s="220"/>
      <c r="F88" s="210" t="n">
        <f aca="false">F91+F93+F95</f>
        <v>882619</v>
      </c>
      <c r="G88" s="210" t="n">
        <f aca="false">G91+G93+G95</f>
        <v>949052</v>
      </c>
      <c r="H88" s="210" t="n">
        <f aca="false">H91+H93+H95</f>
        <v>956263</v>
      </c>
      <c r="I88" s="210"/>
      <c r="J88" s="210" t="n">
        <f aca="false">J91+J93+J95</f>
        <v>995485.887123287</v>
      </c>
      <c r="K88" s="210" t="n">
        <f aca="false">K91+K93+K95</f>
        <v>1024694.20248152</v>
      </c>
      <c r="L88" s="210" t="n">
        <f aca="false">L91+L93+L95</f>
        <v>1056856.25944069</v>
      </c>
      <c r="M88" s="210" t="n">
        <f aca="false">M91+M93+M95</f>
        <v>1079612.16439469</v>
      </c>
      <c r="N88" s="210" t="n">
        <f aca="false">N91+N93+N95</f>
        <v>1100889.84835979</v>
      </c>
    </row>
    <row r="89" customFormat="false" ht="14.25" hidden="false" customHeight="false" outlineLevel="0" collapsed="false">
      <c r="B89" s="183" t="s">
        <v>897</v>
      </c>
      <c r="C89" s="164"/>
      <c r="D89" s="192"/>
      <c r="E89" s="192"/>
      <c r="F89" s="221" t="n">
        <f aca="false">(F88/F$29)*365</f>
        <v>145.643473244636</v>
      </c>
      <c r="G89" s="221" t="n">
        <f aca="false">(G88/G$29)*365</f>
        <v>155.332465502374</v>
      </c>
      <c r="H89" s="221" t="n">
        <f aca="false">(H88/H$29)*365</f>
        <v>149.906756017341</v>
      </c>
      <c r="I89" s="221"/>
      <c r="J89" s="221" t="n">
        <f aca="false">(J88/J$29)*365</f>
        <v>150</v>
      </c>
      <c r="K89" s="221" t="n">
        <f aca="false">(K88/K$29)*365</f>
        <v>148.5</v>
      </c>
      <c r="L89" s="221" t="n">
        <f aca="false">(L88/L$29)*365</f>
        <v>148</v>
      </c>
      <c r="M89" s="221" t="n">
        <f aca="false">(M88/M$29)*365</f>
        <v>146.5</v>
      </c>
      <c r="N89" s="222" t="n">
        <f aca="false">(N88/N$29)*365</f>
        <v>145.5</v>
      </c>
    </row>
    <row r="90" customFormat="false" ht="14.25" hidden="false" customHeight="false" outlineLevel="0" collapsed="false">
      <c r="B90" s="223"/>
      <c r="N90" s="188"/>
    </row>
    <row r="91" customFormat="false" ht="14.25" hidden="false" customHeight="false" outlineLevel="0" collapsed="false">
      <c r="B91" s="189" t="s">
        <v>898</v>
      </c>
      <c r="C91" s="190"/>
      <c r="D91" s="192"/>
      <c r="E91" s="192"/>
      <c r="F91" s="168" t="n">
        <v>283975</v>
      </c>
      <c r="G91" s="168" t="n">
        <v>284392</v>
      </c>
      <c r="H91" s="168" t="n">
        <v>302688</v>
      </c>
      <c r="I91" s="172"/>
      <c r="J91" s="169" t="n">
        <f aca="false">(J92*J$29)/365</f>
        <v>315237.197589041</v>
      </c>
      <c r="K91" s="169" t="n">
        <f aca="false">(K92*K$29)/365</f>
        <v>324313.990010986</v>
      </c>
      <c r="L91" s="169" t="n">
        <f aca="false">(L92*L$29)/365</f>
        <v>335623.271579137</v>
      </c>
      <c r="M91" s="169" t="n">
        <f aca="false">(M92*M$29)/365</f>
        <v>342675.533408555</v>
      </c>
      <c r="N91" s="170" t="n">
        <f aca="false">(N92*N$29)/365</f>
        <v>348047.649653265</v>
      </c>
    </row>
    <row r="92" customFormat="false" ht="14.25" hidden="false" customHeight="false" outlineLevel="0" collapsed="false">
      <c r="B92" s="193" t="s">
        <v>897</v>
      </c>
      <c r="D92" s="192"/>
      <c r="E92" s="192"/>
      <c r="F92" s="224" t="n">
        <f aca="false">(F91/F$29)*365</f>
        <v>46.8595229817686</v>
      </c>
      <c r="G92" s="224" t="n">
        <f aca="false">(G91/G$29)*365</f>
        <v>46.546775655234</v>
      </c>
      <c r="H92" s="224" t="n">
        <f aca="false">(H91/H$29)*365</f>
        <v>47.4503103909457</v>
      </c>
      <c r="I92" s="225"/>
      <c r="J92" s="226" t="n">
        <v>47.5</v>
      </c>
      <c r="K92" s="226" t="n">
        <v>47</v>
      </c>
      <c r="L92" s="226" t="n">
        <v>47</v>
      </c>
      <c r="M92" s="226" t="n">
        <v>46.5</v>
      </c>
      <c r="N92" s="226" t="n">
        <v>46</v>
      </c>
    </row>
    <row r="93" customFormat="false" ht="14.25" hidden="false" customHeight="false" outlineLevel="0" collapsed="false">
      <c r="B93" s="189" t="s">
        <v>899</v>
      </c>
      <c r="C93" s="164"/>
      <c r="D93" s="192"/>
      <c r="E93" s="192"/>
      <c r="F93" s="168" t="n">
        <v>551575</v>
      </c>
      <c r="G93" s="168" t="n">
        <v>593175</v>
      </c>
      <c r="H93" s="168" t="n">
        <v>594192</v>
      </c>
      <c r="I93" s="172"/>
      <c r="J93" s="169" t="n">
        <f aca="false">(J94*J$29)/365</f>
        <v>617201.250016438</v>
      </c>
      <c r="K93" s="169" t="n">
        <f aca="false">(K94*K$29)/365</f>
        <v>638277.53353226</v>
      </c>
      <c r="L93" s="169" t="n">
        <f aca="false">(L94*L$29)/365</f>
        <v>660535.162150429</v>
      </c>
      <c r="M93" s="169" t="n">
        <f aca="false">(M94*M$29)/365</f>
        <v>677981.700507249</v>
      </c>
      <c r="N93" s="170" t="n">
        <f aca="false">(N94*N$29)/365</f>
        <v>696095.299306531</v>
      </c>
    </row>
    <row r="94" customFormat="false" ht="14.25" hidden="false" customHeight="false" outlineLevel="0" collapsed="false">
      <c r="B94" s="193" t="s">
        <v>897</v>
      </c>
      <c r="D94" s="192"/>
      <c r="E94" s="192"/>
      <c r="F94" s="224" t="n">
        <f aca="false">(F93/F$29)*365</f>
        <v>91.016960608043</v>
      </c>
      <c r="G94" s="224" t="n">
        <f aca="false">(G93/G$29)*365</f>
        <v>97.085655184722</v>
      </c>
      <c r="H94" s="224" t="n">
        <f aca="false">(H93/H$29)*365</f>
        <v>93.1473822279602</v>
      </c>
      <c r="I94" s="225"/>
      <c r="J94" s="226" t="n">
        <v>93</v>
      </c>
      <c r="K94" s="226" t="n">
        <v>92.5</v>
      </c>
      <c r="L94" s="226" t="n">
        <v>92.5</v>
      </c>
      <c r="M94" s="226" t="n">
        <v>92</v>
      </c>
      <c r="N94" s="226" t="n">
        <v>92</v>
      </c>
    </row>
    <row r="95" customFormat="false" ht="14.25" hidden="false" customHeight="false" outlineLevel="0" collapsed="false">
      <c r="B95" s="189" t="s">
        <v>900</v>
      </c>
      <c r="C95" s="164"/>
      <c r="D95" s="192"/>
      <c r="E95" s="192"/>
      <c r="F95" s="168" t="n">
        <v>47069</v>
      </c>
      <c r="G95" s="168" t="n">
        <v>71485</v>
      </c>
      <c r="H95" s="168" t="n">
        <v>59383</v>
      </c>
      <c r="I95" s="172"/>
      <c r="J95" s="169" t="n">
        <f aca="false">(J96*J$29)/365</f>
        <v>63047.4395178082</v>
      </c>
      <c r="K95" s="169" t="n">
        <f aca="false">(K96*K$29)/365</f>
        <v>62102.678938274</v>
      </c>
      <c r="L95" s="169" t="n">
        <f aca="false">(L96*L$29)/365</f>
        <v>60697.8257111205</v>
      </c>
      <c r="M95" s="169" t="n">
        <f aca="false">(M96*M$29)/365</f>
        <v>58954.9304788912</v>
      </c>
      <c r="N95" s="170" t="n">
        <f aca="false">(N96*N$29)/365</f>
        <v>56746.8993999889</v>
      </c>
      <c r="O95" s="227"/>
    </row>
    <row r="96" customFormat="false" ht="14.25" hidden="false" customHeight="false" outlineLevel="0" collapsed="false">
      <c r="B96" s="195" t="s">
        <v>897</v>
      </c>
      <c r="C96" s="98"/>
      <c r="D96" s="196"/>
      <c r="E96" s="196"/>
      <c r="F96" s="228" t="n">
        <f aca="false">(F95/F$29)*365</f>
        <v>7.76698965482477</v>
      </c>
      <c r="G96" s="228" t="n">
        <f aca="false">(G95/G$29)*365</f>
        <v>11.7000346624181</v>
      </c>
      <c r="H96" s="228" t="n">
        <f aca="false">(H95/H$29)*365</f>
        <v>9.30906339843512</v>
      </c>
      <c r="I96" s="229"/>
      <c r="J96" s="226" t="n">
        <v>9.5</v>
      </c>
      <c r="K96" s="226" t="n">
        <v>9</v>
      </c>
      <c r="L96" s="226" t="n">
        <v>8.5</v>
      </c>
      <c r="M96" s="226" t="n">
        <v>8</v>
      </c>
      <c r="N96" s="226" t="n">
        <v>7.5</v>
      </c>
    </row>
    <row r="97" customFormat="false" ht="14.25" hidden="false" customHeight="false" outlineLevel="0" collapsed="false">
      <c r="B97" s="212"/>
    </row>
    <row r="98" customFormat="false" ht="14.25" hidden="false" customHeight="false" outlineLevel="0" collapsed="false">
      <c r="B98" s="213" t="s">
        <v>901</v>
      </c>
      <c r="C98" s="73"/>
      <c r="D98" s="220"/>
      <c r="E98" s="220"/>
      <c r="F98" s="210" t="n">
        <f aca="false">F101+F103</f>
        <v>338757</v>
      </c>
      <c r="G98" s="210" t="n">
        <f aca="false">G101+G103</f>
        <v>343848</v>
      </c>
      <c r="H98" s="210" t="n">
        <f aca="false">H101+H103</f>
        <v>366795</v>
      </c>
      <c r="I98" s="210"/>
      <c r="J98" s="210" t="n">
        <f aca="false">J101+J103</f>
        <v>378366.750053162</v>
      </c>
      <c r="K98" s="210" t="n">
        <f aca="false">K101+K103</f>
        <v>394729.635796876</v>
      </c>
      <c r="L98" s="210" t="n">
        <f aca="false">L101+L103</f>
        <v>406019.614604507</v>
      </c>
      <c r="M98" s="210" t="n">
        <f aca="false">M101+M103</f>
        <v>424829.152480508</v>
      </c>
      <c r="N98" s="210" t="n">
        <f aca="false">N101+N103</f>
        <v>434137.998173416</v>
      </c>
    </row>
    <row r="99" customFormat="false" ht="14.25" hidden="false" customHeight="false" outlineLevel="0" collapsed="false">
      <c r="B99" s="183" t="s">
        <v>902</v>
      </c>
      <c r="C99" s="184"/>
      <c r="D99" s="192"/>
      <c r="E99" s="192"/>
      <c r="F99" s="230" t="n">
        <f aca="false">(F98/F$52)*365</f>
        <v>105.619848582824</v>
      </c>
      <c r="G99" s="230" t="n">
        <f aca="false">(G98/G$52)*365</f>
        <v>103.824165424406</v>
      </c>
      <c r="H99" s="230" t="n">
        <f aca="false">(H98/H$52)*365</f>
        <v>106.052271153788</v>
      </c>
      <c r="I99" s="230"/>
      <c r="J99" s="230" t="n">
        <f aca="false">(J98/J$52)*365</f>
        <v>106</v>
      </c>
      <c r="K99" s="230" t="n">
        <f aca="false">(K98/K$52)*365</f>
        <v>107</v>
      </c>
      <c r="L99" s="230" t="n">
        <f aca="false">(L98/L$52)*365</f>
        <v>107</v>
      </c>
      <c r="M99" s="230" t="n">
        <f aca="false">(M98/M$52)*365</f>
        <v>109</v>
      </c>
      <c r="N99" s="222" t="n">
        <f aca="false">(N98/N$52)*365</f>
        <v>109</v>
      </c>
    </row>
    <row r="100" customFormat="false" ht="14.25" hidden="false" customHeight="false" outlineLevel="0" collapsed="false">
      <c r="B100" s="223"/>
      <c r="N100" s="188"/>
    </row>
    <row r="101" customFormat="false" ht="14.25" hidden="false" customHeight="false" outlineLevel="0" collapsed="false">
      <c r="B101" s="189" t="s">
        <v>903</v>
      </c>
      <c r="C101" s="190"/>
      <c r="D101" s="192"/>
      <c r="E101" s="192"/>
      <c r="F101" s="168" t="n">
        <v>107524</v>
      </c>
      <c r="G101" s="168" t="n">
        <v>100972</v>
      </c>
      <c r="H101" s="168" t="n">
        <v>91467</v>
      </c>
      <c r="I101" s="172"/>
      <c r="J101" s="169" t="n">
        <f aca="false">(J102*J$52)/365</f>
        <v>94591.6875132904</v>
      </c>
      <c r="K101" s="169" t="n">
        <f aca="false">(K102*K$52)/365</f>
        <v>99604.6744534173</v>
      </c>
      <c r="L101" s="169" t="n">
        <f aca="false">(L102*L$52)/365</f>
        <v>102453.547610483</v>
      </c>
      <c r="M101" s="169" t="n">
        <f aca="false">(M102*M$52)/365</f>
        <v>109130.424490406</v>
      </c>
      <c r="N101" s="170" t="n">
        <f aca="false">(N102*N$52)/365</f>
        <v>111521.68760418</v>
      </c>
    </row>
    <row r="102" customFormat="false" ht="14.25" hidden="false" customHeight="false" outlineLevel="0" collapsed="false">
      <c r="B102" s="193" t="s">
        <v>902</v>
      </c>
      <c r="D102" s="192"/>
      <c r="E102" s="192"/>
      <c r="F102" s="224" t="n">
        <f aca="false">(F101/F$52)*365</f>
        <v>33.524528198737</v>
      </c>
      <c r="G102" s="224" t="n">
        <f aca="false">(G101/G$52)*365</f>
        <v>30.4882786325154</v>
      </c>
      <c r="H102" s="224" t="n">
        <f aca="false">(H101/H$52)*365</f>
        <v>26.4460613847614</v>
      </c>
      <c r="I102" s="225"/>
      <c r="J102" s="226" t="n">
        <v>26.5</v>
      </c>
      <c r="K102" s="226" t="n">
        <v>27</v>
      </c>
      <c r="L102" s="226" t="n">
        <v>27</v>
      </c>
      <c r="M102" s="226" t="n">
        <v>28</v>
      </c>
      <c r="N102" s="226" t="n">
        <v>28</v>
      </c>
    </row>
    <row r="103" customFormat="false" ht="14.25" hidden="false" customHeight="false" outlineLevel="0" collapsed="false">
      <c r="B103" s="189" t="s">
        <v>904</v>
      </c>
      <c r="C103" s="164"/>
      <c r="D103" s="192"/>
      <c r="E103" s="192"/>
      <c r="F103" s="168" t="n">
        <v>231233</v>
      </c>
      <c r="G103" s="168" t="n">
        <v>242876</v>
      </c>
      <c r="H103" s="168" t="n">
        <v>275328</v>
      </c>
      <c r="I103" s="172"/>
      <c r="J103" s="169" t="n">
        <f aca="false">(J104*J$52)/365</f>
        <v>283775.062539871</v>
      </c>
      <c r="K103" s="169" t="n">
        <f aca="false">(K104*K$52)/365</f>
        <v>295124.961343459</v>
      </c>
      <c r="L103" s="169" t="n">
        <f aca="false">(L104*L$52)/365</f>
        <v>303566.066994024</v>
      </c>
      <c r="M103" s="169" t="n">
        <f aca="false">(M104*M$52)/365</f>
        <v>315698.727990102</v>
      </c>
      <c r="N103" s="170" t="n">
        <f aca="false">(N104*N$52)/365</f>
        <v>322616.310569236</v>
      </c>
    </row>
    <row r="104" customFormat="false" ht="14.25" hidden="false" customHeight="false" outlineLevel="0" collapsed="false">
      <c r="B104" s="195" t="s">
        <v>902</v>
      </c>
      <c r="C104" s="98"/>
      <c r="D104" s="196"/>
      <c r="E104" s="196"/>
      <c r="F104" s="228" t="n">
        <f aca="false">(F103/F$52)*365</f>
        <v>72.0953203840868</v>
      </c>
      <c r="G104" s="228" t="n">
        <f aca="false">(G103/G$52)*365</f>
        <v>73.3358867918909</v>
      </c>
      <c r="H104" s="228" t="n">
        <f aca="false">(H103/H$52)*365</f>
        <v>79.6062097690269</v>
      </c>
      <c r="I104" s="229"/>
      <c r="J104" s="226" t="n">
        <v>79.5</v>
      </c>
      <c r="K104" s="226" t="n">
        <v>80</v>
      </c>
      <c r="L104" s="226" t="n">
        <v>80</v>
      </c>
      <c r="M104" s="226" t="n">
        <v>81</v>
      </c>
      <c r="N104" s="226" t="n">
        <v>81</v>
      </c>
    </row>
    <row r="105" customFormat="false" ht="14.25" hidden="false" customHeight="false" outlineLevel="0" collapsed="false">
      <c r="B105" s="212"/>
      <c r="D105" s="231"/>
      <c r="E105" s="231"/>
    </row>
    <row r="106" customFormat="false" ht="14.25" hidden="false" customHeight="false" outlineLevel="0" collapsed="false">
      <c r="B106" s="197" t="s">
        <v>905</v>
      </c>
      <c r="C106" s="198"/>
      <c r="D106" s="199"/>
      <c r="E106" s="199"/>
      <c r="F106" s="199" t="n">
        <f aca="false">F88+F94-F100</f>
        <v>882710.016960608</v>
      </c>
      <c r="G106" s="199" t="n">
        <f aca="false">G88+G94-G100</f>
        <v>949149.085655185</v>
      </c>
      <c r="H106" s="199" t="n">
        <f aca="false">H88+H94-H100</f>
        <v>956356.147382228</v>
      </c>
      <c r="I106" s="198"/>
      <c r="J106" s="199" t="n">
        <f aca="false">J88+J94-J100</f>
        <v>995578.887123287</v>
      </c>
      <c r="K106" s="199" t="n">
        <f aca="false">K88+K94-K100</f>
        <v>1024786.70248152</v>
      </c>
      <c r="L106" s="199" t="n">
        <f aca="false">L88+L94-L100</f>
        <v>1056948.75944069</v>
      </c>
      <c r="M106" s="199" t="n">
        <f aca="false">M88+M94-M100</f>
        <v>1079704.16439469</v>
      </c>
      <c r="N106" s="200" t="n">
        <f aca="false">N88+N94-N100</f>
        <v>1100981.84835979</v>
      </c>
    </row>
    <row r="107" customFormat="false" ht="14.25" hidden="false" customHeight="false" outlineLevel="0" collapsed="false">
      <c r="B107" s="201" t="s">
        <v>906</v>
      </c>
      <c r="C107" s="232"/>
      <c r="D107" s="233"/>
      <c r="E107" s="233"/>
      <c r="F107" s="233" t="n">
        <f aca="false">F$32/F106</f>
        <v>2.14277504917496</v>
      </c>
      <c r="G107" s="233" t="n">
        <f aca="false">G$32/G106</f>
        <v>2.00129150278724</v>
      </c>
      <c r="H107" s="233" t="n">
        <f aca="false">H$32/H106</f>
        <v>2.05753997126089</v>
      </c>
      <c r="I107" s="233"/>
      <c r="J107" s="233" t="n">
        <f aca="false">J$32/J106</f>
        <v>2.04132224004096</v>
      </c>
      <c r="K107" s="233" t="n">
        <f aca="false">K$32/K106</f>
        <v>2.05089984425896</v>
      </c>
      <c r="L107" s="233" t="n">
        <f aca="false">L$32/L106</f>
        <v>2.05004456093432</v>
      </c>
      <c r="M107" s="233" t="n">
        <f aca="false">M$32/M106</f>
        <v>2.06410420200151</v>
      </c>
      <c r="N107" s="234" t="n">
        <f aca="false">N$32/N106</f>
        <v>2.07071049457093</v>
      </c>
    </row>
    <row r="108" customFormat="false" ht="14.25" hidden="false" customHeight="false" outlineLevel="0" collapsed="false">
      <c r="B108" s="205" t="s">
        <v>18</v>
      </c>
      <c r="C108" s="235"/>
      <c r="D108" s="236"/>
      <c r="E108" s="236"/>
      <c r="F108" s="236" t="e">
        <f aca="false">F106/E106-1</f>
        <v>#DIV/0!</v>
      </c>
      <c r="G108" s="236" t="n">
        <f aca="false">G106/F106-1</f>
        <v>0.0752671516330392</v>
      </c>
      <c r="H108" s="236" t="n">
        <f aca="false">H106/G106-1</f>
        <v>0.00759318197316516</v>
      </c>
      <c r="I108" s="236"/>
      <c r="J108" s="236" t="n">
        <f aca="false">J106/H106-1</f>
        <v>0.0410126916091054</v>
      </c>
      <c r="K108" s="236" t="n">
        <f aca="false">K106/J106-1</f>
        <v>0.0293375198449908</v>
      </c>
      <c r="L108" s="236" t="n">
        <f aca="false">L106/K106-1</f>
        <v>0.0313841474340806</v>
      </c>
      <c r="M108" s="236" t="n">
        <f aca="false">M106/L106-1</f>
        <v>0.0215293359784543</v>
      </c>
      <c r="N108" s="237" t="n">
        <f aca="false">N106/M106-1</f>
        <v>0.0197069573932958</v>
      </c>
    </row>
    <row r="110" customFormat="false" ht="14.25" hidden="false" customHeight="false" outlineLevel="0" collapsed="false">
      <c r="B110" s="73" t="s">
        <v>907</v>
      </c>
      <c r="C110" s="73"/>
      <c r="D110" s="220"/>
      <c r="E110" s="220"/>
      <c r="F110" s="210" t="n">
        <f aca="false">F113+F115+F117</f>
        <v>1336959</v>
      </c>
      <c r="G110" s="210" t="n">
        <f aca="false">G113+G115+G117</f>
        <v>1483663</v>
      </c>
      <c r="H110" s="210" t="n">
        <f aca="false">H113+H115+H117</f>
        <v>1624304</v>
      </c>
      <c r="I110" s="210"/>
      <c r="J110" s="210" t="n">
        <f aca="false">J113+J115+J117</f>
        <v>1697714.67815385</v>
      </c>
      <c r="K110" s="210" t="n">
        <f aca="false">K113+K115+K117</f>
        <v>1683313.74150881</v>
      </c>
      <c r="L110" s="210" t="n">
        <f aca="false">L113+L115+L117</f>
        <v>1742013.24155077</v>
      </c>
      <c r="M110" s="210" t="n">
        <f aca="false">M113+M115+M117</f>
        <v>1718278.08141307</v>
      </c>
      <c r="N110" s="210" t="n">
        <f aca="false">N113+N115+N117</f>
        <v>1764185.2198639</v>
      </c>
    </row>
    <row r="111" customFormat="false" ht="14.25" hidden="false" customHeight="false" outlineLevel="0" collapsed="false">
      <c r="B111" s="183" t="s">
        <v>906</v>
      </c>
      <c r="C111" s="164"/>
      <c r="D111" s="192"/>
      <c r="E111" s="192"/>
      <c r="F111" s="221" t="n">
        <f aca="false">F$29/F110</f>
        <v>1.65446285189</v>
      </c>
      <c r="G111" s="221" t="n">
        <f aca="false">G$29/G110</f>
        <v>1.50309133543129</v>
      </c>
      <c r="H111" s="221" t="n">
        <f aca="false">H$29/H110</f>
        <v>1.43344718722604</v>
      </c>
      <c r="I111" s="221"/>
      <c r="J111" s="221" t="n">
        <f aca="false">J$29/J110</f>
        <v>1.42682926829268</v>
      </c>
      <c r="K111" s="221" t="n">
        <f aca="false">K$29/K110</f>
        <v>1.49622057001239</v>
      </c>
      <c r="L111" s="221" t="n">
        <f aca="false">L$29/L110</f>
        <v>1.49622057001239</v>
      </c>
      <c r="M111" s="221" t="n">
        <f aca="false">M$29/M110</f>
        <v>1.56541524459613</v>
      </c>
      <c r="N111" s="222" t="n">
        <f aca="false">N$29/N110</f>
        <v>1.56541524459613</v>
      </c>
    </row>
    <row r="112" customFormat="false" ht="14.25" hidden="false" customHeight="false" outlineLevel="0" collapsed="false">
      <c r="B112" s="223"/>
      <c r="N112" s="188"/>
    </row>
    <row r="113" customFormat="false" ht="14.25" hidden="false" customHeight="false" outlineLevel="0" collapsed="false">
      <c r="B113" s="189" t="s">
        <v>908</v>
      </c>
      <c r="C113" s="190"/>
      <c r="D113" s="192"/>
      <c r="E113" s="192"/>
      <c r="F113" s="211" t="n">
        <f aca="false">418612+68792-55324</f>
        <v>432080</v>
      </c>
      <c r="G113" s="168" t="n">
        <f aca="false">531655+93933-76184</f>
        <v>549404</v>
      </c>
      <c r="H113" s="168" t="n">
        <f aca="false">627854+115060-96819</f>
        <v>646095</v>
      </c>
      <c r="I113" s="172"/>
      <c r="J113" s="169" t="n">
        <f aca="false">J$29/J114</f>
        <v>672874.72</v>
      </c>
      <c r="K113" s="169" t="n">
        <f aca="false">K$29/K114</f>
        <v>662791.748902632</v>
      </c>
      <c r="L113" s="169" t="n">
        <f aca="false">L$29/L114</f>
        <v>685904.222432167</v>
      </c>
      <c r="M113" s="169" t="n">
        <f aca="false">M$29/M114</f>
        <v>672454.675774853</v>
      </c>
      <c r="N113" s="170" t="n">
        <f aca="false">N$29/N114</f>
        <v>690420.609366532</v>
      </c>
    </row>
    <row r="114" customFormat="false" ht="14.25" hidden="false" customHeight="false" outlineLevel="0" collapsed="false">
      <c r="B114" s="193" t="s">
        <v>906</v>
      </c>
      <c r="D114" s="192"/>
      <c r="E114" s="192"/>
      <c r="F114" s="238" t="n">
        <f aca="false">F$29/F113</f>
        <v>5.11930429550083</v>
      </c>
      <c r="G114" s="238" t="n">
        <f aca="false">G$29/G113</f>
        <v>4.05909130621546</v>
      </c>
      <c r="H114" s="238" t="n">
        <f aca="false">H$29/H113</f>
        <v>3.60373319713045</v>
      </c>
      <c r="I114" s="225"/>
      <c r="J114" s="226" t="n">
        <v>3.6</v>
      </c>
      <c r="K114" s="226" t="n">
        <v>3.8</v>
      </c>
      <c r="L114" s="226" t="n">
        <v>3.8</v>
      </c>
      <c r="M114" s="226" t="n">
        <v>4</v>
      </c>
      <c r="N114" s="226" t="n">
        <v>4</v>
      </c>
    </row>
    <row r="115" customFormat="false" ht="14.25" hidden="false" customHeight="false" outlineLevel="0" collapsed="false">
      <c r="B115" s="189" t="s">
        <v>909</v>
      </c>
      <c r="C115" s="164"/>
      <c r="D115" s="192"/>
      <c r="E115" s="192"/>
      <c r="F115" s="211" t="n">
        <v>365339</v>
      </c>
      <c r="G115" s="168" t="n">
        <v>375051</v>
      </c>
      <c r="H115" s="168" t="n">
        <v>387729</v>
      </c>
      <c r="I115" s="172"/>
      <c r="J115" s="169" t="n">
        <f aca="false">J$29/J116</f>
        <v>403724.832</v>
      </c>
      <c r="K115" s="169" t="n">
        <f aca="false">K$29/K116</f>
        <v>406227.200940323</v>
      </c>
      <c r="L115" s="169" t="n">
        <f aca="false">L$29/L116</f>
        <v>420392.910522941</v>
      </c>
      <c r="M115" s="169" t="n">
        <f aca="false">M$29/M116</f>
        <v>420284.172359283</v>
      </c>
      <c r="N115" s="170" t="n">
        <f aca="false">N$29/N116</f>
        <v>431512.880854082</v>
      </c>
    </row>
    <row r="116" customFormat="false" ht="14.25" hidden="false" customHeight="false" outlineLevel="0" collapsed="false">
      <c r="B116" s="193" t="s">
        <v>906</v>
      </c>
      <c r="D116" s="192"/>
      <c r="E116" s="192"/>
      <c r="F116" s="238" t="n">
        <f aca="false">F$29/F115</f>
        <v>6.05451101579629</v>
      </c>
      <c r="G116" s="238" t="n">
        <f aca="false">G$29/G115</f>
        <v>5.94607400060259</v>
      </c>
      <c r="H116" s="238" t="n">
        <f aca="false">H$29/H115</f>
        <v>6.00510665954829</v>
      </c>
      <c r="I116" s="225"/>
      <c r="J116" s="226" t="n">
        <v>6</v>
      </c>
      <c r="K116" s="226" t="n">
        <v>6.2</v>
      </c>
      <c r="L116" s="226" t="n">
        <v>6.2</v>
      </c>
      <c r="M116" s="226" t="n">
        <v>6.4</v>
      </c>
      <c r="N116" s="226" t="n">
        <v>6.4</v>
      </c>
    </row>
    <row r="117" customFormat="false" ht="14.25" hidden="false" customHeight="false" outlineLevel="0" collapsed="false">
      <c r="B117" s="163" t="s">
        <v>910</v>
      </c>
      <c r="C117" s="164"/>
      <c r="D117" s="192"/>
      <c r="E117" s="192"/>
      <c r="F117" s="168" t="n">
        <f aca="false">502550+36990</f>
        <v>539540</v>
      </c>
      <c r="G117" s="211" t="n">
        <f aca="false">512383+46825</f>
        <v>559208</v>
      </c>
      <c r="H117" s="211" t="n">
        <f aca="false">558521+31959</f>
        <v>590480</v>
      </c>
      <c r="I117" s="172"/>
      <c r="J117" s="169" t="n">
        <f aca="false">J$29/J118</f>
        <v>621115.126153846</v>
      </c>
      <c r="K117" s="169" t="n">
        <f aca="false">K$29/K118</f>
        <v>614294.791665854</v>
      </c>
      <c r="L117" s="169" t="n">
        <f aca="false">L$29/L118</f>
        <v>635716.108595667</v>
      </c>
      <c r="M117" s="169" t="n">
        <f aca="false">M$29/M118</f>
        <v>625539.233278933</v>
      </c>
      <c r="N117" s="170" t="n">
        <f aca="false">N$29/N118</f>
        <v>642251.729643286</v>
      </c>
    </row>
    <row r="118" customFormat="false" ht="14.25" hidden="false" customHeight="false" outlineLevel="0" collapsed="false">
      <c r="B118" s="195" t="s">
        <v>906</v>
      </c>
      <c r="C118" s="98"/>
      <c r="D118" s="196"/>
      <c r="E118" s="196"/>
      <c r="F118" s="239" t="n">
        <f aca="false">F$29/F117</f>
        <v>4.09969418393446</v>
      </c>
      <c r="G118" s="239" t="n">
        <f aca="false">G$29/G117</f>
        <v>3.98792756899043</v>
      </c>
      <c r="H118" s="239" t="n">
        <f aca="false">H$29/H117</f>
        <v>3.94315472158244</v>
      </c>
      <c r="I118" s="229"/>
      <c r="J118" s="226" t="n">
        <v>3.9</v>
      </c>
      <c r="K118" s="226" t="n">
        <v>4.1</v>
      </c>
      <c r="L118" s="226" t="n">
        <v>4.1</v>
      </c>
      <c r="M118" s="226" t="n">
        <v>4.3</v>
      </c>
      <c r="N118" s="226" t="n">
        <v>4.3</v>
      </c>
    </row>
    <row r="120" customFormat="false" ht="14.25" hidden="false" customHeight="false" outlineLevel="0" collapsed="false">
      <c r="B120" s="73" t="s">
        <v>911</v>
      </c>
      <c r="C120" s="73"/>
      <c r="D120" s="240"/>
      <c r="E120" s="240"/>
      <c r="F120" s="215" t="n">
        <f aca="false">98170+51436</f>
        <v>149606</v>
      </c>
      <c r="G120" s="215" t="n">
        <f aca="false">90303+27636</f>
        <v>117939</v>
      </c>
      <c r="H120" s="215" t="n">
        <f aca="false">99792+104234</f>
        <v>204026</v>
      </c>
      <c r="I120" s="210"/>
      <c r="J120" s="241" t="n">
        <f aca="false">J$29/J121</f>
        <v>212486.75368421</v>
      </c>
      <c r="K120" s="241" t="n">
        <f aca="false">K$29/K121</f>
        <v>213441.410663559</v>
      </c>
      <c r="L120" s="241" t="n">
        <f aca="false">L$29/L121</f>
        <v>220884.410613748</v>
      </c>
      <c r="M120" s="241" t="n">
        <f aca="false">M$29/M121</f>
        <v>220476.942877001</v>
      </c>
      <c r="N120" s="242" t="n">
        <f aca="false">N$29/N121</f>
        <v>226367.41290706</v>
      </c>
    </row>
    <row r="121" customFormat="false" ht="14.25" hidden="false" customHeight="false" outlineLevel="0" collapsed="false">
      <c r="B121" s="216" t="s">
        <v>906</v>
      </c>
      <c r="C121" s="217"/>
      <c r="D121" s="243"/>
      <c r="E121" s="243"/>
      <c r="F121" s="244" t="n">
        <f aca="false">F$29/F120</f>
        <v>14.7851623597984</v>
      </c>
      <c r="G121" s="244" t="n">
        <f aca="false">G$29/G120</f>
        <v>18.9087663961879</v>
      </c>
      <c r="H121" s="244" t="n">
        <f aca="false">H$29/H120</f>
        <v>11.4120455236097</v>
      </c>
      <c r="I121" s="244"/>
      <c r="J121" s="226" t="n">
        <v>11.4</v>
      </c>
      <c r="K121" s="226" t="n">
        <v>11.8</v>
      </c>
      <c r="L121" s="226" t="n">
        <v>11.8</v>
      </c>
      <c r="M121" s="226" t="n">
        <v>12.2</v>
      </c>
      <c r="N121" s="226" t="n">
        <v>12.2</v>
      </c>
    </row>
    <row r="122" customFormat="false" ht="14.25" hidden="false" customHeight="false" outlineLevel="0" collapsed="false">
      <c r="B122" s="212"/>
    </row>
    <row r="123" customFormat="false" ht="14.25" hidden="false" customHeight="false" outlineLevel="0" collapsed="false">
      <c r="B123" s="245" t="s">
        <v>912</v>
      </c>
      <c r="C123" s="198"/>
      <c r="D123" s="199"/>
      <c r="E123" s="199"/>
      <c r="F123" s="199" t="n">
        <f aca="false">F110-F120</f>
        <v>1187353</v>
      </c>
      <c r="G123" s="199" t="n">
        <f aca="false">G110-G120</f>
        <v>1365724</v>
      </c>
      <c r="H123" s="199" t="n">
        <f aca="false">H110-H120</f>
        <v>1420278</v>
      </c>
      <c r="I123" s="198"/>
      <c r="J123" s="199" t="n">
        <f aca="false">J110-J120</f>
        <v>1485227.92446964</v>
      </c>
      <c r="K123" s="199" t="n">
        <f aca="false">K110-K120</f>
        <v>1469872.33084525</v>
      </c>
      <c r="L123" s="199" t="n">
        <f aca="false">L110-L120</f>
        <v>1521128.83093703</v>
      </c>
      <c r="M123" s="199" t="n">
        <f aca="false">M110-M120</f>
        <v>1497801.13853607</v>
      </c>
      <c r="N123" s="200" t="n">
        <f aca="false">N110-N120</f>
        <v>1537817.80695684</v>
      </c>
    </row>
    <row r="124" customFormat="false" ht="14.25" hidden="false" customHeight="false" outlineLevel="0" collapsed="false">
      <c r="B124" s="201" t="s">
        <v>906</v>
      </c>
      <c r="C124" s="232"/>
      <c r="D124" s="233"/>
      <c r="E124" s="233"/>
      <c r="F124" s="233" t="n">
        <f aca="false">F$32/F123</f>
        <v>1.59299635407499</v>
      </c>
      <c r="G124" s="233" t="n">
        <f aca="false">G$32/G123</f>
        <v>1.39085496044589</v>
      </c>
      <c r="H124" s="233" t="n">
        <f aca="false">H$32/H123</f>
        <v>1.38546186028369</v>
      </c>
      <c r="I124" s="233"/>
      <c r="J124" s="233" t="n">
        <f aca="false">J$32/J123</f>
        <v>1.3683403675067</v>
      </c>
      <c r="K124" s="233" t="n">
        <f aca="false">K$32/K123</f>
        <v>1.42987580922038</v>
      </c>
      <c r="L124" s="233" t="n">
        <f aca="false">L$32/L123</f>
        <v>1.42446320877562</v>
      </c>
      <c r="M124" s="233" t="n">
        <f aca="false">M$32/M123</f>
        <v>1.48792910173899</v>
      </c>
      <c r="N124" s="234" t="n">
        <f aca="false">N$32/N123</f>
        <v>1.4824998497333</v>
      </c>
    </row>
    <row r="125" customFormat="false" ht="14.25" hidden="false" customHeight="false" outlineLevel="0" collapsed="false">
      <c r="B125" s="205" t="s">
        <v>18</v>
      </c>
      <c r="C125" s="235"/>
      <c r="D125" s="236"/>
      <c r="E125" s="236"/>
      <c r="F125" s="236"/>
      <c r="G125" s="236" t="n">
        <f aca="false">G123/F123-1</f>
        <v>0.150225754261791</v>
      </c>
      <c r="H125" s="236" t="n">
        <f aca="false">H123/G123-1</f>
        <v>0.0399451133611184</v>
      </c>
      <c r="I125" s="236"/>
      <c r="J125" s="236" t="n">
        <f aca="false">J123/H123-1</f>
        <v>0.0457304305703781</v>
      </c>
      <c r="K125" s="236" t="n">
        <f aca="false">K123/J123-1</f>
        <v>-0.0103388802293561</v>
      </c>
      <c r="L125" s="236" t="n">
        <f aca="false">L123/K123-1</f>
        <v>0.0348713959819227</v>
      </c>
      <c r="M125" s="236" t="n">
        <f aca="false">M123/L123-1</f>
        <v>-0.015335776908908</v>
      </c>
      <c r="N125" s="237" t="n">
        <f aca="false">N123/M123-1</f>
        <v>0.0267169435188739</v>
      </c>
    </row>
    <row r="126" customFormat="false" ht="14.25" hidden="false" customHeight="false" outlineLevel="0" collapsed="false">
      <c r="B126" s="176"/>
    </row>
    <row r="127" customFormat="false" ht="14.25" hidden="false" customHeight="false" outlineLevel="0" collapsed="false">
      <c r="B127" s="245" t="s">
        <v>913</v>
      </c>
      <c r="C127" s="198"/>
      <c r="D127" s="199"/>
      <c r="E127" s="199"/>
      <c r="F127" s="199" t="n">
        <f aca="false">F106+F123</f>
        <v>2070063.01696061</v>
      </c>
      <c r="G127" s="199" t="n">
        <f aca="false">G106+G123</f>
        <v>2314873.08565518</v>
      </c>
      <c r="H127" s="199" t="n">
        <f aca="false">H106+H123</f>
        <v>2376634.14738223</v>
      </c>
      <c r="I127" s="198"/>
      <c r="J127" s="199" t="n">
        <f aca="false">J106+J123</f>
        <v>2480806.81159292</v>
      </c>
      <c r="K127" s="199" t="n">
        <f aca="false">K106+K123</f>
        <v>2494659.03332677</v>
      </c>
      <c r="L127" s="199" t="n">
        <f aca="false">L106+L123</f>
        <v>2578077.59037771</v>
      </c>
      <c r="M127" s="199" t="n">
        <f aca="false">M106+M123</f>
        <v>2577505.30293076</v>
      </c>
      <c r="N127" s="200" t="n">
        <f aca="false">N106+N123</f>
        <v>2638799.65531663</v>
      </c>
    </row>
    <row r="128" customFormat="false" ht="14.25" hidden="false" customHeight="false" outlineLevel="0" collapsed="false">
      <c r="B128" s="201" t="s">
        <v>906</v>
      </c>
      <c r="C128" s="232"/>
      <c r="D128" s="233"/>
      <c r="E128" s="233"/>
      <c r="F128" s="233" t="n">
        <f aca="false">F$32/F127</f>
        <v>0.913715662036772</v>
      </c>
      <c r="G128" s="233" t="n">
        <f aca="false">G$32/G127</f>
        <v>0.820573711695461</v>
      </c>
      <c r="H128" s="233" t="n">
        <f aca="false">H$32/H127</f>
        <v>0.827952843380371</v>
      </c>
      <c r="I128" s="233"/>
      <c r="J128" s="233" t="n">
        <f aca="false">J$32/J127</f>
        <v>0.819208216658783</v>
      </c>
      <c r="K128" s="233" t="n">
        <f aca="false">K$32/K127</f>
        <v>0.842493848033099</v>
      </c>
      <c r="L128" s="233" t="n">
        <f aca="false">L$32/L127</f>
        <v>0.840468131589555</v>
      </c>
      <c r="M128" s="233" t="n">
        <f aca="false">M$32/M127</f>
        <v>0.864642994181836</v>
      </c>
      <c r="N128" s="234" t="n">
        <f aca="false">N$32/N127</f>
        <v>0.863958983448161</v>
      </c>
    </row>
    <row r="129" customFormat="false" ht="14.25" hidden="false" customHeight="false" outlineLevel="0" collapsed="false">
      <c r="B129" s="205" t="s">
        <v>18</v>
      </c>
      <c r="C129" s="235"/>
      <c r="D129" s="236"/>
      <c r="E129" s="236"/>
      <c r="F129" s="236"/>
      <c r="G129" s="236" t="n">
        <f aca="false">G127/F127-1</f>
        <v>0.118262133417572</v>
      </c>
      <c r="H129" s="236" t="n">
        <f aca="false">H127/G127-1</f>
        <v>0.0266801070476668</v>
      </c>
      <c r="I129" s="236"/>
      <c r="J129" s="236" t="n">
        <f aca="false">J127/H127-1</f>
        <v>0.0438320152579803</v>
      </c>
      <c r="K129" s="236" t="n">
        <f aca="false">K127/J127-1</f>
        <v>0.00558375673152556</v>
      </c>
      <c r="L129" s="236" t="n">
        <f aca="false">L127/K127-1</f>
        <v>0.03343886115759</v>
      </c>
      <c r="M129" s="236" t="n">
        <f aca="false">M127/L127-1</f>
        <v>-0.000221982243313601</v>
      </c>
      <c r="N129" s="237" t="n">
        <f aca="false">N127/M127-1</f>
        <v>0.0237804951618017</v>
      </c>
    </row>
    <row r="130" customFormat="false" ht="14.25" hidden="false" customHeight="false" outlineLevel="0" collapsed="false">
      <c r="B130" s="212"/>
    </row>
    <row r="131" customFormat="false" ht="14.25" hidden="false" customHeight="false" outlineLevel="0" collapsed="false">
      <c r="A131" s="25" t="s">
        <v>10</v>
      </c>
      <c r="B131" s="22" t="s">
        <v>914</v>
      </c>
      <c r="C131" s="22"/>
      <c r="D131" s="22"/>
      <c r="E131" s="147"/>
      <c r="F131" s="22"/>
      <c r="G131" s="22"/>
      <c r="H131" s="22"/>
      <c r="I131" s="22"/>
      <c r="J131" s="22"/>
      <c r="K131" s="22"/>
      <c r="L131" s="22"/>
      <c r="M131" s="22"/>
      <c r="N131" s="22"/>
    </row>
    <row r="132" customFormat="false" ht="14.25" hidden="false" customHeight="false" outlineLevel="0" collapsed="false">
      <c r="E132" s="148"/>
    </row>
    <row r="133" customFormat="false" ht="14.25" hidden="false" customHeight="false" outlineLevel="0" collapsed="false">
      <c r="D133" s="54"/>
      <c r="E133" s="149"/>
      <c r="F133" s="55" t="s">
        <v>881</v>
      </c>
      <c r="G133" s="98"/>
      <c r="H133" s="98"/>
      <c r="J133" s="54"/>
      <c r="K133" s="54"/>
      <c r="L133" s="55" t="s">
        <v>882</v>
      </c>
      <c r="M133" s="98"/>
      <c r="N133" s="98"/>
    </row>
    <row r="134" customFormat="false" ht="14.25" hidden="false" customHeight="false" outlineLevel="0" collapsed="false">
      <c r="B134" s="47" t="s">
        <v>883</v>
      </c>
      <c r="C134" s="47"/>
      <c r="D134" s="101"/>
      <c r="E134" s="151"/>
      <c r="F134" s="101" t="n">
        <f aca="false">G134-1</f>
        <v>2024</v>
      </c>
      <c r="G134" s="101" t="n">
        <f aca="false">H134-1</f>
        <v>2025</v>
      </c>
      <c r="H134" s="101" t="n">
        <v>2026</v>
      </c>
      <c r="I134" s="47"/>
      <c r="J134" s="101" t="n">
        <f aca="false">H134+1</f>
        <v>2027</v>
      </c>
      <c r="K134" s="101" t="n">
        <f aca="false">J134+1</f>
        <v>2028</v>
      </c>
      <c r="L134" s="101" t="n">
        <f aca="false">K134+1</f>
        <v>2029</v>
      </c>
      <c r="M134" s="101" t="n">
        <f aca="false">L134+1</f>
        <v>2030</v>
      </c>
      <c r="N134" s="101" t="n">
        <f aca="false">M134+1</f>
        <v>2031</v>
      </c>
    </row>
    <row r="136" customFormat="false" ht="14.25" hidden="false" customHeight="false" outlineLevel="0" collapsed="false">
      <c r="B136" s="246" t="s">
        <v>915</v>
      </c>
      <c r="C136" s="247"/>
      <c r="D136" s="248"/>
      <c r="E136" s="248"/>
      <c r="F136" s="249" t="n">
        <v>74707</v>
      </c>
      <c r="G136" s="249" t="n">
        <v>85399</v>
      </c>
      <c r="H136" s="249" t="n">
        <v>89951</v>
      </c>
      <c r="I136" s="250"/>
      <c r="J136" s="241" t="n">
        <f aca="false">J123*J137</f>
        <v>93569.359241587</v>
      </c>
      <c r="K136" s="241" t="n">
        <f aca="false">K123*K137</f>
        <v>92601.9568432507</v>
      </c>
      <c r="L136" s="241" t="n">
        <f aca="false">L123*L137</f>
        <v>95831.1163490326</v>
      </c>
      <c r="M136" s="241" t="n">
        <f aca="false">M123*M137</f>
        <v>94361.4717277722</v>
      </c>
      <c r="N136" s="241" t="n">
        <f aca="false">N123*N137</f>
        <v>96882.5218382809</v>
      </c>
    </row>
    <row r="137" customFormat="false" ht="14.25" hidden="false" customHeight="false" outlineLevel="0" collapsed="false">
      <c r="B137" s="251" t="s">
        <v>916</v>
      </c>
      <c r="C137" s="252"/>
      <c r="D137" s="253"/>
      <c r="E137" s="253"/>
      <c r="F137" s="184" t="n">
        <f aca="false">F136/F$123</f>
        <v>0.062918946598021</v>
      </c>
      <c r="G137" s="184" t="n">
        <f aca="false">G136/G$123</f>
        <v>0.0625302037600569</v>
      </c>
      <c r="H137" s="184" t="n">
        <f aca="false">H136/H$123</f>
        <v>0.0633333755785839</v>
      </c>
      <c r="I137" s="254"/>
      <c r="J137" s="174" t="n">
        <v>0.063</v>
      </c>
      <c r="K137" s="174" t="n">
        <f aca="false">J137</f>
        <v>0.063</v>
      </c>
      <c r="L137" s="174" t="n">
        <f aca="false">K137</f>
        <v>0.063</v>
      </c>
      <c r="M137" s="174" t="n">
        <f aca="false">L137</f>
        <v>0.063</v>
      </c>
      <c r="N137" s="174" t="n">
        <f aca="false">M137</f>
        <v>0.063</v>
      </c>
    </row>
    <row r="138" customFormat="false" ht="14.25" hidden="false" customHeight="false" outlineLevel="0" collapsed="false">
      <c r="B138" s="255" t="s">
        <v>890</v>
      </c>
      <c r="C138" s="54"/>
      <c r="D138" s="256"/>
      <c r="E138" s="256"/>
      <c r="F138" s="257" t="n">
        <f aca="false">F136/F$29</f>
        <v>0.0337742868393439</v>
      </c>
      <c r="G138" s="257" t="n">
        <f aca="false">G136/G$29</f>
        <v>0.0382941247425542</v>
      </c>
      <c r="H138" s="257" t="n">
        <f aca="false">H136/H$29</f>
        <v>0.0386328711183952</v>
      </c>
      <c r="I138" s="258"/>
      <c r="J138" s="257" t="n">
        <f aca="false">J136/J$29</f>
        <v>0.0386275303643725</v>
      </c>
      <c r="K138" s="257" t="n">
        <f aca="false">K136/K$29</f>
        <v>0.0367671082986908</v>
      </c>
      <c r="L138" s="257" t="n">
        <f aca="false">L136/L$29</f>
        <v>0.0367671082986908</v>
      </c>
      <c r="M138" s="257" t="n">
        <f aca="false">M136/M$29</f>
        <v>0.0350809783644682</v>
      </c>
      <c r="N138" s="259" t="n">
        <f aca="false">N136/N$29</f>
        <v>0.0350809783644682</v>
      </c>
    </row>
    <row r="140" customFormat="false" ht="14.25" hidden="false" customHeight="false" outlineLevel="0" collapsed="false">
      <c r="B140" s="246" t="s">
        <v>917</v>
      </c>
      <c r="C140" s="247"/>
      <c r="D140" s="248"/>
      <c r="E140" s="248"/>
      <c r="F140" s="249" t="n">
        <v>113497</v>
      </c>
      <c r="G140" s="249" t="n">
        <v>261144</v>
      </c>
      <c r="H140" s="249" t="n">
        <v>164665</v>
      </c>
      <c r="I140" s="250"/>
      <c r="J140" s="241" t="n">
        <f aca="false">J123*J141</f>
        <v>163375.07169166</v>
      </c>
      <c r="K140" s="241" t="n">
        <f aca="false">K123*K141</f>
        <v>146987.233084525</v>
      </c>
      <c r="L140" s="241" t="n">
        <f aca="false">L123*L141</f>
        <v>152112.883093703</v>
      </c>
      <c r="M140" s="241" t="n">
        <f aca="false">M123*M141</f>
        <v>134802.102468246</v>
      </c>
      <c r="N140" s="241" t="n">
        <f aca="false">N123*N141</f>
        <v>123025.424556547</v>
      </c>
    </row>
    <row r="141" customFormat="false" ht="14.25" hidden="false" customHeight="false" outlineLevel="0" collapsed="false">
      <c r="B141" s="251" t="s">
        <v>916</v>
      </c>
      <c r="C141" s="252"/>
      <c r="D141" s="253"/>
      <c r="E141" s="253"/>
      <c r="F141" s="184" t="n">
        <f aca="false">F140/F$123</f>
        <v>0.0955882538722688</v>
      </c>
      <c r="G141" s="184" t="n">
        <f aca="false">G140/G$123</f>
        <v>0.191212865849908</v>
      </c>
      <c r="H141" s="184" t="n">
        <f aca="false">H140/H$123</f>
        <v>0.11593856977296</v>
      </c>
      <c r="I141" s="254"/>
      <c r="J141" s="174" t="n">
        <v>0.11</v>
      </c>
      <c r="K141" s="174" t="n">
        <v>0.1</v>
      </c>
      <c r="L141" s="174" t="n">
        <v>0.1</v>
      </c>
      <c r="M141" s="174" t="n">
        <v>0.09</v>
      </c>
      <c r="N141" s="174" t="n">
        <v>0.08</v>
      </c>
    </row>
    <row r="142" customFormat="false" ht="14.25" hidden="false" customHeight="false" outlineLevel="0" collapsed="false">
      <c r="B142" s="255" t="s">
        <v>890</v>
      </c>
      <c r="C142" s="54"/>
      <c r="D142" s="256"/>
      <c r="E142" s="256"/>
      <c r="F142" s="257" t="n">
        <f aca="false">F140/F$29</f>
        <v>0.0513108575288128</v>
      </c>
      <c r="G142" s="257" t="n">
        <f aca="false">G140/G$29</f>
        <v>0.11710067930268</v>
      </c>
      <c r="H142" s="257" t="n">
        <f aca="false">H140/H$29</f>
        <v>0.0707216342532106</v>
      </c>
      <c r="I142" s="258"/>
      <c r="J142" s="257" t="n">
        <f aca="false">J140/J$29</f>
        <v>0.0674448942869996</v>
      </c>
      <c r="K142" s="257" t="n">
        <f aca="false">K140/K$29</f>
        <v>0.0583604893630013</v>
      </c>
      <c r="L142" s="257" t="n">
        <f aca="false">L140/L$29</f>
        <v>0.0583604893630013</v>
      </c>
      <c r="M142" s="257" t="n">
        <f aca="false">M140/M$29</f>
        <v>0.0501156833778117</v>
      </c>
      <c r="N142" s="259" t="n">
        <f aca="false">N140/N$29</f>
        <v>0.0445472741136104</v>
      </c>
    </row>
    <row r="143" customFormat="false" ht="14.25" hidden="false" customHeight="false" outlineLevel="0" collapsed="false">
      <c r="B143" s="35"/>
      <c r="C143" s="37"/>
      <c r="D143" s="37"/>
      <c r="E143" s="260"/>
      <c r="F143" s="260"/>
      <c r="G143" s="260"/>
      <c r="H143" s="260"/>
      <c r="I143" s="37"/>
      <c r="J143" s="260"/>
      <c r="K143" s="260"/>
      <c r="L143" s="260"/>
      <c r="M143" s="260"/>
      <c r="N143" s="260"/>
    </row>
    <row r="144" customFormat="false" ht="14.25" hidden="false" customHeight="false" outlineLevel="0" collapsed="false">
      <c r="A144" s="25" t="s">
        <v>10</v>
      </c>
      <c r="B144" s="22" t="s">
        <v>918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</row>
    <row r="146" customFormat="false" ht="14.25" hidden="false" customHeight="false" outlineLevel="0" collapsed="false">
      <c r="D146" s="54"/>
      <c r="E146" s="54"/>
      <c r="F146" s="55" t="s">
        <v>881</v>
      </c>
      <c r="G146" s="98"/>
      <c r="J146" s="54"/>
      <c r="K146" s="54"/>
      <c r="L146" s="55" t="s">
        <v>882</v>
      </c>
      <c r="M146" s="98"/>
    </row>
    <row r="147" customFormat="false" ht="14.25" hidden="false" customHeight="false" outlineLevel="0" collapsed="false">
      <c r="B147" s="47" t="s">
        <v>883</v>
      </c>
      <c r="C147" s="47"/>
      <c r="D147" s="101"/>
      <c r="E147" s="101"/>
      <c r="F147" s="101" t="n">
        <f aca="false">G147-1</f>
        <v>2024</v>
      </c>
      <c r="G147" s="101" t="n">
        <f aca="false">H147-1</f>
        <v>2025</v>
      </c>
      <c r="H147" s="101" t="n">
        <v>2026</v>
      </c>
      <c r="I147" s="47"/>
      <c r="J147" s="101" t="n">
        <f aca="false">H147+1</f>
        <v>2027</v>
      </c>
      <c r="K147" s="101" t="n">
        <f aca="false">J147+1</f>
        <v>2028</v>
      </c>
      <c r="L147" s="101" t="n">
        <f aca="false">K147+1</f>
        <v>2029</v>
      </c>
      <c r="M147" s="101" t="n">
        <f aca="false">L147+1</f>
        <v>2030</v>
      </c>
      <c r="N147" s="101" t="n">
        <f aca="false">M147+1</f>
        <v>2031</v>
      </c>
    </row>
    <row r="149" customFormat="false" ht="14.25" hidden="false" customHeight="false" outlineLevel="0" collapsed="false">
      <c r="B149" s="26" t="s">
        <v>844</v>
      </c>
      <c r="C149" s="26"/>
      <c r="D149" s="192"/>
      <c r="E149" s="192"/>
      <c r="F149" s="261" t="n">
        <f aca="false">F29</f>
        <v>2211949</v>
      </c>
      <c r="G149" s="261" t="n">
        <f aca="false">G29</f>
        <v>2230081</v>
      </c>
      <c r="H149" s="261" t="n">
        <f aca="false">H29</f>
        <v>2328354</v>
      </c>
      <c r="I149" s="262"/>
      <c r="J149" s="261" t="n">
        <f aca="false">J29</f>
        <v>2422348.992</v>
      </c>
      <c r="K149" s="261" t="n">
        <f aca="false">K29</f>
        <v>2518608.64583</v>
      </c>
      <c r="L149" s="261" t="n">
        <f aca="false">L29</f>
        <v>2606436.04524223</v>
      </c>
      <c r="M149" s="261" t="n">
        <f aca="false">M29</f>
        <v>2689818.70309941</v>
      </c>
      <c r="N149" s="261" t="n">
        <f aca="false">N29</f>
        <v>2761682.43746613</v>
      </c>
    </row>
    <row r="150" customFormat="false" ht="14.25" hidden="false" customHeight="false" outlineLevel="0" collapsed="false">
      <c r="B150" s="35" t="s">
        <v>18</v>
      </c>
      <c r="C150" s="164"/>
      <c r="D150" s="192"/>
      <c r="E150" s="192"/>
      <c r="F150" s="164"/>
      <c r="G150" s="164" t="n">
        <f aca="false">G149/F149-1</f>
        <v>0.00819729568810135</v>
      </c>
      <c r="H150" s="164" t="n">
        <f aca="false">H149/G149-1</f>
        <v>0.0440670092252256</v>
      </c>
      <c r="I150" s="164"/>
      <c r="J150" s="164" t="n">
        <f aca="false">J149/H149-1</f>
        <v>0.0403697169760267</v>
      </c>
      <c r="K150" s="164" t="n">
        <f aca="false">K149/J149-1</f>
        <v>0.0397381443169031</v>
      </c>
      <c r="L150" s="164" t="n">
        <f aca="false">L149/K149-1</f>
        <v>0.0348713959819227</v>
      </c>
      <c r="M150" s="164" t="n">
        <f aca="false">M149/L149-1</f>
        <v>0.0319910622819171</v>
      </c>
      <c r="N150" s="164" t="n">
        <f aca="false">N149/M149-1</f>
        <v>0.0267169435188739</v>
      </c>
    </row>
    <row r="152" customFormat="false" ht="14.25" hidden="false" customHeight="false" outlineLevel="0" collapsed="false">
      <c r="B152" s="26" t="s">
        <v>894</v>
      </c>
      <c r="D152" s="192"/>
      <c r="E152" s="192"/>
      <c r="F152" s="261" t="n">
        <f aca="false">F79</f>
        <v>477651</v>
      </c>
      <c r="G152" s="261" t="n">
        <f aca="false">G79</f>
        <v>433283</v>
      </c>
      <c r="H152" s="261" t="n">
        <f aca="false">H79</f>
        <v>438174</v>
      </c>
      <c r="I152" s="261"/>
      <c r="J152" s="261" t="n">
        <f aca="false">J79</f>
        <v>474202.027269</v>
      </c>
      <c r="K152" s="261" t="n">
        <f aca="false">K79</f>
        <v>516090.10525768</v>
      </c>
      <c r="L152" s="261" t="n">
        <f aca="false">L79</f>
        <v>549619.773918286</v>
      </c>
      <c r="M152" s="261" t="n">
        <f aca="false">M79</f>
        <v>582415.682094973</v>
      </c>
      <c r="N152" s="261" t="n">
        <f aca="false">N79</f>
        <v>610135.322384613</v>
      </c>
    </row>
    <row r="153" customFormat="false" ht="14.25" hidden="false" customHeight="false" outlineLevel="0" collapsed="false">
      <c r="B153" s="35" t="s">
        <v>20</v>
      </c>
      <c r="D153" s="192"/>
      <c r="E153" s="192"/>
      <c r="F153" s="164" t="n">
        <f aca="false">F152/F$149</f>
        <v>0.215941235534816</v>
      </c>
      <c r="G153" s="164" t="n">
        <f aca="false">G152/G$149</f>
        <v>0.194290252237475</v>
      </c>
      <c r="H153" s="164" t="n">
        <f aca="false">H152/H$149</f>
        <v>0.188190455575054</v>
      </c>
      <c r="I153" s="164"/>
      <c r="J153" s="164" t="n">
        <f aca="false">J152/J$149</f>
        <v>0.195761233759087</v>
      </c>
      <c r="K153" s="164" t="n">
        <f aca="false">K152/K$149</f>
        <v>0.204910797122911</v>
      </c>
      <c r="L153" s="164" t="n">
        <f aca="false">L152/L$149</f>
        <v>0.210870232139997</v>
      </c>
      <c r="M153" s="164" t="n">
        <f aca="false">M152/M$149</f>
        <v>0.216525999103163</v>
      </c>
      <c r="N153" s="164" t="n">
        <f aca="false">N152/N$149</f>
        <v>0.220928849062175</v>
      </c>
    </row>
    <row r="155" customFormat="false" ht="14.25" hidden="false" customHeight="false" outlineLevel="0" collapsed="false">
      <c r="B155" s="20" t="s">
        <v>919</v>
      </c>
      <c r="D155" s="192"/>
      <c r="E155" s="192"/>
      <c r="F155" s="121" t="n">
        <f aca="false">F136</f>
        <v>74707</v>
      </c>
      <c r="G155" s="121" t="n">
        <f aca="false">G136</f>
        <v>85399</v>
      </c>
      <c r="H155" s="121" t="n">
        <f aca="false">H136</f>
        <v>89951</v>
      </c>
      <c r="I155" s="116"/>
      <c r="J155" s="121" t="n">
        <f aca="false">J136</f>
        <v>93569.359241587</v>
      </c>
      <c r="K155" s="121" t="n">
        <f aca="false">K136</f>
        <v>92601.9568432507</v>
      </c>
      <c r="L155" s="121" t="n">
        <f aca="false">L136</f>
        <v>95831.1163490326</v>
      </c>
      <c r="M155" s="121" t="n">
        <f aca="false">M136</f>
        <v>94361.4717277722</v>
      </c>
      <c r="N155" s="121" t="n">
        <f aca="false">N136</f>
        <v>96882.5218382809</v>
      </c>
    </row>
    <row r="156" customFormat="false" ht="14.25" hidden="false" customHeight="false" outlineLevel="0" collapsed="false">
      <c r="B156" s="35" t="s">
        <v>890</v>
      </c>
      <c r="D156" s="192"/>
      <c r="E156" s="192"/>
      <c r="F156" s="164" t="n">
        <f aca="false">F155/F$149</f>
        <v>0.0337742868393439</v>
      </c>
      <c r="G156" s="164" t="n">
        <f aca="false">G155/G$149</f>
        <v>0.0382941247425542</v>
      </c>
      <c r="H156" s="164" t="n">
        <f aca="false">H155/H$149</f>
        <v>0.0386328711183952</v>
      </c>
      <c r="I156" s="164"/>
      <c r="J156" s="164" t="n">
        <f aca="false">J155/J$149</f>
        <v>0.0386275303643725</v>
      </c>
      <c r="K156" s="164" t="n">
        <f aca="false">K155/K$149</f>
        <v>0.0367671082986908</v>
      </c>
      <c r="L156" s="164" t="n">
        <f aca="false">L155/L$149</f>
        <v>0.0367671082986908</v>
      </c>
      <c r="M156" s="164" t="n">
        <f aca="false">M155/M$149</f>
        <v>0.0350809783644682</v>
      </c>
      <c r="N156" s="164" t="n">
        <f aca="false">N155/N$149</f>
        <v>0.0350809783644682</v>
      </c>
    </row>
    <row r="158" customFormat="false" ht="14.25" hidden="false" customHeight="false" outlineLevel="0" collapsed="false">
      <c r="B158" s="20" t="s">
        <v>920</v>
      </c>
      <c r="D158" s="192"/>
      <c r="E158" s="192"/>
      <c r="F158" s="263" t="n">
        <v>122560</v>
      </c>
      <c r="G158" s="263" t="n">
        <v>111819</v>
      </c>
      <c r="H158" s="263" t="n">
        <v>117390</v>
      </c>
      <c r="J158" s="96" t="n">
        <f aca="false">J152*J159</f>
        <v>118550.50681725</v>
      </c>
      <c r="K158" s="96" t="n">
        <f aca="false">K152*K159</f>
        <v>129022.52631442</v>
      </c>
      <c r="L158" s="96" t="n">
        <f aca="false">L152*L159</f>
        <v>137404.943479572</v>
      </c>
      <c r="M158" s="96" t="n">
        <f aca="false">M152*M159</f>
        <v>145603.920523743</v>
      </c>
      <c r="N158" s="96" t="n">
        <f aca="false">N152*N159</f>
        <v>152533.830596153</v>
      </c>
    </row>
    <row r="159" customFormat="false" ht="14.25" hidden="false" customHeight="false" outlineLevel="0" collapsed="false">
      <c r="B159" s="35" t="s">
        <v>921</v>
      </c>
      <c r="D159" s="192"/>
      <c r="E159" s="192"/>
      <c r="F159" s="164" t="n">
        <f aca="false">F158/F152</f>
        <v>0.256589015829549</v>
      </c>
      <c r="G159" s="164" t="n">
        <f aca="false">G158/G152</f>
        <v>0.258073822420912</v>
      </c>
      <c r="H159" s="164" t="n">
        <f aca="false">H158/H152</f>
        <v>0.267907269714771</v>
      </c>
      <c r="I159" s="164"/>
      <c r="J159" s="264" t="n">
        <f aca="false">Data!D24</f>
        <v>0.25</v>
      </c>
      <c r="K159" s="264" t="n">
        <f aca="false">J159</f>
        <v>0.25</v>
      </c>
      <c r="L159" s="264" t="n">
        <f aca="false">K159</f>
        <v>0.25</v>
      </c>
      <c r="M159" s="264" t="n">
        <f aca="false">L159</f>
        <v>0.25</v>
      </c>
      <c r="N159" s="264" t="n">
        <f aca="false">M159</f>
        <v>0.25</v>
      </c>
    </row>
    <row r="161" customFormat="false" ht="14.25" hidden="false" customHeight="false" outlineLevel="0" collapsed="false">
      <c r="B161" s="20" t="s">
        <v>922</v>
      </c>
      <c r="D161" s="192"/>
      <c r="E161" s="192"/>
      <c r="F161" s="192"/>
      <c r="G161" s="96" t="n">
        <f aca="false">G106-F106</f>
        <v>66439.0686945766</v>
      </c>
      <c r="H161" s="96" t="n">
        <f aca="false">H106-G106</f>
        <v>7207.06172704324</v>
      </c>
      <c r="J161" s="96" t="n">
        <f aca="false">J106-H106</f>
        <v>39222.7397410595</v>
      </c>
      <c r="K161" s="96" t="n">
        <f aca="false">K106-J106</f>
        <v>29207.8153582332</v>
      </c>
      <c r="L161" s="96" t="n">
        <f aca="false">L106-K106</f>
        <v>32162.0569591653</v>
      </c>
      <c r="M161" s="96" t="n">
        <f aca="false">M106-L106</f>
        <v>22755.404954009</v>
      </c>
      <c r="N161" s="96" t="n">
        <f aca="false">N106-M106</f>
        <v>21277.6839650902</v>
      </c>
    </row>
    <row r="162" customFormat="false" ht="14.25" hidden="false" customHeight="false" outlineLevel="0" collapsed="false">
      <c r="B162" s="35" t="s">
        <v>890</v>
      </c>
      <c r="D162" s="192"/>
      <c r="E162" s="192"/>
      <c r="F162" s="192"/>
      <c r="G162" s="164" t="n">
        <f aca="false">G161/G$149</f>
        <v>0.0297922222083308</v>
      </c>
      <c r="H162" s="164" t="n">
        <f aca="false">H161/H$149</f>
        <v>0.00309534620897133</v>
      </c>
      <c r="I162" s="164"/>
      <c r="J162" s="164" t="n">
        <f aca="false">J161/J$149</f>
        <v>0.0161920267767344</v>
      </c>
      <c r="K162" s="164" t="n">
        <f aca="false">K161/K$149</f>
        <v>0.0115968058025179</v>
      </c>
      <c r="L162" s="164" t="n">
        <f aca="false">L161/L$149</f>
        <v>0.0123394767417653</v>
      </c>
      <c r="M162" s="164" t="n">
        <f aca="false">M161/M$149</f>
        <v>0.00845982851103999</v>
      </c>
      <c r="N162" s="164" t="n">
        <f aca="false">N161/N$149</f>
        <v>0.00770460921807241</v>
      </c>
    </row>
    <row r="164" customFormat="false" ht="14.25" hidden="false" customHeight="false" outlineLevel="0" collapsed="false">
      <c r="B164" s="20" t="s">
        <v>917</v>
      </c>
      <c r="D164" s="192"/>
      <c r="E164" s="192"/>
      <c r="F164" s="121" t="n">
        <f aca="false">F142</f>
        <v>0.0513108575288128</v>
      </c>
      <c r="G164" s="121" t="n">
        <f aca="false">G142</f>
        <v>0.11710067930268</v>
      </c>
      <c r="H164" s="121" t="n">
        <f aca="false">H142</f>
        <v>0.0707216342532106</v>
      </c>
      <c r="I164" s="116"/>
      <c r="J164" s="121" t="n">
        <f aca="false">J142</f>
        <v>0.0674448942869996</v>
      </c>
      <c r="K164" s="121" t="n">
        <f aca="false">K142</f>
        <v>0.0583604893630013</v>
      </c>
      <c r="L164" s="121" t="n">
        <f aca="false">L142</f>
        <v>0.0583604893630013</v>
      </c>
      <c r="M164" s="121" t="n">
        <f aca="false">M142</f>
        <v>0.0501156833778117</v>
      </c>
      <c r="N164" s="121" t="n">
        <f aca="false">N142</f>
        <v>0.0445472741136104</v>
      </c>
    </row>
    <row r="165" customFormat="false" ht="14.25" hidden="false" customHeight="false" outlineLevel="0" collapsed="false">
      <c r="B165" s="35" t="s">
        <v>890</v>
      </c>
      <c r="D165" s="192"/>
      <c r="E165" s="192"/>
      <c r="F165" s="164" t="n">
        <f aca="false">F164/F$149</f>
        <v>2.31971250371563E-008</v>
      </c>
      <c r="G165" s="164" t="n">
        <f aca="false">G164/G$149</f>
        <v>5.25096080827019E-008</v>
      </c>
      <c r="H165" s="164" t="n">
        <f aca="false">H164/H$149</f>
        <v>3.03740901311444E-008</v>
      </c>
      <c r="I165" s="164"/>
      <c r="J165" s="164" t="n">
        <f aca="false">J164/J$149</f>
        <v>2.7842765229016E-008</v>
      </c>
      <c r="K165" s="164" t="n">
        <f aca="false">K164/K$149</f>
        <v>2.31717180275814E-008</v>
      </c>
      <c r="L165" s="164" t="n">
        <f aca="false">L164/L$149</f>
        <v>2.23909155452067E-008</v>
      </c>
      <c r="M165" s="164" t="n">
        <f aca="false">M164/M$149</f>
        <v>1.86316212762089E-008</v>
      </c>
      <c r="N165" s="164" t="n">
        <f aca="false">N164/N$149</f>
        <v>1.61304839069343E-008</v>
      </c>
    </row>
    <row r="167" customFormat="false" ht="14.25" hidden="false" customHeight="false" outlineLevel="0" collapsed="false">
      <c r="B167" s="197" t="s">
        <v>923</v>
      </c>
      <c r="C167" s="198"/>
      <c r="D167" s="199"/>
      <c r="E167" s="199"/>
      <c r="F167" s="199"/>
      <c r="G167" s="199" t="n">
        <f aca="false">G152+G155-G158-G161-G164</f>
        <v>340423.814204744</v>
      </c>
      <c r="H167" s="199" t="n">
        <f aca="false">H152+H155-H158-H161-H164</f>
        <v>403527.867551323</v>
      </c>
      <c r="I167" s="198"/>
      <c r="J167" s="199" t="n">
        <f aca="false">J152+J155-J158-J161-J164</f>
        <v>409998.072507383</v>
      </c>
      <c r="K167" s="199" t="n">
        <f aca="false">K152+K155-K158-K161-K164</f>
        <v>450461.662067788</v>
      </c>
      <c r="L167" s="199" t="n">
        <f aca="false">L152+L155-L158-L161-L164</f>
        <v>475883.831468093</v>
      </c>
      <c r="M167" s="199" t="n">
        <f aca="false">M152+M155-M158-M161-M164</f>
        <v>508417.77822931</v>
      </c>
      <c r="N167" s="200" t="n">
        <f aca="false">N152+N155-N158-N161-N164</f>
        <v>533206.285114376</v>
      </c>
      <c r="P167" s="77"/>
      <c r="Q167" s="77"/>
      <c r="R167" s="77"/>
      <c r="S167" s="77"/>
      <c r="T167" s="77"/>
      <c r="U167" s="77"/>
    </row>
    <row r="168" customFormat="false" ht="14.25" hidden="false" customHeight="false" outlineLevel="0" collapsed="false">
      <c r="B168" s="201" t="s">
        <v>924</v>
      </c>
      <c r="C168" s="232"/>
      <c r="D168" s="265"/>
      <c r="E168" s="265"/>
      <c r="F168" s="265"/>
      <c r="G168" s="265" t="n">
        <f aca="false">G167/G$149</f>
        <v>0.152650874208042</v>
      </c>
      <c r="H168" s="265" t="n">
        <f aca="false">H167/H$149</f>
        <v>0.173310358970896</v>
      </c>
      <c r="I168" s="265"/>
      <c r="J168" s="265" t="n">
        <f aca="false">J167/J$149</f>
        <v>0.169256401064188</v>
      </c>
      <c r="K168" s="265" t="n">
        <f aca="false">K167/K$149</f>
        <v>0.178853377166638</v>
      </c>
      <c r="L168" s="265" t="n">
        <f aca="false">L167/L$149</f>
        <v>0.182580283271008</v>
      </c>
      <c r="M168" s="265" t="n">
        <f aca="false">M167/M$149</f>
        <v>0.189015630549179</v>
      </c>
      <c r="N168" s="266" t="n">
        <f aca="false">N167/N$149</f>
        <v>0.193072989812543</v>
      </c>
    </row>
    <row r="169" customFormat="false" ht="14.25" hidden="false" customHeight="false" outlineLevel="0" collapsed="false">
      <c r="B169" s="205" t="s">
        <v>18</v>
      </c>
      <c r="C169" s="235"/>
      <c r="D169" s="236"/>
      <c r="E169" s="236"/>
      <c r="F169" s="236"/>
      <c r="G169" s="236"/>
      <c r="H169" s="236" t="n">
        <f aca="false">H167/G167-1</f>
        <v>0.185369092036038</v>
      </c>
      <c r="I169" s="236"/>
      <c r="J169" s="207" t="n">
        <f aca="false">J167/H167-1</f>
        <v>0.0160340969641646</v>
      </c>
      <c r="K169" s="207" t="n">
        <f aca="false">K167/J167-1</f>
        <v>0.0986921458263117</v>
      </c>
      <c r="L169" s="207" t="n">
        <f aca="false">L167/K167-1</f>
        <v>0.0564358113931538</v>
      </c>
      <c r="M169" s="207" t="n">
        <f aca="false">M167/L167-1</f>
        <v>0.0683653123092041</v>
      </c>
      <c r="N169" s="208" t="n">
        <f aca="false">N167/M167-1</f>
        <v>0.0487561764094855</v>
      </c>
      <c r="P169" s="143"/>
    </row>
    <row r="170" customFormat="false" ht="14.25" hidden="false" customHeight="false" outlineLevel="0" collapsed="false">
      <c r="P170" s="77"/>
    </row>
    <row r="171" customFormat="false" ht="14.25" hidden="false" customHeight="false" outlineLevel="0" collapsed="false">
      <c r="B171" s="26" t="s">
        <v>925</v>
      </c>
      <c r="C171" s="26"/>
      <c r="D171" s="267"/>
      <c r="E171" s="267"/>
      <c r="F171" s="267"/>
      <c r="G171" s="267"/>
      <c r="H171" s="267"/>
      <c r="I171" s="26"/>
      <c r="J171" s="268" t="n">
        <f aca="false">J167*(1+J172)^(-J173)</f>
        <v>391917.347235597</v>
      </c>
      <c r="K171" s="268" t="n">
        <f aca="false">K167*(1+K172)^(-K173)</f>
        <v>393455.70827306</v>
      </c>
      <c r="L171" s="268" t="n">
        <f aca="false">L167*(1+L172)^(-L173)</f>
        <v>379808.175454216</v>
      </c>
      <c r="M171" s="268" t="n">
        <f aca="false">M167*(1+M172)^(-M173)</f>
        <v>370774.135852225</v>
      </c>
      <c r="N171" s="268" t="n">
        <f aca="false">N167*(1+N172)^(-N173)</f>
        <v>355311.534789121</v>
      </c>
      <c r="P171" s="77"/>
    </row>
    <row r="172" customFormat="false" ht="14.25" hidden="false" customHeight="false" outlineLevel="0" collapsed="false">
      <c r="B172" s="183" t="s">
        <v>926</v>
      </c>
      <c r="C172" s="231"/>
      <c r="D172" s="269"/>
      <c r="E172" s="269"/>
      <c r="F172" s="269"/>
      <c r="G172" s="269"/>
      <c r="H172" s="269"/>
      <c r="I172" s="231"/>
      <c r="J172" s="270" t="n">
        <f aca="false">$D$21</f>
        <v>0.094396401340295</v>
      </c>
      <c r="K172" s="270" t="n">
        <f aca="false">$D$21</f>
        <v>0.094396401340295</v>
      </c>
      <c r="L172" s="270" t="n">
        <f aca="false">$D$21</f>
        <v>0.094396401340295</v>
      </c>
      <c r="M172" s="270" t="n">
        <f aca="false">$D$21</f>
        <v>0.094396401340295</v>
      </c>
      <c r="N172" s="271" t="n">
        <f aca="false">$D$21</f>
        <v>0.094396401340295</v>
      </c>
      <c r="P172" s="143"/>
    </row>
    <row r="173" customFormat="false" ht="14.25" hidden="false" customHeight="false" outlineLevel="0" collapsed="false">
      <c r="B173" s="272" t="s">
        <v>927</v>
      </c>
      <c r="C173" s="98"/>
      <c r="D173" s="220"/>
      <c r="E173" s="220"/>
      <c r="F173" s="220"/>
      <c r="G173" s="220"/>
      <c r="H173" s="220"/>
      <c r="I173" s="98"/>
      <c r="J173" s="273" t="n">
        <v>0.5</v>
      </c>
      <c r="K173" s="273" t="n">
        <f aca="false">J173+1</f>
        <v>1.5</v>
      </c>
      <c r="L173" s="273" t="n">
        <f aca="false">K173+1</f>
        <v>2.5</v>
      </c>
      <c r="M173" s="273" t="n">
        <f aca="false">L173+1</f>
        <v>3.5</v>
      </c>
      <c r="N173" s="274" t="n">
        <f aca="false">M173+1</f>
        <v>4.5</v>
      </c>
      <c r="P173" s="77"/>
      <c r="Q173" s="77"/>
    </row>
    <row r="175" customFormat="false" ht="14.25" hidden="false" customHeight="false" outlineLevel="0" collapsed="false">
      <c r="B175" s="20" t="s">
        <v>928</v>
      </c>
      <c r="D175" s="192"/>
      <c r="E175" s="192"/>
      <c r="F175" s="192"/>
      <c r="G175" s="192"/>
      <c r="H175" s="192"/>
      <c r="I175" s="192"/>
      <c r="J175" s="192"/>
      <c r="K175" s="192"/>
      <c r="L175" s="192"/>
      <c r="M175" s="192"/>
      <c r="N175" s="268" t="n">
        <f aca="false">(N167*(1+N176))/(N177-N176)</f>
        <v>8528465.29056202</v>
      </c>
      <c r="P175" s="96"/>
      <c r="Q175" s="96"/>
      <c r="R175" s="96"/>
      <c r="S175" s="96"/>
      <c r="T175" s="96"/>
      <c r="U175" s="96"/>
    </row>
    <row r="176" customFormat="false" ht="14.25" hidden="false" customHeight="false" outlineLevel="0" collapsed="false">
      <c r="B176" s="183" t="s">
        <v>929</v>
      </c>
      <c r="C176" s="231"/>
      <c r="D176" s="269"/>
      <c r="E176" s="269"/>
      <c r="F176" s="269"/>
      <c r="G176" s="269"/>
      <c r="H176" s="269"/>
      <c r="I176" s="269"/>
      <c r="J176" s="269"/>
      <c r="K176" s="269"/>
      <c r="L176" s="269"/>
      <c r="M176" s="269"/>
      <c r="N176" s="275" t="n">
        <f aca="false">D22</f>
        <v>0.03</v>
      </c>
    </row>
    <row r="177" customFormat="false" ht="14.25" hidden="false" customHeight="false" outlineLevel="0" collapsed="false">
      <c r="B177" s="272" t="s">
        <v>930</v>
      </c>
      <c r="C177" s="98"/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76" t="n">
        <f aca="false">$D$21</f>
        <v>0.094396401340295</v>
      </c>
    </row>
    <row r="178" customFormat="false" ht="14.25" hidden="false" customHeight="false" outlineLevel="0" collapsed="false">
      <c r="B178" s="43"/>
    </row>
    <row r="179" customFormat="false" ht="14.25" hidden="false" customHeight="false" outlineLevel="0" collapsed="false">
      <c r="B179" s="26" t="s">
        <v>931</v>
      </c>
      <c r="C179" s="26"/>
      <c r="D179" s="267"/>
      <c r="E179" s="267"/>
      <c r="F179" s="267"/>
      <c r="G179" s="267"/>
      <c r="H179" s="267"/>
      <c r="I179" s="267"/>
      <c r="J179" s="267"/>
      <c r="K179" s="267"/>
      <c r="L179" s="267"/>
      <c r="M179" s="267"/>
      <c r="N179" s="268" t="n">
        <f aca="false">N175*(1+N180)^(-N181)</f>
        <v>5683095.22295921</v>
      </c>
    </row>
    <row r="180" customFormat="false" ht="14.25" hidden="false" customHeight="false" outlineLevel="0" collapsed="false">
      <c r="B180" s="183" t="s">
        <v>926</v>
      </c>
      <c r="C180" s="231"/>
      <c r="D180" s="269"/>
      <c r="E180" s="269"/>
      <c r="F180" s="269"/>
      <c r="G180" s="269"/>
      <c r="H180" s="269"/>
      <c r="I180" s="269"/>
      <c r="J180" s="277"/>
      <c r="K180" s="277"/>
      <c r="L180" s="277"/>
      <c r="M180" s="277"/>
      <c r="N180" s="271" t="n">
        <f aca="false">$D$21</f>
        <v>0.094396401340295</v>
      </c>
    </row>
    <row r="181" customFormat="false" ht="14.25" hidden="false" customHeight="false" outlineLevel="0" collapsed="false">
      <c r="B181" s="272" t="s">
        <v>927</v>
      </c>
      <c r="C181" s="98"/>
      <c r="D181" s="220"/>
      <c r="E181" s="220"/>
      <c r="F181" s="220"/>
      <c r="G181" s="220"/>
      <c r="H181" s="220"/>
      <c r="I181" s="220"/>
      <c r="J181" s="220"/>
      <c r="K181" s="220"/>
      <c r="L181" s="220"/>
      <c r="M181" s="220"/>
      <c r="N181" s="278" t="n">
        <f aca="false">N173</f>
        <v>4.5</v>
      </c>
    </row>
    <row r="183" customFormat="false" ht="14.25" hidden="false" customHeight="false" outlineLevel="0" collapsed="false">
      <c r="A183" s="25" t="s">
        <v>10</v>
      </c>
      <c r="B183" s="22" t="s">
        <v>871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</row>
    <row r="185" customFormat="false" ht="14.25" hidden="false" customHeight="false" outlineLevel="0" collapsed="false">
      <c r="B185" s="31" t="s">
        <v>12</v>
      </c>
      <c r="C185" s="103"/>
      <c r="D185" s="32" t="s">
        <v>13</v>
      </c>
    </row>
    <row r="186" customFormat="false" ht="14.25" hidden="false" customHeight="false" outlineLevel="0" collapsed="false">
      <c r="B186" s="20" t="s">
        <v>932</v>
      </c>
      <c r="D186" s="118" t="n">
        <f aca="false">SUM(J171:N171)+N179</f>
        <v>7574362.12456343</v>
      </c>
      <c r="F186" s="77"/>
    </row>
    <row r="187" customFormat="false" ht="14.25" hidden="false" customHeight="false" outlineLevel="0" collapsed="false">
      <c r="B187" s="20" t="s">
        <v>849</v>
      </c>
      <c r="D187" s="279" t="n">
        <f aca="false">Data!D26*1000</f>
        <v>481739.008</v>
      </c>
      <c r="F187" s="77"/>
    </row>
    <row r="188" customFormat="false" ht="14.25" hidden="false" customHeight="false" outlineLevel="0" collapsed="false">
      <c r="B188" s="20" t="s">
        <v>850</v>
      </c>
      <c r="D188" s="279" t="n">
        <f aca="false">Data!D27*1000</f>
        <v>341004.992</v>
      </c>
      <c r="F188" s="77"/>
    </row>
    <row r="189" customFormat="false" ht="14.25" hidden="false" customHeight="false" outlineLevel="0" collapsed="false">
      <c r="B189" s="20" t="s">
        <v>872</v>
      </c>
      <c r="D189" s="96" t="n">
        <f aca="false">D186-D187+D188</f>
        <v>7433628.10856343</v>
      </c>
      <c r="F189" s="77"/>
    </row>
    <row r="190" customFormat="false" ht="14.25" hidden="false" customHeight="false" outlineLevel="0" collapsed="false">
      <c r="B190" s="20" t="s">
        <v>933</v>
      </c>
      <c r="D190" s="280" t="n">
        <f aca="false">Data!D30*1000</f>
        <v>41138.325</v>
      </c>
      <c r="F190" s="77"/>
    </row>
    <row r="192" customFormat="false" ht="14.25" hidden="false" customHeight="false" outlineLevel="0" collapsed="false">
      <c r="B192" s="281" t="s">
        <v>873</v>
      </c>
      <c r="C192" s="282"/>
      <c r="D192" s="283" t="n">
        <f aca="false">D189/D190</f>
        <v>180.69836602641</v>
      </c>
    </row>
    <row r="194" customFormat="false" ht="14.25" hidden="false" customHeight="false" outlineLevel="0" collapsed="false">
      <c r="A194" s="25" t="s">
        <v>10</v>
      </c>
      <c r="B194" s="22" t="s">
        <v>35</v>
      </c>
      <c r="C194" s="22"/>
      <c r="D194" s="22"/>
      <c r="E194" s="147"/>
      <c r="F194" s="22"/>
      <c r="G194" s="22"/>
      <c r="H194" s="22"/>
      <c r="I194" s="22"/>
      <c r="J194" s="22"/>
      <c r="K194" s="22"/>
      <c r="L194" s="22"/>
      <c r="M194" s="22"/>
      <c r="N194" s="2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8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A1" activeCellId="0" sqref="A1"/>
    </sheetView>
  </sheetViews>
  <sheetFormatPr defaultColWidth="14.71484375" defaultRowHeight="14.25" customHeight="false" zeroHeight="false" outlineLevelRow="0" outlineLevelCol="0"/>
  <cols>
    <col collapsed="false" customWidth="true" hidden="false" outlineLevel="0" max="1" min="1" style="19" width="7.71"/>
    <col collapsed="false" customWidth="false" hidden="false" outlineLevel="0" max="16384" min="2" style="20" width="14.71"/>
  </cols>
  <sheetData>
    <row r="1" s="22" customFormat="true" ht="14.25" hidden="false" customHeight="false" outlineLevel="0" collapsed="false">
      <c r="A1" s="21"/>
    </row>
    <row r="2" s="22" customFormat="true" ht="15" hidden="false" customHeight="false" outlineLevel="0" collapsed="false">
      <c r="A2" s="21"/>
      <c r="B2" s="23" t="s">
        <v>934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="22" customFormat="true" ht="14.25" hidden="false" customHeight="false" outlineLevel="0" collapsed="false">
      <c r="A3" s="21"/>
    </row>
    <row r="5" customFormat="false" ht="14.25" hidden="false" customHeight="false" outlineLevel="0" collapsed="false">
      <c r="A5" s="25" t="s">
        <v>10</v>
      </c>
      <c r="B5" s="22" t="s">
        <v>11</v>
      </c>
      <c r="C5" s="22"/>
      <c r="D5" s="22"/>
      <c r="E5" s="22"/>
    </row>
    <row r="7" customFormat="false" ht="14.25" hidden="false" customHeight="false" outlineLevel="0" collapsed="false">
      <c r="B7" s="26" t="s">
        <v>2</v>
      </c>
      <c r="C7" s="27" t="str">
        <f aca="false">Cover!D8</f>
        <v>Simpson Manufacturing</v>
      </c>
    </row>
    <row r="8" customFormat="false" ht="14.25" hidden="false" customHeight="false" outlineLevel="0" collapsed="false">
      <c r="B8" s="26" t="s">
        <v>3</v>
      </c>
      <c r="C8" s="27" t="str">
        <f aca="false">Cover!D9</f>
        <v>SSD</v>
      </c>
    </row>
    <row r="9" customFormat="false" ht="14.25" hidden="false" customHeight="false" outlineLevel="0" collapsed="false">
      <c r="B9" s="26" t="s">
        <v>5</v>
      </c>
      <c r="C9" s="20" t="str">
        <f aca="false">Cover!D10</f>
        <v>Industrials</v>
      </c>
    </row>
    <row r="10" customFormat="false" ht="14.25" hidden="false" customHeight="false" outlineLevel="0" collapsed="false">
      <c r="B10" s="26" t="s">
        <v>7</v>
      </c>
      <c r="C10" s="28" t="n">
        <f aca="false">Cover!D11</f>
        <v>46235</v>
      </c>
      <c r="F10" s="29"/>
      <c r="G10" s="46"/>
      <c r="H10" s="29"/>
    </row>
    <row r="11" customFormat="false" ht="14.25" hidden="false" customHeight="false" outlineLevel="0" collapsed="false">
      <c r="B11" s="26" t="s">
        <v>8</v>
      </c>
      <c r="C11" s="27" t="n">
        <f aca="false">Cover!D12</f>
        <v>187.74</v>
      </c>
      <c r="E11" s="26"/>
      <c r="F11" s="30"/>
      <c r="G11" s="80"/>
      <c r="H11" s="53"/>
    </row>
    <row r="12" customFormat="false" ht="14.25" hidden="false" customHeight="false" outlineLevel="0" collapsed="false">
      <c r="B12" s="26"/>
      <c r="C12" s="27"/>
      <c r="F12" s="29"/>
      <c r="G12" s="81"/>
    </row>
    <row r="13" customFormat="false" ht="14.25" hidden="false" customHeight="false" outlineLevel="0" collapsed="false">
      <c r="A13" s="25" t="s">
        <v>10</v>
      </c>
      <c r="B13" s="22" t="s">
        <v>935</v>
      </c>
      <c r="C13" s="22"/>
      <c r="D13" s="22"/>
      <c r="E13" s="22"/>
    </row>
    <row r="15" customFormat="false" ht="14.25" hidden="false" customHeight="false" outlineLevel="0" collapsed="false">
      <c r="B15" s="47" t="s">
        <v>46</v>
      </c>
      <c r="C15" s="48" t="s">
        <v>68</v>
      </c>
      <c r="D15" s="48" t="s">
        <v>48</v>
      </c>
      <c r="E15" s="48" t="s">
        <v>49</v>
      </c>
    </row>
    <row r="16" customFormat="false" ht="14.25" hidden="false" customHeight="false" outlineLevel="0" collapsed="false">
      <c r="B16" s="20" t="s">
        <v>878</v>
      </c>
      <c r="C16" s="284" t="n">
        <f aca="false">D16*1.05</f>
        <v>0.104332864639273</v>
      </c>
      <c r="D16" s="285" t="n">
        <f aca="false">C36</f>
        <v>0.0993646329897842</v>
      </c>
      <c r="E16" s="286" t="n">
        <f aca="false">D16*0.95</f>
        <v>0.094396401340295</v>
      </c>
    </row>
    <row r="18" customFormat="false" ht="14.25" hidden="false" customHeight="false" outlineLevel="0" collapsed="false">
      <c r="A18" s="25" t="s">
        <v>10</v>
      </c>
      <c r="B18" s="22" t="s">
        <v>936</v>
      </c>
      <c r="C18" s="22"/>
      <c r="D18" s="22"/>
      <c r="E18" s="22"/>
    </row>
    <row r="20" customFormat="false" ht="14.25" hidden="false" customHeight="false" outlineLevel="0" collapsed="false">
      <c r="B20" s="31" t="s">
        <v>12</v>
      </c>
      <c r="C20" s="32" t="s">
        <v>13</v>
      </c>
      <c r="D20" s="44"/>
      <c r="E20" s="31" t="s">
        <v>937</v>
      </c>
    </row>
    <row r="21" customFormat="false" ht="14.25" hidden="false" customHeight="false" outlineLevel="0" collapsed="false">
      <c r="B21" s="20" t="s">
        <v>848</v>
      </c>
      <c r="C21" s="287" t="n">
        <f aca="false">Data!D31</f>
        <v>7905.551872</v>
      </c>
      <c r="D21" s="44"/>
      <c r="E21" s="37" t="s">
        <v>938</v>
      </c>
    </row>
    <row r="22" customFormat="false" ht="14.25" hidden="false" customHeight="false" outlineLevel="0" collapsed="false">
      <c r="B22" s="43" t="s">
        <v>939</v>
      </c>
      <c r="C22" s="288" t="n">
        <f aca="false">C21/C25</f>
        <v>0.982509443741008</v>
      </c>
      <c r="D22" s="44"/>
      <c r="F22" s="20" t="s">
        <v>17</v>
      </c>
    </row>
    <row r="23" customFormat="false" ht="14.25" hidden="false" customHeight="false" outlineLevel="0" collapsed="false">
      <c r="B23" s="20" t="s">
        <v>940</v>
      </c>
      <c r="C23" s="287" t="n">
        <f aca="false">Data!D26-Data!D27</f>
        <v>140.734016</v>
      </c>
      <c r="D23" s="44"/>
      <c r="F23" s="20" t="s">
        <v>17</v>
      </c>
    </row>
    <row r="24" customFormat="false" ht="14.25" hidden="false" customHeight="false" outlineLevel="0" collapsed="false">
      <c r="B24" s="43" t="s">
        <v>941</v>
      </c>
      <c r="C24" s="288" t="n">
        <f aca="false">C23/C25</f>
        <v>0.0174905562589923</v>
      </c>
      <c r="D24" s="44"/>
      <c r="F24" s="20" t="s">
        <v>17</v>
      </c>
    </row>
    <row r="25" customFormat="false" ht="14.25" hidden="false" customHeight="false" outlineLevel="0" collapsed="false">
      <c r="B25" s="20" t="s">
        <v>942</v>
      </c>
      <c r="C25" s="169" t="n">
        <f aca="false">C21+C23</f>
        <v>8046.285888</v>
      </c>
      <c r="D25" s="44"/>
      <c r="F25" s="20" t="s">
        <v>17</v>
      </c>
    </row>
    <row r="26" customFormat="false" ht="14.25" hidden="false" customHeight="false" outlineLevel="0" collapsed="false">
      <c r="D26" s="44"/>
      <c r="F26" s="20" t="s">
        <v>17</v>
      </c>
    </row>
    <row r="27" customFormat="false" ht="14.25" hidden="false" customHeight="false" outlineLevel="0" collapsed="false">
      <c r="B27" s="20" t="s">
        <v>943</v>
      </c>
      <c r="C27" s="289" t="n">
        <f aca="false">Data!D34</f>
        <v>0.035</v>
      </c>
      <c r="D27" s="44"/>
      <c r="F27" s="20" t="s">
        <v>17</v>
      </c>
    </row>
    <row r="28" customFormat="false" ht="14.25" hidden="false" customHeight="false" outlineLevel="0" collapsed="false">
      <c r="B28" s="20" t="s">
        <v>944</v>
      </c>
      <c r="C28" s="289" t="n">
        <f aca="false">Data!D35</f>
        <v>0.05</v>
      </c>
      <c r="D28" s="44"/>
      <c r="F28" s="20" t="s">
        <v>945</v>
      </c>
    </row>
    <row r="29" customFormat="false" ht="14.25" hidden="false" customHeight="false" outlineLevel="0" collapsed="false">
      <c r="B29" s="20" t="s">
        <v>946</v>
      </c>
      <c r="C29" s="290" t="n">
        <f aca="false">Data!D32</f>
        <v>1.32</v>
      </c>
      <c r="D29" s="44"/>
      <c r="F29" s="20" t="s">
        <v>945</v>
      </c>
    </row>
    <row r="30" customFormat="false" ht="14.25" hidden="false" customHeight="false" outlineLevel="0" collapsed="false">
      <c r="B30" s="26" t="s">
        <v>947</v>
      </c>
      <c r="C30" s="291" t="n">
        <f aca="false">C27+C28*C29</f>
        <v>0.101</v>
      </c>
      <c r="D30" s="44"/>
      <c r="F30" s="20" t="s">
        <v>945</v>
      </c>
    </row>
    <row r="31" customFormat="false" ht="14.25" hidden="false" customHeight="false" outlineLevel="0" collapsed="false">
      <c r="C31" s="75"/>
      <c r="D31" s="44"/>
      <c r="F31" s="20" t="s">
        <v>945</v>
      </c>
    </row>
    <row r="32" customFormat="false" ht="14.25" hidden="false" customHeight="false" outlineLevel="0" collapsed="false">
      <c r="B32" s="20" t="s">
        <v>948</v>
      </c>
      <c r="C32" s="289" t="n">
        <f aca="false">Data!D23</f>
        <v>0.01</v>
      </c>
      <c r="D32" s="44"/>
      <c r="F32" s="20" t="s">
        <v>945</v>
      </c>
    </row>
    <row r="33" customFormat="false" ht="14.25" hidden="false" customHeight="false" outlineLevel="0" collapsed="false">
      <c r="B33" s="20" t="s">
        <v>949</v>
      </c>
      <c r="C33" s="289" t="n">
        <f aca="false">Data!D24</f>
        <v>0.25</v>
      </c>
      <c r="D33" s="44"/>
      <c r="F33" s="20" t="s">
        <v>945</v>
      </c>
    </row>
    <row r="34" customFormat="false" ht="14.25" hidden="false" customHeight="false" outlineLevel="0" collapsed="false">
      <c r="B34" s="26" t="s">
        <v>950</v>
      </c>
      <c r="C34" s="291" t="n">
        <f aca="false">C32*(1-C33)</f>
        <v>0.0075</v>
      </c>
      <c r="D34" s="44"/>
      <c r="F34" s="20" t="s">
        <v>945</v>
      </c>
    </row>
    <row r="35" customFormat="false" ht="14.25" hidden="false" customHeight="false" outlineLevel="0" collapsed="false">
      <c r="C35" s="75"/>
      <c r="D35" s="44"/>
      <c r="F35" s="20" t="s">
        <v>945</v>
      </c>
    </row>
    <row r="36" customFormat="false" ht="14.25" hidden="false" customHeight="false" outlineLevel="0" collapsed="false">
      <c r="B36" s="281" t="s">
        <v>951</v>
      </c>
      <c r="C36" s="292" t="n">
        <f aca="false">C22*C30+C24*C34</f>
        <v>0.0993646329897842</v>
      </c>
      <c r="D36" s="293"/>
      <c r="F36" s="20" t="s">
        <v>945</v>
      </c>
    </row>
    <row r="38" customFormat="false" ht="14.25" hidden="false" customHeight="false" outlineLevel="0" collapsed="false">
      <c r="A38" s="25" t="s">
        <v>10</v>
      </c>
      <c r="B38" s="22" t="s">
        <v>35</v>
      </c>
      <c r="C38" s="22"/>
      <c r="D38" s="22"/>
      <c r="E38" s="2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2026-10-15T00:00:23Z</dcterms:modified>
  <cp:revision>20</cp:revision>
  <dc:subject/>
  <dc:title/>
</cp:coreProperties>
</file>