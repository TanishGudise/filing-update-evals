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theme/theme1.xml" ContentType="application/vnd.openxmlformats-officedocument.theme+xml"/>
  <Override PartName="/xl/charts/colors1.xml" ContentType="application/vnd.ms-office.chartcolorstyle+xml"/>
  <Override PartName="/xl/charts/style1.xml" ContentType="application/vnd.ms-office.chartstyl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5" showHorizontalScroll="0" showVerticalScroll="0"/>
  </bookViews>
  <sheets>
    <sheet name="Cover" sheetId="1" state="visible" r:id="rId1"/>
    <sheet name="Data" sheetId="2" state="visible" r:id="rId2"/>
    <sheet name="Summary" sheetId="3" state="visible" r:id="rId3"/>
    <sheet name="TP" sheetId="4" state="visible" r:id="rId4"/>
    <sheet name="MLTP" sheetId="5" state="visible" r:id="rId5"/>
    <sheet name="DCF" sheetId="6" state="visible" r:id="rId6"/>
    <sheet name="WACC" sheetId="7" state="visible" r:id="rId7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<sst xmlns="http://schemas.openxmlformats.org/spreadsheetml/2006/main" count="952" uniqueCount="952">
  <si>
    <t xml:space="preserve">Simpson Manufacturing</t>
  </si>
  <si>
    <t xml:space="preserve">Business Valuation</t>
  </si>
  <si>
    <t>Name:</t>
  </si>
  <si>
    <t>Symbol:</t>
  </si>
  <si>
    <t>SSD</t>
  </si>
  <si>
    <t>Sector:</t>
  </si>
  <si>
    <t>Industrials</t>
  </si>
  <si>
    <t xml:space="preserve">Valuation date:</t>
  </si>
  <si>
    <t xml:space="preserve">Trading price:</t>
  </si>
  <si>
    <t>Data</t>
  </si>
  <si>
    <t>x</t>
  </si>
  <si>
    <t xml:space="preserve">Company Details</t>
  </si>
  <si>
    <t>Item</t>
  </si>
  <si>
    <t>Value</t>
  </si>
  <si>
    <t>Source</t>
  </si>
  <si>
    <t xml:space="preserve">LTM Sales (M USD)</t>
  </si>
  <si>
    <t xml:space="preserve">Yahoo Finance</t>
  </si>
  <si>
    <t xml:space="preserve"> </t>
  </si>
  <si>
    <t xml:space="preserve">% growth</t>
  </si>
  <si>
    <t xml:space="preserve">LTM EBITDA (M USD)</t>
  </si>
  <si>
    <t xml:space="preserve">% margin</t>
  </si>
  <si>
    <t xml:space="preserve">LTM Earnings (M USD)</t>
  </si>
  <si>
    <t xml:space="preserve">Interest Rate</t>
  </si>
  <si>
    <t xml:space="preserve">2025 Annual Report: Item 8.</t>
  </si>
  <si>
    <t xml:space="preserve">Tax Rate</t>
  </si>
  <si>
    <t xml:space="preserve">2025 Annual Report: Item 7. </t>
  </si>
  <si>
    <t xml:space="preserve">Total Debt (M USD)</t>
  </si>
  <si>
    <t xml:space="preserve">Total Cash (M USD)</t>
  </si>
  <si>
    <t xml:space="preserve">Share Price (USD)</t>
  </si>
  <si>
    <t xml:space="preserve">Share Count (M)</t>
  </si>
  <si>
    <t xml:space="preserve">Market Cap (M USD)</t>
  </si>
  <si>
    <t xml:space="preserve">Share Beta</t>
  </si>
  <si>
    <t xml:space="preserve">Risk Free Rate</t>
  </si>
  <si>
    <t xml:space="preserve">Kroll Recommended U.S. Equity Risk Premium and Corresponding Risk-Free Rates to be Used in Computing Cost of Capital</t>
  </si>
  <si>
    <t xml:space="preserve">Equity Risk Premium</t>
  </si>
  <si>
    <t>End</t>
  </si>
  <si>
    <t xml:space="preserve">Valuation Summary</t>
  </si>
  <si>
    <t xml:space="preserve">Implied Valuation</t>
  </si>
  <si>
    <t>Case</t>
  </si>
  <si>
    <t xml:space="preserve">Share price</t>
  </si>
  <si>
    <t>Delta</t>
  </si>
  <si>
    <t>Bull</t>
  </si>
  <si>
    <t>Base</t>
  </si>
  <si>
    <t>Bear</t>
  </si>
  <si>
    <t xml:space="preserve">Valuation summary</t>
  </si>
  <si>
    <t xml:space="preserve">Expected share price</t>
  </si>
  <si>
    <t>Method</t>
  </si>
  <si>
    <t xml:space="preserve">Bear case</t>
  </si>
  <si>
    <t xml:space="preserve">Base case</t>
  </si>
  <si>
    <t xml:space="preserve">Bull case</t>
  </si>
  <si>
    <t>Weight</t>
  </si>
  <si>
    <t xml:space="preserve">Trading price</t>
  </si>
  <si>
    <t>EV/Revenue</t>
  </si>
  <si>
    <t>EV/Ebitda</t>
  </si>
  <si>
    <t>P/Sales</t>
  </si>
  <si>
    <t>P/Earnings</t>
  </si>
  <si>
    <t>DCF</t>
  </si>
  <si>
    <t>Mean</t>
  </si>
  <si>
    <t>Meadian</t>
  </si>
  <si>
    <t xml:space="preserve">Weighted mean</t>
  </si>
  <si>
    <t xml:space="preserve">Football Field</t>
  </si>
  <si>
    <t>Start</t>
  </si>
  <si>
    <t>Length</t>
  </si>
  <si>
    <t xml:space="preserve">Chart plot params</t>
  </si>
  <si>
    <t xml:space="preserve">x min</t>
  </si>
  <si>
    <t xml:space="preserve">x max</t>
  </si>
  <si>
    <t xml:space="preserve">Historical Trading Price</t>
  </si>
  <si>
    <t xml:space="preserve">Implied Share Price</t>
  </si>
  <si>
    <t xml:space="preserve"> Bear case</t>
  </si>
  <si>
    <t xml:space="preserve">Price Statistics</t>
  </si>
  <si>
    <t>Statistic</t>
  </si>
  <si>
    <t>Switch</t>
  </si>
  <si>
    <t xml:space="preserve">Historical weeks</t>
  </si>
  <si>
    <t>Maximum</t>
  </si>
  <si>
    <t xml:space="preserve">Start date</t>
  </si>
  <si>
    <t xml:space="preserve">Third quartile</t>
  </si>
  <si>
    <t>Median</t>
  </si>
  <si>
    <t xml:space="preserve">First quartile</t>
  </si>
  <si>
    <t>Minimum</t>
  </si>
  <si>
    <t xml:space="preserve">Standard deviation</t>
  </si>
  <si>
    <t xml:space="preserve">Price Log</t>
  </si>
  <si>
    <t>Date</t>
  </si>
  <si>
    <t xml:space="preserve">Close Price</t>
  </si>
  <si>
    <t>31/07/2026</t>
  </si>
  <si>
    <t>30/07/2026</t>
  </si>
  <si>
    <t>29/07/2026</t>
  </si>
  <si>
    <t>28/07/2026</t>
  </si>
  <si>
    <t>27/07/2026</t>
  </si>
  <si>
    <t>24/07/2026</t>
  </si>
  <si>
    <t>23/07/2026</t>
  </si>
  <si>
    <t>22/07/2026</t>
  </si>
  <si>
    <t>21/07/2026</t>
  </si>
  <si>
    <t>20/07/2026</t>
  </si>
  <si>
    <t>17/07/2026</t>
  </si>
  <si>
    <t>16/07/2026</t>
  </si>
  <si>
    <t>15/07/2026</t>
  </si>
  <si>
    <t>14/07/2026</t>
  </si>
  <si>
    <t>13/07/2026</t>
  </si>
  <si>
    <t>10/07/2026</t>
  </si>
  <si>
    <t>09/07/2026</t>
  </si>
  <si>
    <t>08/07/2026</t>
  </si>
  <si>
    <t>07/07/2026</t>
  </si>
  <si>
    <t>06/07/2026</t>
  </si>
  <si>
    <t>02/07/2026</t>
  </si>
  <si>
    <t>01/07/2026</t>
  </si>
  <si>
    <t>30/06/2026</t>
  </si>
  <si>
    <t>29/06/2026</t>
  </si>
  <si>
    <t>26/06/2026</t>
  </si>
  <si>
    <t>25/06/2026</t>
  </si>
  <si>
    <t>24/06/2026</t>
  </si>
  <si>
    <t>23/06/2026</t>
  </si>
  <si>
    <t>22/06/2026</t>
  </si>
  <si>
    <t>18/06/2026</t>
  </si>
  <si>
    <t>17/06/2026</t>
  </si>
  <si>
    <t>16/06/2026</t>
  </si>
  <si>
    <t>15/06/2026</t>
  </si>
  <si>
    <t>12/06/2026</t>
  </si>
  <si>
    <t>11/06/2026</t>
  </si>
  <si>
    <t>10/06/2026</t>
  </si>
  <si>
    <t>09/06/2026</t>
  </si>
  <si>
    <t>08/06/2026</t>
  </si>
  <si>
    <t>05/06/2026</t>
  </si>
  <si>
    <t>04/06/2026</t>
  </si>
  <si>
    <t>03/06/2026</t>
  </si>
  <si>
    <t>02/06/2026</t>
  </si>
  <si>
    <t>01/06/2026</t>
  </si>
  <si>
    <t>29/05/2026</t>
  </si>
  <si>
    <t>28/05/2026</t>
  </si>
  <si>
    <t>27/05/2026</t>
  </si>
  <si>
    <t>26/05/2026</t>
  </si>
  <si>
    <t>22/05/2026</t>
  </si>
  <si>
    <t>21/05/2026</t>
  </si>
  <si>
    <t>20/05/2026</t>
  </si>
  <si>
    <t>19/05/2026</t>
  </si>
  <si>
    <t>18/05/2026</t>
  </si>
  <si>
    <t>15/05/2026</t>
  </si>
  <si>
    <t>14/05/2026</t>
  </si>
  <si>
    <t>13/05/2026</t>
  </si>
  <si>
    <t>12/05/2026</t>
  </si>
  <si>
    <t>11/05/2026</t>
  </si>
  <si>
    <t>08/05/2026</t>
  </si>
  <si>
    <t>07/05/2026</t>
  </si>
  <si>
    <t>06/05/2026</t>
  </si>
  <si>
    <t>05/05/2026</t>
  </si>
  <si>
    <t>04/05/2026</t>
  </si>
  <si>
    <t>01/05/2026</t>
  </si>
  <si>
    <t>30/04/2026</t>
  </si>
  <si>
    <t>29/04/2026</t>
  </si>
  <si>
    <t>28/04/2026</t>
  </si>
  <si>
    <t>27/04/2026</t>
  </si>
  <si>
    <t>24/04/2026</t>
  </si>
  <si>
    <t>23/04/2026</t>
  </si>
  <si>
    <t>22/04/2026</t>
  </si>
  <si>
    <t>21/04/2026</t>
  </si>
  <si>
    <t>20/04/2026</t>
  </si>
  <si>
    <t>17/04/2026</t>
  </si>
  <si>
    <t>16/04/2026</t>
  </si>
  <si>
    <t>15/04/2026</t>
  </si>
  <si>
    <t>14/04/2026</t>
  </si>
  <si>
    <t>13/04/2026</t>
  </si>
  <si>
    <t>10/04/2026</t>
  </si>
  <si>
    <t>09/04/2026</t>
  </si>
  <si>
    <t>08/04/2026</t>
  </si>
  <si>
    <t>07/04/2026</t>
  </si>
  <si>
    <t>06/04/2026</t>
  </si>
  <si>
    <t>02/04/2026</t>
  </si>
  <si>
    <t>01/04/2026</t>
  </si>
  <si>
    <t>31/03/2026</t>
  </si>
  <si>
    <t>30/03/2026</t>
  </si>
  <si>
    <t>27/03/2026</t>
  </si>
  <si>
    <t>26/03/2026</t>
  </si>
  <si>
    <t>25/03/2026</t>
  </si>
  <si>
    <t>24/03/2026</t>
  </si>
  <si>
    <t>23/03/2026</t>
  </si>
  <si>
    <t>20/03/2026</t>
  </si>
  <si>
    <t>19/03/2026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</si>
  <si>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</si>
  <si>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</si>
  <si>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</si>
  <si>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</si>
  <si>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</si>
  <si>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</si>
  <si>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</si>
  <si>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</si>
  <si>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</si>
  <si>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</si>
  <si>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</si>
  <si>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</si>
  <si>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</si>
  <si>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</si>
  <si>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</si>
  <si>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</si>
  <si>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</si>
  <si>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23/02/2026</t>
  </si>
  <si>
    <t>20/02/2026</t>
  </si>
  <si>
    <t>19/02/2026</t>
  </si>
  <si>
    <t>18/02/2026</t>
  </si>
  <si>
    <t>17/02/2026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</si>
  <si>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</si>
  <si>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</si>
  <si>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</si>
  <si>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</si>
  <si>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</si>
  <si>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</si>
  <si>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</si>
  <si>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</si>
  <si>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</si>
  <si>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</si>
  <si>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</si>
  <si>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</si>
  <si>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</si>
  <si>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</si>
  <si>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</si>
  <si>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</si>
  <si>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</si>
  <si>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</si>
  <si>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</si>
  <si>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</si>
  <si>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</si>
  <si>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</si>
  <si>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</si>
  <si>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</si>
  <si>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</si>
  <si>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</si>
  <si>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</si>
  <si>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</si>
  <si>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</si>
  <si>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02/01/2026</t>
  </si>
  <si>
    <t>31/12/2025</t>
  </si>
  <si>
    <t>30/12/2025</t>
  </si>
  <si>
    <t>29/12/2025</t>
  </si>
  <si>
    <t>26/12/2025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</si>
  <si>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</si>
  <si>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</si>
  <si>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</si>
  <si>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</si>
  <si>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</si>
  <si>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</si>
  <si>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</si>
  <si>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</si>
  <si>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</si>
  <si>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</si>
  <si>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</si>
  <si>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</si>
  <si>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</si>
  <si>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</si>
  <si>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</si>
  <si>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</si>
  <si>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</si>
  <si>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</si>
  <si>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</si>
  <si>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</si>
  <si>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</si>
  <si>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</si>
  <si>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</si>
  <si>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</si>
  <si>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</si>
  <si>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</si>
  <si>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</si>
  <si>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</si>
  <si>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</si>
  <si>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</si>
  <si>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</si>
  <si>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</si>
  <si>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</si>
  <si>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</si>
  <si>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</si>
  <si>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</si>
  <si>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</si>
  <si>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</si>
  <si>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</si>
  <si>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</si>
  <si>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</si>
  <si>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</si>
  <si>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</si>
  <si>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</si>
  <si>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</si>
  <si>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</si>
  <si>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</si>
  <si>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</si>
  <si>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</si>
  <si>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</si>
  <si>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</si>
  <si>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</si>
  <si>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</si>
  <si>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</si>
  <si>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</si>
  <si>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</si>
  <si>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</si>
  <si>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</si>
  <si>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</si>
  <si>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</si>
  <si>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</si>
  <si>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</si>
  <si>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</si>
  <si>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</si>
  <si>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</si>
  <si>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</si>
  <si>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</si>
  <si>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</si>
  <si>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</si>
  <si>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</si>
  <si>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</si>
  <si>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</si>
  <si>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</si>
  <si>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</si>
  <si>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</si>
  <si>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</si>
  <si>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</si>
  <si>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</si>
  <si>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</si>
  <si>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</si>
  <si>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02/09/2025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</si>
  <si>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</si>
  <si>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</si>
  <si>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</si>
  <si>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</si>
  <si>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</si>
  <si>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</si>
  <si>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</si>
  <si>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</si>
  <si>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</si>
  <si>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</si>
  <si>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</si>
  <si>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</si>
  <si>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</si>
  <si>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</si>
  <si>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</si>
  <si>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</si>
  <si>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</si>
  <si>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</si>
  <si>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</si>
  <si>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</si>
  <si>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</si>
  <si>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</si>
  <si>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</si>
  <si>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</si>
  <si>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</si>
  <si>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</si>
  <si>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</si>
  <si>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</si>
  <si>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</si>
  <si>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</si>
  <si>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</si>
  <si>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</si>
  <si>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</si>
  <si>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</si>
  <si>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</si>
  <si>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</si>
  <si>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</si>
  <si>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</si>
  <si>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</si>
  <si>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</si>
  <si>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</si>
  <si>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</si>
  <si>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</si>
  <si>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</si>
  <si>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</si>
  <si>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</si>
  <si>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</si>
  <si>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</si>
  <si>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</si>
  <si>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</si>
  <si>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</si>
  <si>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</si>
  <si>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</si>
  <si>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</si>
  <si>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</si>
  <si>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</si>
  <si>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</si>
  <si>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</si>
  <si>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</si>
  <si>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</si>
  <si>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</si>
  <si>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</si>
  <si>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</si>
  <si>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</si>
  <si>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</si>
  <si>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</si>
  <si>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</si>
  <si>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</si>
  <si>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</si>
  <si>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</si>
  <si>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</si>
  <si>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</si>
  <si>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</si>
  <si>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</si>
  <si>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</si>
  <si>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</si>
  <si>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</si>
  <si>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</si>
  <si>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</si>
  <si>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</si>
  <si>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</si>
  <si>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</si>
  <si>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02/05/2025</t>
  </si>
  <si>
    <t>01/05/2025</t>
  </si>
  <si>
    <t>30/04/2025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</si>
  <si>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</si>
  <si>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</si>
  <si>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</si>
  <si>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</si>
  <si>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</si>
  <si>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</si>
  <si>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</si>
  <si>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</si>
  <si>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</si>
  <si>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</si>
  <si>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</si>
  <si>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</si>
  <si>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</si>
  <si>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</si>
  <si>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</si>
  <si>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07/04/2025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</si>
  <si>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</si>
  <si>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</si>
  <si>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</si>
  <si>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</si>
  <si>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</si>
  <si>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</si>
  <si>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</si>
  <si>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</si>
  <si>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</si>
  <si>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</si>
  <si>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</si>
  <si>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</si>
  <si>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</si>
  <si>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</si>
  <si>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</si>
  <si>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</si>
  <si>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</si>
  <si>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</si>
  <si>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</si>
  <si>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</si>
  <si>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</si>
  <si>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</si>
  <si>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</si>
  <si>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</si>
  <si>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</si>
  <si>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</si>
  <si>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</si>
  <si>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</si>
  <si>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</si>
  <si>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</si>
  <si>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</si>
  <si>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</si>
  <si>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</si>
  <si>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</si>
  <si>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</si>
  <si>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</si>
  <si>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</si>
  <si>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</si>
  <si>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</si>
  <si>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</si>
  <si>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</si>
  <si>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</si>
  <si>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</si>
  <si>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</si>
  <si>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</si>
  <si>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30/01/2025</t>
  </si>
  <si>
    <t>29/01/2025</t>
  </si>
  <si>
    <t>28/01/2025</t>
  </si>
  <si>
    <t>27/01/2025</t>
  </si>
  <si>
    <t>24/01/2025</t>
  </si>
  <si>
    <t>23/01/2025</t>
  </si>
  <si>
    <t>22/01/2025</t>
  </si>
  <si>
    <t>21/01/2025</t>
  </si>
  <si>
    <t>17/01/2025</t>
  </si>
  <si>
    <t>16/01/2025</t>
  </si>
  <si>
    <t>15/01/2025</t>
  </si>
  <si>
    <t>14/01/2025</t>
  </si>
  <si>
    <t>13/01/2025</t>
  </si>
  <si>
    <t>10/01/2025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</si>
  <si>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</si>
  <si>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</si>
  <si>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</si>
  <si>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</si>
  <si>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</si>
  <si>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</si>
  <si>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</si>
  <si>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</si>
  <si>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</si>
  <si>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</si>
  <si>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</si>
  <si>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</si>
  <si>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</si>
  <si>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</si>
  <si>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</si>
  <si>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</si>
  <si>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</si>
  <si>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</si>
  <si>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</si>
  <si>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</si>
  <si>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</si>
  <si>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</si>
  <si>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</si>
  <si>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</si>
  <si>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</si>
  <si>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</si>
  <si>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</si>
  <si>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</si>
  <si>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</si>
  <si>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</si>
  <si>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</si>
  <si>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</si>
  <si>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</si>
  <si>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</si>
  <si>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</si>
  <si>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</si>
  <si>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</si>
  <si>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</si>
  <si>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</si>
  <si>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</si>
  <si>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</si>
  <si>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</si>
  <si>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</si>
  <si>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</si>
  <si>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</si>
  <si>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</si>
  <si>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</si>
  <si>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</si>
  <si>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</si>
  <si>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</si>
  <si>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</si>
  <si>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</si>
  <si>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</si>
  <si>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</si>
  <si>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</si>
  <si>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</si>
  <si>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</si>
  <si>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</si>
  <si>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</si>
  <si>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</si>
  <si>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</si>
  <si>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</si>
  <si>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</si>
  <si>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</si>
  <si>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</si>
  <si>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</si>
  <si>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</si>
  <si>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</si>
  <si>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</si>
  <si>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</si>
  <si>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</si>
  <si>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</si>
  <si>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</si>
  <si>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</si>
  <si>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</si>
  <si>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</si>
  <si>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</si>
  <si>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</si>
  <si>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</si>
  <si>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</si>
  <si>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</si>
  <si>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</si>
  <si>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</si>
  <si>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</si>
  <si>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</si>
  <si>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</si>
  <si>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</si>
  <si>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</si>
  <si>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</si>
  <si>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</si>
  <si>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</si>
  <si>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</si>
  <si>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</si>
  <si>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</si>
  <si>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</si>
  <si>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</si>
  <si>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</si>
  <si>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</si>
  <si>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</si>
  <si>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</si>
  <si>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</si>
  <si>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</si>
  <si>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</si>
  <si>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</si>
  <si>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</si>
  <si>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</si>
  <si>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</si>
  <si>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</si>
  <si>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</si>
  <si>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</si>
  <si>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</si>
  <si>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</si>
  <si>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</si>
  <si>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</si>
  <si>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</si>
  <si>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</si>
  <si>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</si>
  <si>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</si>
  <si>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</si>
  <si>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</si>
  <si>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</si>
  <si>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</si>
  <si>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</si>
  <si>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</si>
  <si>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</si>
  <si>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</si>
  <si>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</si>
  <si>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</si>
  <si>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</si>
  <si>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</si>
  <si>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</si>
  <si>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</si>
  <si>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</si>
  <si>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</si>
  <si>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</si>
  <si>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</si>
  <si>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</si>
  <si>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</si>
  <si>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</si>
  <si>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</si>
  <si>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</si>
  <si>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</si>
  <si>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</si>
  <si>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</si>
  <si>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</si>
  <si>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</si>
  <si>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</si>
  <si>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</si>
  <si>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</si>
  <si>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</si>
  <si>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</si>
  <si>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</si>
  <si>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</si>
  <si>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</si>
  <si>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</si>
  <si>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</si>
  <si>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</si>
  <si>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</si>
  <si>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</si>
  <si>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</si>
  <si>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</si>
  <si>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</si>
  <si>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</si>
  <si>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</si>
  <si>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</si>
  <si>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</si>
  <si>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</si>
  <si>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</si>
  <si>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</si>
  <si>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</si>
  <si>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</si>
  <si>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</si>
  <si>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</si>
  <si>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01/05/2024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</si>
  <si>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</si>
  <si>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</si>
  <si>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</si>
  <si>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</si>
  <si>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</si>
  <si>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</si>
  <si>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</si>
  <si>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</si>
  <si>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</si>
  <si>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</si>
  <si>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</si>
  <si>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</si>
  <si>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</si>
  <si>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</si>
  <si>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</si>
  <si>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</si>
  <si>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</si>
  <si>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</si>
  <si>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</si>
  <si>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</si>
  <si>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</si>
  <si>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</si>
  <si>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</si>
  <si>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</si>
  <si>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</si>
  <si>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</si>
  <si>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</si>
  <si>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</si>
  <si>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</si>
  <si>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</si>
  <si>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</si>
  <si>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</si>
  <si>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</si>
  <si>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</si>
  <si>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</si>
  <si>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</si>
  <si>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</si>
  <si>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</si>
  <si>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</si>
  <si>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</si>
  <si>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</si>
  <si>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</si>
  <si>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</si>
  <si>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</si>
  <si>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</si>
  <si>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</si>
  <si>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</si>
  <si>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</si>
  <si>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</si>
  <si>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</si>
  <si>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16/02/2024</t>
  </si>
  <si>
    <t>15/02/2024</t>
  </si>
  <si>
    <t>14/02/2024</t>
  </si>
  <si>
    <t>13/02/2024</t>
  </si>
  <si>
    <t>12/02/2024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</si>
  <si>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</si>
  <si>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</si>
  <si>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</si>
  <si>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</si>
  <si>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</si>
  <si>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</si>
  <si>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</si>
  <si>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</si>
  <si>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</si>
  <si>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</si>
  <si>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</si>
  <si>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</si>
  <si>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</si>
  <si>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</si>
  <si>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</si>
  <si>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</si>
  <si>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</si>
  <si>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</si>
  <si>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</si>
  <si>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</si>
  <si>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</si>
  <si>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</si>
  <si>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</si>
  <si>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</si>
  <si>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</si>
  <si>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</si>
  <si>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</si>
  <si>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</si>
  <si>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</si>
  <si>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</si>
  <si>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</si>
  <si>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</si>
  <si>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</si>
  <si>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</si>
  <si>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</si>
  <si>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</si>
  <si>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</si>
  <si>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</si>
  <si>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</si>
  <si>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</si>
  <si>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</si>
  <si>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</si>
  <si>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</si>
  <si>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</si>
  <si>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</si>
  <si>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</si>
  <si>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</si>
  <si>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</si>
  <si>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</si>
  <si>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</si>
  <si>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</si>
  <si>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</si>
  <si>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</si>
  <si>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</si>
  <si>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</si>
  <si>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</si>
  <si>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</si>
  <si>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</si>
  <si>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</si>
  <si>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</si>
  <si>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</si>
  <si>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</si>
  <si>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</si>
  <si>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</si>
  <si>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</si>
  <si>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</si>
  <si>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</si>
  <si>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</si>
  <si>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</si>
  <si>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</si>
  <si>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</si>
  <si>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</si>
  <si>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</si>
  <si>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</si>
  <si>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</si>
  <si>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</si>
  <si>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</si>
  <si>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</si>
  <si>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</si>
  <si>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</si>
  <si>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</si>
  <si>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</si>
  <si>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</si>
  <si>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</si>
  <si>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</si>
  <si>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</si>
  <si>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</si>
  <si>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</si>
  <si>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</si>
  <si>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</si>
  <si>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</si>
  <si>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</si>
  <si>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</si>
  <si>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</si>
  <si>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</si>
  <si>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</si>
  <si>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</si>
  <si>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</si>
  <si>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</si>
  <si>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</si>
  <si>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</si>
  <si>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</si>
  <si>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</si>
  <si>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</si>
  <si>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</si>
  <si>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</si>
  <si>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</si>
  <si>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</si>
  <si>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</si>
  <si>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</si>
  <si>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01/09/2023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</si>
  <si>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</si>
  <si>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</si>
  <si>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</si>
  <si>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</si>
  <si>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</si>
  <si>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</si>
  <si>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</si>
  <si>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</si>
  <si>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</si>
  <si>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</si>
  <si>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</si>
  <si>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</si>
  <si>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</si>
  <si>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</si>
  <si>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</si>
  <si>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</si>
  <si>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</si>
  <si>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</si>
  <si>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</si>
  <si>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</si>
  <si>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 xml:space="preserve">Comparable Trading Multiples</t>
  </si>
  <si>
    <t>Comparables</t>
  </si>
  <si>
    <t xml:space="preserve">Company Information</t>
  </si>
  <si>
    <t xml:space="preserve">Income data</t>
  </si>
  <si>
    <t xml:space="preserve">Market and financial position data</t>
  </si>
  <si>
    <t>Multiples</t>
  </si>
  <si>
    <t>Inclusion</t>
  </si>
  <si>
    <t>Ticker</t>
  </si>
  <si>
    <t>Name</t>
  </si>
  <si>
    <t>Sector</t>
  </si>
  <si>
    <t>Industry</t>
  </si>
  <si>
    <t>Sales</t>
  </si>
  <si>
    <t>EBITDA</t>
  </si>
  <si>
    <t>Earnings</t>
  </si>
  <si>
    <t xml:space="preserve">Share count</t>
  </si>
  <si>
    <t xml:space="preserve">Market cap</t>
  </si>
  <si>
    <t>Debt</t>
  </si>
  <si>
    <t>Cash</t>
  </si>
  <si>
    <t>EV</t>
  </si>
  <si>
    <t>EV/Sales</t>
  </si>
  <si>
    <t>EV/EBITDA</t>
  </si>
  <si>
    <t xml:space="preserve">Building Products</t>
  </si>
  <si>
    <t>AAON</t>
  </si>
  <si>
    <t>X</t>
  </si>
  <si>
    <t>FBIN</t>
  </si>
  <si>
    <t xml:space="preserve">Fortune Brands Innovations</t>
  </si>
  <si>
    <t>LPX</t>
  </si>
  <si>
    <t>Louisiana-Pacific</t>
  </si>
  <si>
    <t>OC</t>
  </si>
  <si>
    <t xml:space="preserve">Owens Corning</t>
  </si>
  <si>
    <t>TREX</t>
  </si>
  <si>
    <t>Trex</t>
  </si>
  <si>
    <t>UFPI</t>
  </si>
  <si>
    <t xml:space="preserve">UFP Industries</t>
  </si>
  <si>
    <t>WMS</t>
  </si>
  <si>
    <t xml:space="preserve">Advanced Drainage Systems</t>
  </si>
  <si>
    <t>WTS</t>
  </si>
  <si>
    <t xml:space="preserve">Watts Water Technologies</t>
  </si>
  <si>
    <t>Valuation</t>
  </si>
  <si>
    <t xml:space="preserve">Implied equity value</t>
  </si>
  <si>
    <t xml:space="preserve">Implied share price</t>
  </si>
  <si>
    <t xml:space="preserve">Discounted Cash Flow</t>
  </si>
  <si>
    <t>Switches</t>
  </si>
  <si>
    <t>Assumption</t>
  </si>
  <si>
    <t>Reference</t>
  </si>
  <si>
    <t>WACC</t>
  </si>
  <si>
    <t>TGR</t>
  </si>
  <si>
    <t xml:space="preserve">Income items</t>
  </si>
  <si>
    <t>Actuals</t>
  </si>
  <si>
    <t>Projections</t>
  </si>
  <si>
    <t>Items</t>
  </si>
  <si>
    <t xml:space="preserve">Wood products</t>
  </si>
  <si>
    <t xml:space="preserve">North America</t>
  </si>
  <si>
    <t>Europe</t>
  </si>
  <si>
    <t>Others</t>
  </si>
  <si>
    <t xml:space="preserve">Concrete products</t>
  </si>
  <si>
    <t xml:space="preserve">Cost of sales</t>
  </si>
  <si>
    <t xml:space="preserve">% of sales</t>
  </si>
  <si>
    <t xml:space="preserve">Gross Profit</t>
  </si>
  <si>
    <t xml:space="preserve">SG&amp;A Expense</t>
  </si>
  <si>
    <t xml:space="preserve">Other Expense</t>
  </si>
  <si>
    <t xml:space="preserve">Operating Income</t>
  </si>
  <si>
    <t xml:space="preserve">Capital items</t>
  </si>
  <si>
    <t xml:space="preserve">Working Assets</t>
  </si>
  <si>
    <t xml:space="preserve">Days outstanding (sales)</t>
  </si>
  <si>
    <t xml:space="preserve">Trade Receivables</t>
  </si>
  <si>
    <t>Inventories</t>
  </si>
  <si>
    <t xml:space="preserve">Other Working Assets</t>
  </si>
  <si>
    <t xml:space="preserve">Working Liabilities</t>
  </si>
  <si>
    <t xml:space="preserve">Days outstanding (cost of sales)</t>
  </si>
  <si>
    <t xml:space="preserve">Trade Payables</t>
  </si>
  <si>
    <t xml:space="preserve">Other Working Liabilities</t>
  </si>
  <si>
    <t xml:space="preserve">Net Working Capital</t>
  </si>
  <si>
    <t>Turnover</t>
  </si>
  <si>
    <t xml:space="preserve">Fixed Assets</t>
  </si>
  <si>
    <t>Tangibles</t>
  </si>
  <si>
    <t>Intangibles</t>
  </si>
  <si>
    <t xml:space="preserve">Other Fixed Assets</t>
  </si>
  <si>
    <t xml:space="preserve">Fixed Liabilities</t>
  </si>
  <si>
    <t xml:space="preserve">Fixed Capital</t>
  </si>
  <si>
    <t xml:space="preserve">Invested Capital</t>
  </si>
  <si>
    <t xml:space="preserve">Cash Items</t>
  </si>
  <si>
    <t xml:space="preserve">D&amp;A Expense</t>
  </si>
  <si>
    <t xml:space="preserve">% of fixed capital</t>
  </si>
  <si>
    <t xml:space="preserve">Capital Expenditure</t>
  </si>
  <si>
    <t xml:space="preserve">Discounted cash flow</t>
  </si>
  <si>
    <t xml:space="preserve">D&amp;A expense</t>
  </si>
  <si>
    <t>Taxes</t>
  </si>
  <si>
    <t xml:space="preserve">% tax rate</t>
  </si>
  <si>
    <t xml:space="preserve">Delta Net Working Capital</t>
  </si>
  <si>
    <t xml:space="preserve">Unlevered free cash flow</t>
  </si>
  <si>
    <t xml:space="preserve">% of revenue</t>
  </si>
  <si>
    <t xml:space="preserve">Discounted free cash flow</t>
  </si>
  <si>
    <t xml:space="preserve">Discount rate</t>
  </si>
  <si>
    <t xml:space="preserve">Discount period</t>
  </si>
  <si>
    <t xml:space="preserve">Terminal value</t>
  </si>
  <si>
    <t xml:space="preserve">Terminal growth rate</t>
  </si>
  <si>
    <t xml:space="preserve">Terminal discount rate</t>
  </si>
  <si>
    <t xml:space="preserve">Discounted terminal value</t>
  </si>
  <si>
    <t xml:space="preserve">Implied enterprise value</t>
  </si>
  <si>
    <t xml:space="preserve">Share count (K)</t>
  </si>
  <si>
    <t xml:space="preserve">Cost of capital</t>
  </si>
  <si>
    <t xml:space="preserve">Cost of Capital</t>
  </si>
  <si>
    <t xml:space="preserve">Weighted Average Cost of Capital</t>
  </si>
  <si>
    <t>Note</t>
  </si>
  <si>
    <t xml:space="preserve">WACC = % equity * cost of equity + % debt * cost of debt</t>
  </si>
  <si>
    <t xml:space="preserve">% of equity</t>
  </si>
  <si>
    <t xml:space="preserve">Net Debt</t>
  </si>
  <si>
    <t xml:space="preserve">% of debt</t>
  </si>
  <si>
    <t xml:space="preserve">Enterprise value</t>
  </si>
  <si>
    <t xml:space="preserve">Risk free rate</t>
  </si>
  <si>
    <t xml:space="preserve">Risk premium</t>
  </si>
  <si>
    <t xml:space="preserve">  </t>
  </si>
  <si>
    <t xml:space="preserve">Share beta</t>
  </si>
  <si>
    <t xml:space="preserve">Cost of equity</t>
  </si>
  <si>
    <t xml:space="preserve">Interest rate</t>
  </si>
  <si>
    <t xml:space="preserve">Tax rate</t>
  </si>
  <si>
    <t xml:space="preserve">Cost of debt</t>
  </si>
  <si>
    <t>WACC: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</si>
</sst>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dd/mm/yyyy"/>
    <numFmt numFmtId="165" formatCode="0.0%"/>
    <numFmt numFmtId="166" formatCode="0.0"/>
    <numFmt numFmtId="167" formatCode="dd/mm/yyyy;@"/>
    <numFmt numFmtId="168" formatCode="0.0&quot;x&quot;"/>
  </numFmts>
  <fonts count="30">
    <font>
      <sz val="11.000000"/>
      <color theme="1"/>
      <name val="Calibri"/>
      <scheme val="minor"/>
    </font>
    <font>
      <sz val="12.000000"/>
      <color rgb="FFE8E8E8"/>
      <name val="Liberation Sans"/>
    </font>
    <font>
      <b/>
      <sz val="20.000000"/>
      <color rgb="FFE8E8E8"/>
      <name val="Liberation Sans"/>
    </font>
    <font>
      <sz val="16.000000"/>
      <color rgb="FFE8E8E8"/>
      <name val="Liberation Sans"/>
    </font>
    <font>
      <b/>
      <sz val="12.000000"/>
      <color rgb="FFE8E8E8"/>
      <name val="Liberation Sans"/>
    </font>
    <font>
      <sz val="10.000000"/>
      <color theme="1"/>
      <name val="Liberation Sans"/>
    </font>
    <font>
      <b/>
      <sz val="10.000000"/>
      <color rgb="FFE8E8E8"/>
      <name val="Liberation Sans"/>
    </font>
    <font>
      <b/>
      <sz val="10.000000"/>
      <color theme="1"/>
      <name val="Liberation Sans"/>
    </font>
    <font>
      <b/>
      <i/>
      <sz val="10.000000"/>
      <color theme="1"/>
      <name val="Liberation Sans"/>
    </font>
    <font>
      <sz val="10.000000"/>
      <color rgb="FF0070C0"/>
      <name val="Liberation Sans"/>
    </font>
    <font>
      <i/>
      <sz val="10.000000"/>
      <color theme="1"/>
      <name val="Liberation Sans"/>
    </font>
    <font>
      <i/>
      <sz val="10.000000"/>
      <name val="Liberation Sans"/>
    </font>
    <font>
      <sz val="10.000000"/>
      <color rgb="FF7B1FA2"/>
      <name val="Liberation Sans"/>
    </font>
    <font>
      <b/>
      <sz val="10.000000"/>
      <color rgb="FF7B1FA2"/>
      <name val="Liberation Sans"/>
    </font>
    <font>
      <sz val="10.000000"/>
      <color rgb="FF388E3C"/>
      <name val="Liberation Sans"/>
    </font>
    <font>
      <b/>
      <sz val="10.000000"/>
      <color rgb="FF388E3C"/>
      <name val="Liberation Sans"/>
    </font>
    <font>
      <sz val="10.000000"/>
      <color rgb="FF1E88E5"/>
      <name val="Liberation Sans"/>
    </font>
    <font>
      <sz val="11.000000"/>
      <color theme="1"/>
      <name val="Liberation Sans"/>
    </font>
    <font>
      <sz val="10.000000"/>
      <name val="Liberation Sans"/>
    </font>
    <font>
      <b/>
      <sz val="10.000000"/>
      <name val="Liberation Sans"/>
    </font>
    <font>
      <i/>
      <sz val="10.000000"/>
      <color rgb="FF388E3C"/>
      <name val="Liberation Sans"/>
    </font>
    <font>
      <sz val="10.000000"/>
      <color indexed="2"/>
      <name val="Liberation Sans"/>
    </font>
    <font>
      <sz val="10.000000"/>
      <color rgb="FF00B050"/>
      <name val="Liberation Sans"/>
    </font>
    <font>
      <sz val="11.000000"/>
      <color rgb="FF1E88E5"/>
      <name val="Liberation Sans"/>
    </font>
    <font>
      <i/>
      <sz val="10.000000"/>
      <color rgb="FF1E88E5"/>
      <name val="Liberation Sans"/>
    </font>
    <font>
      <b/>
      <sz val="10.000000"/>
      <color indexed="2"/>
      <name val="Liberation Sans"/>
    </font>
    <font>
      <b/>
      <sz val="10.000000"/>
      <color rgb="FF1E88E5"/>
      <name val="Liberation Sans"/>
    </font>
    <font>
      <b/>
      <sz val="11.000000"/>
      <color rgb="FF1E88E5"/>
      <name val="Liberation Sans"/>
    </font>
    <font>
      <sz val="11.000000"/>
      <color rgb="FF0070C0"/>
      <name val="Liberation Sans"/>
    </font>
    <font>
      <sz val="11.000000"/>
      <color rgb="FF388E3C"/>
      <name val="Liberation Sans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151F3A"/>
        <bgColor rgb="FF151F3A"/>
      </patternFill>
    </fill>
    <fill>
      <patternFill patternType="solid">
        <fgColor rgb="FFBBDEFB"/>
        <bgColor rgb="FFBBDEFB"/>
      </patternFill>
    </fill>
    <fill>
      <patternFill patternType="solid">
        <fgColor rgb="FFFFECC7"/>
        <bgColor rgb="FFFFECC7"/>
      </patternFill>
    </fill>
    <fill>
      <patternFill patternType="solid">
        <fgColor rgb="FFE8E8E8"/>
        <bgColor rgb="FFE8E8E8"/>
      </patternFill>
    </fill>
  </fills>
  <borders count="48">
    <border>
      <left style="none"/>
      <right style="none"/>
      <top style="none"/>
      <bottom style="none"/>
      <diagonal style="none"/>
    </border>
    <border>
      <left style="thick">
        <color rgb="FFE8E8E8"/>
      </left>
      <right style="none"/>
      <top style="thick">
        <color rgb="FFE8E8E8"/>
      </top>
      <bottom style="none"/>
      <diagonal style="none"/>
    </border>
    <border>
      <left style="none"/>
      <right style="none"/>
      <top style="thick">
        <color rgb="FFE8E8E8"/>
      </top>
      <bottom style="none"/>
      <diagonal style="none"/>
    </border>
    <border>
      <left style="none"/>
      <right style="thick">
        <color rgb="FFE8E8E8"/>
      </right>
      <top style="thick">
        <color rgb="FFE8E8E8"/>
      </top>
      <bottom style="none"/>
      <diagonal style="none"/>
    </border>
    <border>
      <left style="thick">
        <color rgb="FFE8E8E8"/>
      </left>
      <right style="none"/>
      <top style="none"/>
      <bottom style="none"/>
      <diagonal style="none"/>
    </border>
    <border>
      <left style="none"/>
      <right style="none"/>
      <top style="none"/>
      <bottom style="medium">
        <color rgb="FFE8E8E8"/>
      </bottom>
      <diagonal style="none"/>
    </border>
    <border>
      <left style="none"/>
      <right style="thick">
        <color rgb="FFE8E8E8"/>
      </right>
      <top style="none"/>
      <bottom style="none"/>
      <diagonal style="none"/>
    </border>
    <border>
      <left style="thick">
        <color rgb="FFE8E8E8"/>
      </left>
      <right style="none"/>
      <top style="none"/>
      <bottom style="thick">
        <color rgb="FFE8E8E8"/>
      </bottom>
      <diagonal style="none"/>
    </border>
    <border>
      <left style="none"/>
      <right style="none"/>
      <top style="none"/>
      <bottom style="thick">
        <color rgb="FFE8E8E8"/>
      </bottom>
      <diagonal style="none"/>
    </border>
    <border>
      <left style="none"/>
      <right style="thick">
        <color rgb="FFE8E8E8"/>
      </right>
      <top style="none"/>
      <bottom style="thick">
        <color rgb="FFE8E8E8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theme="1" tint="0"/>
      </bottom>
      <diagonal style="none"/>
    </border>
    <border>
      <left style="dotted">
        <color auto="1"/>
      </left>
      <right style="none"/>
      <top style="dotted">
        <color auto="1"/>
      </top>
      <bottom style="dotted">
        <color auto="1"/>
      </bottom>
      <diagonal style="none"/>
    </border>
    <border>
      <left style="none"/>
      <right style="none"/>
      <top style="dotted">
        <color auto="1"/>
      </top>
      <bottom style="dotted">
        <color auto="1"/>
      </bottom>
      <diagonal style="none"/>
    </border>
    <border>
      <left style="none"/>
      <right style="dotted">
        <color auto="1"/>
      </right>
      <top style="dotted">
        <color auto="1"/>
      </top>
      <bottom style="dotted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dotted">
        <color auto="1"/>
      </left>
      <right style="dotted">
        <color auto="1"/>
      </right>
      <top style="none"/>
      <bottom style="dotted">
        <color auto="1"/>
      </bottom>
      <diagonal style="none"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 style="none"/>
    </border>
    <border>
      <left style="dotted">
        <color auto="1"/>
      </left>
      <right style="none"/>
      <top style="dotted">
        <color auto="1"/>
      </top>
      <bottom style="none"/>
      <diagonal style="none"/>
    </border>
    <border>
      <left style="none"/>
      <right style="none"/>
      <top style="dotted">
        <color auto="1"/>
      </top>
      <bottom style="none"/>
      <diagonal style="none"/>
    </border>
    <border>
      <left style="none"/>
      <right style="dotted">
        <color auto="1"/>
      </right>
      <top style="dotted">
        <color auto="1"/>
      </top>
      <bottom style="none"/>
      <diagonal style="none"/>
    </border>
    <border>
      <left style="dotted">
        <color auto="1"/>
      </left>
      <right style="none"/>
      <top style="none"/>
      <bottom style="none"/>
      <diagonal style="none"/>
    </border>
    <border>
      <left style="none"/>
      <right style="dotted">
        <color auto="1"/>
      </right>
      <top style="none"/>
      <bottom style="none"/>
      <diagonal style="none"/>
    </border>
    <border>
      <left style="dotted">
        <color auto="1"/>
      </left>
      <right style="none"/>
      <top style="none"/>
      <bottom style="dotted">
        <color auto="1"/>
      </bottom>
      <diagonal style="none"/>
    </border>
    <border>
      <left style="none"/>
      <right style="none"/>
      <top style="none"/>
      <bottom style="dotted">
        <color auto="1"/>
      </bottom>
      <diagonal style="none"/>
    </border>
    <border>
      <left style="none"/>
      <right style="dotted">
        <color auto="1"/>
      </right>
      <top style="none"/>
      <bottom style="dotted">
        <color auto="1"/>
      </bottom>
      <diagonal style="none"/>
    </border>
    <border>
      <left style="none"/>
      <right style="none"/>
      <top style="none"/>
      <bottom style="thin">
        <color theme="1" tint="0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dotted">
        <color auto="1"/>
      </left>
      <right style="dotted">
        <color auto="1"/>
      </right>
      <top style="none"/>
      <bottom style="none"/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none"/>
      <right style="none"/>
      <top style="thin">
        <color auto="1"/>
      </top>
      <bottom style="medium">
        <color theme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0" fillId="2" borderId="0" numFmtId="9" applyNumberFormat="1" applyFont="0" applyFill="0" applyBorder="0"/>
  </cellStyleXfs>
  <cellXfs count="306">
    <xf fontId="0" fillId="0" borderId="0" numFmtId="0" xfId="0"/>
    <xf fontId="1" fillId="3" borderId="0" numFmtId="0" xfId="0" applyFont="1" applyFill="1"/>
    <xf fontId="1" fillId="3" borderId="1" numFmtId="0" xfId="0" applyFont="1" applyFill="1" applyBorder="1"/>
    <xf fontId="1" fillId="3" borderId="2" numFmtId="0" xfId="0" applyFont="1" applyFill="1" applyBorder="1"/>
    <xf fontId="1" fillId="3" borderId="3" numFmtId="0" xfId="0" applyFont="1" applyFill="1" applyBorder="1"/>
    <xf fontId="1" fillId="3" borderId="4" numFmtId="0" xfId="0" applyFont="1" applyFill="1" applyBorder="1"/>
    <xf fontId="2" fillId="3" borderId="5" numFmtId="0" xfId="0" applyFont="1" applyFill="1" applyBorder="1"/>
    <xf fontId="1" fillId="3" borderId="5" numFmtId="0" xfId="0" applyFont="1" applyFill="1" applyBorder="1"/>
    <xf fontId="1" fillId="3" borderId="6" numFmtId="0" xfId="0" applyFont="1" applyFill="1" applyBorder="1"/>
    <xf fontId="3" fillId="3" borderId="0" numFmtId="0" xfId="0" applyFont="1" applyFill="1"/>
    <xf fontId="4" fillId="3" borderId="0" numFmtId="0" xfId="0" applyFont="1" applyFill="1"/>
    <xf fontId="1" fillId="3" borderId="0" numFmtId="0" xfId="0" applyFont="1" applyFill="1" applyAlignment="1">
      <alignment horizontal="left"/>
    </xf>
    <xf fontId="4" fillId="3" borderId="0" numFmtId="0" xfId="0" applyFont="1" applyFill="1" applyAlignment="1">
      <alignment horizontal="left"/>
    </xf>
    <xf fontId="1" fillId="3" borderId="0" numFmtId="164" xfId="0" applyNumberFormat="1" applyFont="1" applyFill="1" applyAlignment="1">
      <alignment horizontal="left"/>
    </xf>
    <xf fontId="1" fillId="3" borderId="7" numFmtId="0" xfId="0" applyFont="1" applyFill="1" applyBorder="1"/>
    <xf fontId="1" fillId="3" borderId="8" numFmtId="0" xfId="0" applyFont="1" applyFill="1" applyBorder="1"/>
    <xf fontId="1" fillId="3" borderId="9" numFmtId="0" xfId="0" applyFont="1" applyFill="1" applyBorder="1"/>
    <xf fontId="1" fillId="3" borderId="0" numFmtId="0" xfId="0" applyFont="1" applyFill="1" applyAlignment="1">
      <alignment horizontal="left" indent="1"/>
    </xf>
    <xf fontId="1" fillId="3" borderId="0" numFmtId="0" xfId="0" applyFont="1" applyFill="1" applyAlignment="1">
      <alignment horizontal="left" indent="2"/>
    </xf>
    <xf fontId="5" fillId="0" borderId="0" numFmtId="0" xfId="0" applyFont="1"/>
    <xf fontId="5" fillId="0" borderId="0" numFmtId="0" xfId="0" applyFont="1" applyAlignment="1">
      <alignment horizontal="center"/>
    </xf>
    <xf fontId="6" fillId="3" borderId="0" numFmtId="0" xfId="0" applyFont="1" applyFill="1"/>
    <xf fontId="6" fillId="3" borderId="0" numFmtId="0" xfId="0" applyFont="1" applyFill="1" applyAlignment="1">
      <alignment horizontal="center"/>
    </xf>
    <xf fontId="4" fillId="3" borderId="5" numFmtId="0" xfId="0" applyFont="1" applyFill="1" applyBorder="1"/>
    <xf fontId="6" fillId="3" borderId="5" numFmtId="0" xfId="0" applyFont="1" applyFill="1" applyBorder="1"/>
    <xf fontId="7" fillId="0" borderId="0" numFmtId="0" xfId="0" applyFont="1" applyAlignment="1">
      <alignment horizontal="center"/>
    </xf>
    <xf fontId="7" fillId="0" borderId="0" numFmtId="0" xfId="0" applyFont="1"/>
    <xf fontId="5" fillId="0" borderId="0" numFmtId="0" xfId="0" applyFont="1" applyAlignment="1">
      <alignment horizontal="left"/>
    </xf>
    <xf fontId="5" fillId="0" borderId="0" numFmtId="164" xfId="0" applyNumberFormat="1" applyFont="1" applyAlignment="1">
      <alignment horizontal="left"/>
    </xf>
    <xf fontId="5" fillId="0" borderId="0" numFmtId="2" xfId="0" applyNumberFormat="1" applyFont="1" applyAlignment="1">
      <alignment horizontal="center"/>
    </xf>
    <xf fontId="7" fillId="0" borderId="0" numFmtId="2" xfId="0" applyNumberFormat="1" applyFont="1" applyAlignment="1">
      <alignment horizontal="center"/>
    </xf>
    <xf fontId="7" fillId="0" borderId="10" numFmtId="0" xfId="0" applyFont="1" applyBorder="1"/>
    <xf fontId="7" fillId="0" borderId="10" numFmtId="0" xfId="0" applyFont="1" applyBorder="1" applyAlignment="1">
      <alignment horizontal="right"/>
    </xf>
    <xf fontId="8" fillId="0" borderId="10" numFmtId="0" xfId="0" applyFont="1" applyBorder="1" applyAlignment="1">
      <alignment horizontal="left" indent="1"/>
    </xf>
    <xf fontId="9" fillId="0" borderId="0" numFmtId="3" xfId="0" applyNumberFormat="1" applyFont="1" applyAlignment="1">
      <alignment horizontal="right"/>
    </xf>
    <xf fontId="10" fillId="0" borderId="0" numFmtId="0" xfId="0" applyFont="1" applyAlignment="1">
      <alignment horizontal="left" indent="1"/>
    </xf>
    <xf fontId="11" fillId="0" borderId="0" numFmtId="0" xfId="0" applyFont="1" applyAlignment="1">
      <alignment horizontal="left" indent="1"/>
    </xf>
    <xf fontId="10" fillId="0" borderId="0" numFmtId="0" xfId="0" applyFont="1"/>
    <xf fontId="11" fillId="0" borderId="0" numFmtId="165" xfId="0" applyNumberFormat="1" applyFont="1" applyAlignment="1">
      <alignment horizontal="right"/>
    </xf>
    <xf fontId="9" fillId="0" borderId="0" numFmtId="10" xfId="0" applyNumberFormat="1" applyFont="1" applyAlignment="1">
      <alignment horizontal="right"/>
    </xf>
    <xf fontId="9" fillId="0" borderId="0" numFmtId="165" xfId="0" applyNumberFormat="1" applyFont="1" applyAlignment="1">
      <alignment horizontal="right"/>
    </xf>
    <xf fontId="9" fillId="0" borderId="0" numFmtId="166" xfId="0" applyNumberFormat="1" applyFont="1" applyAlignment="1">
      <alignment horizontal="right"/>
    </xf>
    <xf fontId="9" fillId="0" borderId="0" numFmtId="2" xfId="0" applyNumberFormat="1" applyFont="1" applyAlignment="1">
      <alignment horizontal="right"/>
    </xf>
    <xf fontId="5" fillId="0" borderId="0" numFmtId="0" xfId="0" applyFont="1" applyAlignment="1">
      <alignment horizontal="left" indent="1"/>
    </xf>
    <xf fontId="5" fillId="0" borderId="0" numFmtId="0" xfId="0" applyFont="1" applyAlignment="1">
      <alignment indent="1"/>
    </xf>
    <xf fontId="5" fillId="0" borderId="0" numFmtId="164" xfId="0" applyNumberFormat="1" applyFont="1" applyAlignment="1">
      <alignment horizontal="left" indent="1"/>
    </xf>
    <xf fontId="5" fillId="0" borderId="0" numFmtId="9" xfId="1" applyNumberFormat="1" applyFont="1" applyAlignment="1">
      <alignment horizontal="center"/>
    </xf>
    <xf fontId="7" fillId="0" borderId="11" numFmtId="0" xfId="0" applyFont="1" applyBorder="1" applyAlignment="1">
      <alignment horizontal="left"/>
    </xf>
    <xf fontId="7" fillId="0" borderId="11" numFmtId="0" xfId="0" applyFont="1" applyBorder="1" applyAlignment="1">
      <alignment horizontal="center"/>
    </xf>
    <xf fontId="12" fillId="0" borderId="0" numFmtId="1" xfId="0" applyNumberFormat="1" applyFont="1" applyAlignment="1">
      <alignment horizontal="center"/>
    </xf>
    <xf fontId="7" fillId="4" borderId="12" numFmtId="0" xfId="0" applyFont="1" applyFill="1" applyBorder="1"/>
    <xf fontId="13" fillId="4" borderId="13" numFmtId="1" xfId="0" applyNumberFormat="1" applyFont="1" applyFill="1" applyBorder="1" applyAlignment="1">
      <alignment horizontal="center"/>
    </xf>
    <xf fontId="7" fillId="4" borderId="14" numFmtId="9" xfId="1" applyNumberFormat="1" applyFont="1" applyFill="1" applyBorder="1" applyAlignment="1">
      <alignment horizontal="center"/>
    </xf>
    <xf fontId="10" fillId="0" borderId="0" numFmtId="9" xfId="1" applyNumberFormat="1" applyFont="1" applyAlignment="1">
      <alignment horizontal="center"/>
    </xf>
    <xf fontId="10" fillId="0" borderId="15" numFmtId="0" xfId="0" applyFont="1" applyBorder="1"/>
    <xf fontId="10" fillId="0" borderId="15" numFmtId="0" xfId="0" applyFont="1" applyBorder="1" applyAlignment="1">
      <alignment horizontal="center"/>
    </xf>
    <xf fontId="7" fillId="0" borderId="10" numFmtId="0" xfId="0" applyFont="1" applyBorder="1" applyAlignment="1">
      <alignment horizontal="center"/>
    </xf>
    <xf fontId="14" fillId="0" borderId="0" numFmtId="166" xfId="0" applyNumberFormat="1" applyFont="1" applyAlignment="1">
      <alignment horizontal="center"/>
    </xf>
    <xf fontId="15" fillId="0" borderId="0" numFmtId="166" xfId="0" applyNumberFormat="1" applyFont="1" applyAlignment="1">
      <alignment horizontal="center"/>
    </xf>
    <xf fontId="16" fillId="5" borderId="16" numFmtId="9" xfId="1" applyNumberFormat="1" applyFont="1" applyFill="1" applyBorder="1" applyAlignment="1">
      <alignment horizontal="center"/>
    </xf>
    <xf fontId="16" fillId="5" borderId="17" numFmtId="9" xfId="1" applyNumberFormat="1" applyFont="1" applyFill="1" applyBorder="1" applyAlignment="1">
      <alignment horizontal="center"/>
    </xf>
    <xf fontId="5" fillId="0" borderId="0" numFmtId="166" xfId="0" applyNumberFormat="1" applyFont="1"/>
    <xf fontId="5" fillId="0" borderId="18" numFmtId="0" xfId="0" applyFont="1" applyBorder="1"/>
    <xf fontId="5" fillId="0" borderId="19" numFmtId="166" xfId="0" applyNumberFormat="1" applyFont="1" applyBorder="1" applyAlignment="1">
      <alignment horizontal="center"/>
    </xf>
    <xf fontId="7" fillId="4" borderId="19" numFmtId="166" xfId="0" applyNumberFormat="1" applyFont="1" applyFill="1" applyBorder="1" applyAlignment="1">
      <alignment horizontal="center"/>
    </xf>
    <xf fontId="5" fillId="6" borderId="20" numFmtId="0" xfId="0" applyFont="1" applyFill="1" applyBorder="1"/>
    <xf fontId="5" fillId="0" borderId="21" numFmtId="0" xfId="0" applyFont="1" applyBorder="1"/>
    <xf fontId="5" fillId="0" borderId="0" numFmtId="166" xfId="0" applyNumberFormat="1" applyFont="1" applyAlignment="1">
      <alignment horizontal="center"/>
    </xf>
    <xf fontId="7" fillId="4" borderId="0" numFmtId="166" xfId="0" applyNumberFormat="1" applyFont="1" applyFill="1" applyAlignment="1">
      <alignment horizontal="center"/>
    </xf>
    <xf fontId="5" fillId="6" borderId="22" numFmtId="0" xfId="0" applyFont="1" applyFill="1" applyBorder="1"/>
    <xf fontId="5" fillId="0" borderId="23" numFmtId="0" xfId="0" applyFont="1" applyBorder="1"/>
    <xf fontId="5" fillId="0" borderId="24" numFmtId="166" xfId="0" applyNumberFormat="1" applyFont="1" applyBorder="1" applyAlignment="1">
      <alignment horizontal="center"/>
    </xf>
    <xf fontId="7" fillId="4" borderId="24" numFmtId="166" xfId="0" applyNumberFormat="1" applyFont="1" applyFill="1" applyBorder="1" applyAlignment="1">
      <alignment horizontal="center"/>
    </xf>
    <xf fontId="5" fillId="6" borderId="25" numFmtId="0" xfId="0" applyFont="1" applyFill="1" applyBorder="1"/>
    <xf fontId="7" fillId="0" borderId="26" numFmtId="0" xfId="0" applyFont="1" applyBorder="1"/>
    <xf fontId="7" fillId="0" borderId="26" numFmtId="0" xfId="0" applyFont="1" applyBorder="1" applyAlignment="1">
      <alignment horizontal="right"/>
    </xf>
    <xf fontId="5" fillId="0" borderId="0" numFmtId="0" xfId="0" applyFont="1" applyAlignment="1">
      <alignment horizontal="right"/>
    </xf>
    <xf fontId="5" fillId="0" borderId="0" numFmtId="2" xfId="0" applyNumberFormat="1" applyFont="1"/>
    <xf fontId="5" fillId="0" borderId="0" numFmtId="1" xfId="0" applyNumberFormat="1" applyFont="1"/>
    <xf fontId="8" fillId="0" borderId="27" numFmtId="0" xfId="0" applyFont="1" applyBorder="1"/>
    <xf fontId="7" fillId="0" borderId="27" numFmtId="0" xfId="0" applyFont="1" applyBorder="1"/>
    <xf fontId="10" fillId="0" borderId="0" numFmtId="2" xfId="0" applyNumberFormat="1" applyFont="1"/>
    <xf fontId="7" fillId="0" borderId="0" numFmtId="9" xfId="1" applyNumberFormat="1" applyFont="1" applyAlignment="1">
      <alignment horizontal="center"/>
    </xf>
    <xf fontId="8" fillId="0" borderId="0" numFmtId="9" xfId="1" applyNumberFormat="1" applyFont="1" applyAlignment="1">
      <alignment horizontal="center"/>
    </xf>
    <xf fontId="5" fillId="0" borderId="0" numFmtId="1" xfId="0" applyNumberFormat="1" applyFont="1" applyAlignment="1">
      <alignment horizontal="center"/>
    </xf>
    <xf fontId="13" fillId="4" borderId="16" numFmtId="1" xfId="0" applyNumberFormat="1" applyFont="1" applyFill="1" applyBorder="1" applyAlignment="1">
      <alignment horizontal="center"/>
    </xf>
    <xf fontId="16" fillId="5" borderId="16" numFmtId="0" xfId="0" applyFont="1" applyFill="1" applyBorder="1" applyAlignment="1">
      <alignment horizontal="center"/>
    </xf>
    <xf fontId="10" fillId="0" borderId="0" numFmtId="164" xfId="0" applyNumberFormat="1" applyFont="1" applyAlignment="1">
      <alignment horizontal="center"/>
    </xf>
    <xf fontId="7" fillId="4" borderId="14" numFmtId="166" xfId="0" applyNumberFormat="1" applyFont="1" applyFill="1" applyBorder="1"/>
    <xf fontId="7" fillId="0" borderId="10" numFmtId="0" xfId="0" applyFont="1" applyBorder="1">
      <protection hidden="0" locked="1"/>
    </xf>
    <xf fontId="7" fillId="0" borderId="10" numFmtId="0" xfId="0" applyFont="1" applyBorder="1" applyAlignment="1">
      <alignment horizontal="right"/>
      <protection hidden="0" locked="1"/>
    </xf>
    <xf fontId="17" fillId="0" borderId="0" numFmtId="164" xfId="0" applyNumberFormat="1" applyFont="1">
      <protection hidden="0" locked="1"/>
    </xf>
    <xf fontId="17" fillId="0" borderId="0" numFmtId="2" xfId="0" applyNumberFormat="1" applyFont="1">
      <protection hidden="0" locked="1"/>
    </xf>
    <xf fontId="5" fillId="0" borderId="0" numFmtId="167" xfId="0" applyNumberFormat="1" applyFont="1" applyAlignment="1">
      <alignment horizontal="left"/>
    </xf>
    <xf fontId="18" fillId="0" borderId="0" numFmtId="0" xfId="0" applyFont="1"/>
    <xf fontId="19" fillId="0" borderId="0" numFmtId="0" xfId="0" applyFont="1"/>
    <xf fontId="5" fillId="0" borderId="0" numFmtId="164" xfId="0" applyNumberFormat="1" applyFont="1"/>
    <xf fontId="13" fillId="4" borderId="28" numFmtId="1" xfId="0" applyNumberFormat="1" applyFont="1" applyFill="1" applyBorder="1" applyAlignment="1">
      <alignment horizontal="center"/>
    </xf>
    <xf fontId="5" fillId="0" borderId="0" numFmtId="3" xfId="0" applyNumberFormat="1" applyFont="1"/>
    <xf fontId="5" fillId="0" borderId="0" numFmtId="0" xfId="0" applyFont="1" applyAlignment="1">
      <alignment horizontal="right" wrapText="1"/>
    </xf>
    <xf fontId="5" fillId="0" borderId="15" numFmtId="0" xfId="0" applyFont="1" applyBorder="1"/>
    <xf fontId="7" fillId="0" borderId="29" numFmtId="0" xfId="0" applyFont="1" applyBorder="1" applyAlignment="1">
      <alignment horizontal="center"/>
    </xf>
    <xf fontId="7" fillId="0" borderId="29" numFmtId="0" xfId="0" applyFont="1" applyBorder="1" applyAlignment="1">
      <alignment horizontal="left" indent="1"/>
    </xf>
    <xf fontId="7" fillId="0" borderId="29" numFmtId="0" xfId="0" applyFont="1" applyBorder="1"/>
    <xf fontId="7" fillId="0" borderId="30" numFmtId="0" xfId="0" applyFont="1" applyBorder="1" applyAlignment="1">
      <alignment horizontal="left"/>
    </xf>
    <xf fontId="7" fillId="0" borderId="29" numFmtId="0" xfId="0" applyFont="1" applyBorder="1" applyAlignment="1">
      <alignment horizontal="right"/>
    </xf>
    <xf fontId="7" fillId="0" borderId="30" numFmtId="0" xfId="0" applyFont="1" applyBorder="1" applyAlignment="1">
      <alignment horizontal="right"/>
    </xf>
    <xf fontId="7" fillId="0" borderId="30" numFmtId="0" xfId="0" applyFont="1" applyBorder="1" applyAlignment="1">
      <alignment horizontal="right" wrapText="1"/>
    </xf>
    <xf fontId="5" fillId="0" borderId="29" numFmtId="0" xfId="0" applyFont="1" applyBorder="1"/>
    <xf fontId="5" fillId="0" borderId="12" numFmtId="0" xfId="0" applyFont="1" applyBorder="1" applyAlignment="1">
      <alignment horizontal="left" indent="1"/>
    </xf>
    <xf fontId="5" fillId="0" borderId="13" numFmtId="0" xfId="0" applyFont="1" applyBorder="1" applyAlignment="1">
      <alignment horizontal="left" indent="1"/>
    </xf>
    <xf fontId="5" fillId="0" borderId="13" numFmtId="0" xfId="0" applyFont="1" applyBorder="1"/>
    <xf fontId="9" fillId="0" borderId="13" numFmtId="3" xfId="0" applyNumberFormat="1" applyFont="1" applyBorder="1"/>
    <xf fontId="14" fillId="0" borderId="13" numFmtId="3" xfId="0" applyNumberFormat="1" applyFont="1" applyBorder="1"/>
    <xf fontId="12" fillId="0" borderId="13" numFmtId="3" xfId="0" applyNumberFormat="1" applyFont="1" applyBorder="1"/>
    <xf fontId="20" fillId="0" borderId="13" numFmtId="2" xfId="1" applyNumberFormat="1" applyFont="1" applyBorder="1" applyAlignment="1">
      <alignment horizontal="right"/>
    </xf>
    <xf fontId="20" fillId="0" borderId="13" numFmtId="3" xfId="1" applyNumberFormat="1" applyFont="1" applyBorder="1" applyAlignment="1">
      <alignment horizontal="right"/>
    </xf>
    <xf fontId="18" fillId="0" borderId="13" numFmtId="3" xfId="0" applyNumberFormat="1" applyFont="1" applyBorder="1"/>
    <xf fontId="5" fillId="0" borderId="13" numFmtId="168" xfId="0" applyNumberFormat="1" applyFont="1" applyBorder="1"/>
    <xf fontId="5" fillId="0" borderId="14" numFmtId="168" xfId="0" applyNumberFormat="1" applyFont="1" applyBorder="1"/>
    <xf fontId="16" fillId="0" borderId="0" numFmtId="0" xfId="0" applyFont="1"/>
    <xf fontId="12" fillId="0" borderId="0" numFmtId="0" xfId="0" applyFont="1"/>
    <xf fontId="16" fillId="5" borderId="17" numFmtId="0" xfId="0" applyFont="1" applyFill="1" applyBorder="1" applyAlignment="1">
      <alignment horizontal="center"/>
    </xf>
    <xf fontId="18" fillId="0" borderId="0" numFmtId="3" xfId="0" applyNumberFormat="1" applyFont="1"/>
    <xf fontId="9" fillId="0" borderId="0" numFmtId="0" xfId="0" applyFont="1"/>
    <xf fontId="16" fillId="0" borderId="0" numFmtId="3" xfId="0" applyNumberFormat="1" applyFont="1"/>
    <xf fontId="12" fillId="0" borderId="0" numFmtId="3" xfId="0" applyNumberFormat="1" applyFont="1"/>
    <xf fontId="16" fillId="0" borderId="0" numFmtId="2" xfId="0" applyNumberFormat="1" applyFont="1"/>
    <xf fontId="5" fillId="0" borderId="0" numFmtId="168" xfId="0" applyNumberFormat="1" applyFont="1"/>
    <xf fontId="9" fillId="0" borderId="0" numFmtId="3" xfId="0" applyNumberFormat="1" applyFont="1"/>
    <xf fontId="21" fillId="0" borderId="0" numFmtId="168" xfId="0" applyNumberFormat="1" applyFont="1"/>
    <xf fontId="5" fillId="0" borderId="19" numFmtId="0" xfId="0" applyFont="1" applyBorder="1"/>
    <xf fontId="5" fillId="0" borderId="19" numFmtId="168" xfId="0" applyNumberFormat="1" applyFont="1" applyBorder="1"/>
    <xf fontId="5" fillId="0" borderId="19" numFmtId="3" xfId="0" applyNumberFormat="1" applyFont="1" applyBorder="1"/>
    <xf fontId="5" fillId="0" borderId="19" numFmtId="2" xfId="0" applyNumberFormat="1" applyFont="1" applyBorder="1"/>
    <xf fontId="5" fillId="0" borderId="20" numFmtId="168" xfId="0" applyNumberFormat="1" applyFont="1" applyBorder="1"/>
    <xf fontId="5" fillId="0" borderId="22" numFmtId="168" xfId="0" applyNumberFormat="1" applyFont="1" applyBorder="1"/>
    <xf fontId="5" fillId="0" borderId="24" numFmtId="0" xfId="0" applyFont="1" applyBorder="1"/>
    <xf fontId="5" fillId="0" borderId="24" numFmtId="3" xfId="0" applyNumberFormat="1" applyFont="1" applyBorder="1"/>
    <xf fontId="5" fillId="0" borderId="24" numFmtId="2" xfId="0" applyNumberFormat="1" applyFont="1" applyBorder="1"/>
    <xf fontId="5" fillId="0" borderId="24" numFmtId="168" xfId="0" applyNumberFormat="1" applyFont="1" applyBorder="1"/>
    <xf fontId="5" fillId="0" borderId="25" numFmtId="168" xfId="0" applyNumberFormat="1" applyFont="1" applyBorder="1"/>
    <xf fontId="12" fillId="0" borderId="0" numFmtId="168" xfId="0" applyNumberFormat="1" applyFont="1"/>
    <xf fontId="7" fillId="4" borderId="13" numFmtId="0" xfId="0" applyFont="1" applyFill="1" applyBorder="1"/>
    <xf fontId="13" fillId="4" borderId="13" numFmtId="168" xfId="0" applyNumberFormat="1" applyFont="1" applyFill="1" applyBorder="1"/>
    <xf fontId="7" fillId="4" borderId="13" numFmtId="168" xfId="0" applyNumberFormat="1" applyFont="1" applyFill="1" applyBorder="1"/>
    <xf fontId="7" fillId="4" borderId="13" numFmtId="3" xfId="0" applyNumberFormat="1" applyFont="1" applyFill="1" applyBorder="1"/>
    <xf fontId="7" fillId="4" borderId="13" numFmtId="166" xfId="0" applyNumberFormat="1" applyFont="1" applyFill="1" applyBorder="1"/>
    <xf fontId="5" fillId="0" borderId="0" numFmtId="9" xfId="1" applyNumberFormat="1" applyFont="1"/>
    <xf fontId="7" fillId="0" borderId="10" numFmtId="0" xfId="0" applyFont="1" applyBorder="1" applyAlignment="1">
      <alignment horizontal="left"/>
    </xf>
    <xf fontId="7" fillId="0" borderId="10" numFmtId="0" xfId="0" applyFont="1" applyBorder="1" applyAlignment="1">
      <alignment horizontal="left" indent="1"/>
    </xf>
    <xf fontId="7" fillId="0" borderId="0" numFmtId="0" xfId="0" applyFont="1" applyAlignment="1">
      <alignment horizontal="right"/>
    </xf>
    <xf fontId="20" fillId="0" borderId="0" numFmtId="10" xfId="1" applyNumberFormat="1" applyFont="1" applyAlignment="1">
      <alignment horizontal="left" indent="1"/>
    </xf>
    <xf fontId="12" fillId="0" borderId="0" numFmtId="9" xfId="0" applyNumberFormat="1" applyFont="1" applyAlignment="1">
      <alignment horizontal="left" indent="1"/>
    </xf>
    <xf fontId="6" fillId="3" borderId="0" numFmtId="0" xfId="0" applyFont="1" applyFill="1" applyAlignment="1">
      <alignment indent="1"/>
    </xf>
    <xf fontId="22" fillId="0" borderId="0" numFmtId="0" xfId="0" applyFont="1" applyAlignment="1">
      <alignment horizontal="left" indent="1"/>
    </xf>
    <xf fontId="10" fillId="0" borderId="15" numFmtId="0" xfId="0" applyFont="1" applyBorder="1" applyAlignment="1">
      <alignment indent="1"/>
    </xf>
    <xf fontId="10" fillId="0" borderId="15" numFmtId="0" xfId="0" applyFont="1" applyBorder="1" applyAlignment="1">
      <alignment horizontal="right"/>
    </xf>
    <xf fontId="7" fillId="0" borderId="31" numFmtId="0" xfId="0" applyFont="1" applyBorder="1" applyAlignment="1">
      <alignment horizontal="right"/>
    </xf>
    <xf fontId="7" fillId="0" borderId="31" numFmtId="0" xfId="0" applyFont="1" applyBorder="1" applyAlignment="1">
      <alignment horizontal="right" indent="1"/>
    </xf>
    <xf fontId="19" fillId="0" borderId="0" numFmtId="3" xfId="0" applyNumberFormat="1" applyFont="1" applyAlignment="1">
      <alignment horizontal="right"/>
    </xf>
    <xf fontId="18" fillId="0" borderId="32" numFmtId="0" xfId="0" applyFont="1" applyBorder="1" applyAlignment="1">
      <alignment horizontal="left" indent="1"/>
    </xf>
    <xf fontId="11" fillId="0" borderId="33" numFmtId="165" xfId="1" applyNumberFormat="1" applyFont="1" applyBorder="1"/>
    <xf fontId="18" fillId="0" borderId="33" numFmtId="9" xfId="1" applyNumberFormat="1" applyFont="1" applyBorder="1" applyAlignment="1">
      <alignment horizontal="right"/>
    </xf>
    <xf fontId="18" fillId="0" borderId="34" numFmtId="9" xfId="1" applyNumberFormat="1" applyFont="1" applyBorder="1" applyAlignment="1">
      <alignment horizontal="right"/>
    </xf>
    <xf fontId="5" fillId="0" borderId="35" numFmtId="0" xfId="0" applyFont="1" applyBorder="1"/>
    <xf fontId="5" fillId="0" borderId="0" numFmtId="1" xfId="0" applyNumberFormat="1" applyFont="1" applyAlignment="1">
      <alignment horizontal="right"/>
    </xf>
    <xf fontId="5" fillId="0" borderId="36" numFmtId="0" xfId="0" applyFont="1" applyBorder="1" applyAlignment="1">
      <alignment horizontal="right"/>
    </xf>
    <xf fontId="7" fillId="0" borderId="35" numFmtId="0" xfId="0" applyFont="1" applyBorder="1" applyAlignment="1">
      <alignment horizontal="left" indent="1"/>
    </xf>
    <xf fontId="19" fillId="0" borderId="0" numFmtId="4" xfId="0" applyNumberFormat="1" applyFont="1" applyAlignment="1">
      <alignment horizontal="right"/>
    </xf>
    <xf fontId="19" fillId="0" borderId="36" numFmtId="3" xfId="0" applyNumberFormat="1" applyFont="1" applyBorder="1" applyAlignment="1">
      <alignment horizontal="right"/>
    </xf>
    <xf fontId="10" fillId="0" borderId="35" numFmtId="0" xfId="0" applyFont="1" applyBorder="1" applyAlignment="1">
      <alignment horizontal="left" indent="2"/>
    </xf>
    <xf fontId="10" fillId="0" borderId="0" numFmtId="165" xfId="1" applyNumberFormat="1" applyFont="1"/>
    <xf fontId="10" fillId="0" borderId="0" numFmtId="9" xfId="1" applyNumberFormat="1" applyFont="1" applyAlignment="1">
      <alignment horizontal="right"/>
    </xf>
    <xf fontId="10" fillId="0" borderId="36" numFmtId="9" xfId="1" applyNumberFormat="1" applyFont="1" applyBorder="1" applyAlignment="1">
      <alignment horizontal="right"/>
    </xf>
    <xf fontId="5" fillId="0" borderId="35" numFmtId="0" xfId="0" applyFont="1" applyBorder="1" applyAlignment="1">
      <alignment horizontal="left" indent="3"/>
    </xf>
    <xf fontId="23" fillId="0" borderId="0" numFmtId="3" xfId="0" applyNumberFormat="1" applyFont="1" applyAlignment="1">
      <alignment horizontal="right"/>
    </xf>
    <xf fontId="5" fillId="0" borderId="0" numFmtId="3" xfId="0" applyNumberFormat="1" applyFont="1" applyAlignment="1">
      <alignment horizontal="right"/>
    </xf>
    <xf fontId="5" fillId="0" borderId="36" numFmtId="3" xfId="0" applyNumberFormat="1" applyFont="1" applyBorder="1" applyAlignment="1">
      <alignment horizontal="right"/>
    </xf>
    <xf fontId="10" fillId="0" borderId="35" numFmtId="0" xfId="0" applyFont="1" applyBorder="1" applyAlignment="1">
      <alignment horizontal="left" indent="4"/>
    </xf>
    <xf fontId="10" fillId="0" borderId="0" numFmtId="165" xfId="1" applyNumberFormat="1" applyFont="1" applyAlignment="1">
      <alignment horizontal="right"/>
    </xf>
    <xf fontId="5" fillId="0" borderId="0" numFmtId="165" xfId="0" applyNumberFormat="1" applyFont="1" applyAlignment="1">
      <alignment horizontal="right"/>
    </xf>
    <xf fontId="24" fillId="5" borderId="17" numFmtId="165" xfId="1" applyNumberFormat="1" applyFont="1" applyFill="1" applyBorder="1" applyAlignment="1">
      <alignment horizontal="right"/>
    </xf>
    <xf fontId="5" fillId="0" borderId="35" numFmtId="0" xfId="0" applyFont="1" applyBorder="1" applyAlignment="1">
      <alignment indent="3"/>
    </xf>
    <xf fontId="5" fillId="0" borderId="0" numFmtId="0" xfId="0" applyFont="1" applyAlignment="1">
      <alignment indent="3"/>
    </xf>
    <xf fontId="10" fillId="0" borderId="37" numFmtId="0" xfId="0" applyFont="1" applyBorder="1" applyAlignment="1">
      <alignment horizontal="left" indent="4"/>
    </xf>
    <xf fontId="10" fillId="0" borderId="15" numFmtId="0" xfId="0" applyFont="1" applyBorder="1" applyAlignment="1">
      <alignment indent="3"/>
    </xf>
    <xf fontId="10" fillId="0" borderId="15" numFmtId="165" xfId="1" applyNumberFormat="1" applyFont="1" applyBorder="1" applyAlignment="1">
      <alignment horizontal="right"/>
    </xf>
    <xf fontId="5" fillId="0" borderId="15" numFmtId="165" xfId="0" applyNumberFormat="1" applyFont="1" applyBorder="1" applyAlignment="1">
      <alignment horizontal="right"/>
    </xf>
    <xf fontId="19" fillId="6" borderId="0" numFmtId="3" xfId="0" applyNumberFormat="1" applyFont="1" applyFill="1"/>
    <xf fontId="19" fillId="0" borderId="0" numFmtId="3" xfId="0" applyNumberFormat="1" applyFont="1"/>
    <xf fontId="5" fillId="0" borderId="32" numFmtId="0" xfId="0" applyFont="1" applyBorder="1" applyAlignment="1">
      <alignment horizontal="left" indent="1"/>
    </xf>
    <xf fontId="10" fillId="0" borderId="33" numFmtId="165" xfId="1" applyNumberFormat="1" applyFont="1" applyBorder="1"/>
    <xf fontId="5" fillId="6" borderId="33" numFmtId="165" xfId="1" applyNumberFormat="1" applyFont="1" applyFill="1" applyBorder="1"/>
    <xf fontId="5" fillId="0" borderId="33" numFmtId="9" xfId="1" applyNumberFormat="1" applyFont="1" applyBorder="1"/>
    <xf fontId="5" fillId="0" borderId="34" numFmtId="9" xfId="1" applyNumberFormat="1" applyFont="1" applyBorder="1"/>
    <xf fontId="5" fillId="0" borderId="36" numFmtId="0" xfId="0" applyFont="1" applyBorder="1"/>
    <xf fontId="5" fillId="0" borderId="35" numFmtId="0" xfId="0" applyFont="1" applyBorder="1" applyAlignment="1">
      <alignment horizontal="left" indent="2"/>
    </xf>
    <xf fontId="5" fillId="0" borderId="0" numFmtId="165" xfId="1" applyNumberFormat="1" applyFont="1"/>
    <xf fontId="21" fillId="6" borderId="0" numFmtId="3" xfId="0" applyNumberFormat="1" applyFont="1" applyFill="1" applyAlignment="1">
      <alignment horizontal="right"/>
    </xf>
    <xf fontId="5" fillId="6" borderId="0" numFmtId="0" xfId="0" applyFont="1" applyFill="1"/>
    <xf fontId="10" fillId="0" borderId="35" numFmtId="0" xfId="0" applyFont="1" applyBorder="1" applyAlignment="1">
      <alignment horizontal="left" indent="3"/>
    </xf>
    <xf fontId="10" fillId="6" borderId="0" numFmtId="165" xfId="1" applyNumberFormat="1" applyFont="1" applyFill="1" applyAlignment="1">
      <alignment horizontal="right"/>
    </xf>
    <xf fontId="10" fillId="0" borderId="37" numFmtId="0" xfId="0" applyFont="1" applyBorder="1" applyAlignment="1">
      <alignment horizontal="left" indent="3"/>
    </xf>
    <xf fontId="10" fillId="6" borderId="15" numFmtId="165" xfId="1" applyNumberFormat="1" applyFont="1" applyFill="1" applyBorder="1" applyAlignment="1">
      <alignment horizontal="right"/>
    </xf>
    <xf fontId="7" fillId="4" borderId="32" numFmtId="0" xfId="0" applyFont="1" applyFill="1" applyBorder="1"/>
    <xf fontId="7" fillId="4" borderId="33" numFmtId="0" xfId="0" applyFont="1" applyFill="1" applyBorder="1"/>
    <xf fontId="7" fillId="4" borderId="33" numFmtId="3" xfId="0" applyNumberFormat="1" applyFont="1" applyFill="1" applyBorder="1"/>
    <xf fontId="7" fillId="4" borderId="34" numFmtId="3" xfId="0" applyNumberFormat="1" applyFont="1" applyFill="1" applyBorder="1"/>
    <xf fontId="10" fillId="4" borderId="35" numFmtId="0" xfId="0" applyFont="1" applyFill="1" applyBorder="1" applyAlignment="1">
      <alignment horizontal="left" indent="1"/>
    </xf>
    <xf fontId="10" fillId="4" borderId="0" numFmtId="0" xfId="0" applyFont="1" applyFill="1"/>
    <xf fontId="10" fillId="4" borderId="0" numFmtId="9" xfId="1" applyNumberFormat="1" applyFont="1" applyFill="1"/>
    <xf fontId="10" fillId="4" borderId="36" numFmtId="9" xfId="1" applyNumberFormat="1" applyFont="1" applyFill="1" applyBorder="1"/>
    <xf fontId="10" fillId="4" borderId="37" numFmtId="0" xfId="0" applyFont="1" applyFill="1" applyBorder="1" applyAlignment="1">
      <alignment horizontal="left" indent="1"/>
    </xf>
    <xf fontId="10" fillId="4" borderId="15" numFmtId="0" xfId="0" applyFont="1" applyFill="1" applyBorder="1"/>
    <xf fontId="10" fillId="4" borderId="15" numFmtId="9" xfId="1" applyNumberFormat="1" applyFont="1" applyFill="1" applyBorder="1"/>
    <xf fontId="10" fillId="4" borderId="38" numFmtId="9" xfId="1" applyNumberFormat="1" applyFont="1" applyFill="1" applyBorder="1"/>
    <xf fontId="7" fillId="0" borderId="15" numFmtId="0" xfId="0" applyFont="1" applyBorder="1"/>
    <xf fontId="19" fillId="6" borderId="15" numFmtId="3" xfId="0" applyNumberFormat="1" applyFont="1" applyFill="1" applyBorder="1"/>
    <xf fontId="19" fillId="0" borderId="15" numFmtId="3" xfId="0" applyNumberFormat="1" applyFont="1" applyBorder="1"/>
    <xf fontId="16" fillId="0" borderId="0" numFmtId="3" xfId="0" applyNumberFormat="1" applyFont="1" applyAlignment="1">
      <alignment horizontal="right"/>
    </xf>
    <xf fontId="5" fillId="0" borderId="0" numFmtId="0" xfId="0" applyFont="1" applyAlignment="1">
      <alignment indent="2"/>
    </xf>
    <xf fontId="7" fillId="0" borderId="15" numFmtId="0" xfId="0" applyFont="1" applyBorder="1" applyAlignment="1">
      <alignment horizontal="left"/>
    </xf>
    <xf fontId="25" fillId="6" borderId="15" numFmtId="3" xfId="0" applyNumberFormat="1" applyFont="1" applyFill="1" applyBorder="1"/>
    <xf fontId="26" fillId="0" borderId="15" numFmtId="3" xfId="0" applyNumberFormat="1" applyFont="1" applyBorder="1"/>
    <xf fontId="5" fillId="0" borderId="39" numFmtId="0" xfId="0" applyFont="1" applyBorder="1" applyAlignment="1">
      <alignment horizontal="left" indent="1"/>
    </xf>
    <xf fontId="10" fillId="0" borderId="40" numFmtId="165" xfId="1" applyNumberFormat="1" applyFont="1" applyBorder="1"/>
    <xf fontId="5" fillId="6" borderId="40" numFmtId="165" xfId="1" applyNumberFormat="1" applyFont="1" applyFill="1" applyBorder="1"/>
    <xf fontId="5" fillId="0" borderId="40" numFmtId="165" xfId="1" applyNumberFormat="1" applyFont="1" applyBorder="1"/>
    <xf fontId="5" fillId="6" borderId="15" numFmtId="0" xfId="0" applyFont="1" applyFill="1" applyBorder="1"/>
    <xf fontId="5" fillId="0" borderId="0" numFmtId="1" xfId="1" applyNumberFormat="1" applyFont="1"/>
    <xf fontId="5" fillId="0" borderId="34" numFmtId="1" xfId="1" applyNumberFormat="1" applyFont="1" applyBorder="1"/>
    <xf fontId="5" fillId="0" borderId="35" numFmtId="0" xfId="0" applyFont="1" applyBorder="1" applyAlignment="1">
      <alignment indent="2"/>
    </xf>
    <xf fontId="10" fillId="0" borderId="0" numFmtId="166" xfId="1" applyNumberFormat="1" applyFont="1" applyAlignment="1">
      <alignment horizontal="right"/>
    </xf>
    <xf fontId="5" fillId="0" borderId="0" numFmtId="166" xfId="0" applyNumberFormat="1" applyFont="1" applyAlignment="1">
      <alignment horizontal="right"/>
    </xf>
    <xf fontId="24" fillId="5" borderId="17" numFmtId="166" xfId="1" applyNumberFormat="1" applyFont="1" applyFill="1" applyBorder="1" applyAlignment="1">
      <alignment horizontal="right"/>
    </xf>
    <xf fontId="5" fillId="0" borderId="0" numFmtId="10" xfId="0" applyNumberFormat="1" applyFont="1"/>
    <xf fontId="10" fillId="0" borderId="15" numFmtId="166" xfId="1" applyNumberFormat="1" applyFont="1" applyBorder="1" applyAlignment="1">
      <alignment horizontal="right"/>
    </xf>
    <xf fontId="5" fillId="0" borderId="15" numFmtId="166" xfId="0" applyNumberFormat="1" applyFont="1" applyBorder="1" applyAlignment="1">
      <alignment horizontal="right"/>
    </xf>
    <xf fontId="5" fillId="0" borderId="33" numFmtId="1" xfId="1" applyNumberFormat="1" applyFont="1" applyBorder="1"/>
    <xf fontId="5" fillId="0" borderId="33" numFmtId="0" xfId="0" applyFont="1" applyBorder="1"/>
    <xf fontId="5" fillId="4" borderId="0" numFmtId="0" xfId="0" applyFont="1" applyFill="1"/>
    <xf fontId="10" fillId="4" borderId="0" numFmtId="2" xfId="1" applyNumberFormat="1" applyFont="1" applyFill="1"/>
    <xf fontId="10" fillId="4" borderId="36" numFmtId="2" xfId="1" applyNumberFormat="1" applyFont="1" applyFill="1" applyBorder="1"/>
    <xf fontId="5" fillId="4" borderId="15" numFmtId="0" xfId="0" applyFont="1" applyFill="1" applyBorder="1"/>
    <xf fontId="10" fillId="4" borderId="15" numFmtId="165" xfId="1" applyNumberFormat="1" applyFont="1" applyFill="1" applyBorder="1"/>
    <xf fontId="10" fillId="4" borderId="38" numFmtId="165" xfId="1" applyNumberFormat="1" applyFont="1" applyFill="1" applyBorder="1"/>
    <xf fontId="5" fillId="0" borderId="0" numFmtId="166" xfId="1" applyNumberFormat="1" applyFont="1"/>
    <xf fontId="5" fillId="0" borderId="15" numFmtId="166" xfId="1" applyNumberFormat="1" applyFont="1" applyBorder="1"/>
    <xf fontId="26" fillId="6" borderId="15" numFmtId="3" xfId="0" applyNumberFormat="1" applyFont="1" applyFill="1" applyBorder="1"/>
    <xf fontId="7" fillId="0" borderId="0" numFmtId="3" xfId="0" applyNumberFormat="1" applyFont="1" applyAlignment="1">
      <alignment horizontal="right"/>
    </xf>
    <xf fontId="7" fillId="0" borderId="36" numFmtId="3" xfId="0" applyNumberFormat="1" applyFont="1" applyBorder="1" applyAlignment="1">
      <alignment horizontal="right"/>
    </xf>
    <xf fontId="5" fillId="6" borderId="40" numFmtId="166" xfId="1" applyNumberFormat="1" applyFont="1" applyFill="1" applyBorder="1"/>
    <xf fontId="5" fillId="0" borderId="40" numFmtId="166" xfId="1" applyNumberFormat="1" applyFont="1" applyBorder="1"/>
    <xf fontId="7" fillId="4" borderId="32" numFmtId="0" xfId="0" applyFont="1" applyFill="1" applyBorder="1" applyAlignment="1">
      <alignment horizontal="left"/>
    </xf>
    <xf fontId="7" fillId="0" borderId="0" numFmtId="0" xfId="0" applyFont="1" applyAlignment="1">
      <alignment horizontal="left"/>
    </xf>
    <xf fontId="7" fillId="0" borderId="0" numFmtId="165" xfId="1" applyNumberFormat="1" applyFont="1"/>
    <xf fontId="26" fillId="6" borderId="0" numFmtId="3" xfId="0" applyNumberFormat="1" applyFont="1" applyFill="1" applyAlignment="1">
      <alignment horizontal="right"/>
    </xf>
    <xf fontId="27" fillId="0" borderId="0" numFmtId="3" xfId="0" applyNumberFormat="1" applyFont="1" applyAlignment="1">
      <alignment horizontal="right"/>
    </xf>
    <xf fontId="8" fillId="0" borderId="0" numFmtId="165" xfId="1" applyNumberFormat="1" applyFont="1" applyAlignment="1">
      <alignment horizontal="right"/>
    </xf>
    <xf fontId="10" fillId="0" borderId="41" numFmtId="0" xfId="0" applyFont="1" applyBorder="1" applyAlignment="1">
      <alignment horizontal="left" indent="1"/>
    </xf>
    <xf fontId="10" fillId="0" borderId="42" numFmtId="0" xfId="0" applyFont="1" applyBorder="1"/>
    <xf fontId="10" fillId="6" borderId="42" numFmtId="165" xfId="1" applyNumberFormat="1" applyFont="1" applyFill="1" applyBorder="1"/>
    <xf fontId="10" fillId="0" borderId="42" numFmtId="165" xfId="1" applyNumberFormat="1" applyFont="1" applyBorder="1"/>
    <xf fontId="10" fillId="0" borderId="42" numFmtId="165" xfId="0" applyNumberFormat="1" applyFont="1" applyBorder="1" applyAlignment="1">
      <alignment horizontal="right"/>
    </xf>
    <xf fontId="10" fillId="0" borderId="43" numFmtId="0" xfId="0" applyFont="1" applyBorder="1" applyAlignment="1">
      <alignment horizontal="left" indent="1"/>
    </xf>
    <xf fontId="10" fillId="0" borderId="27" numFmtId="0" xfId="0" applyFont="1" applyBorder="1"/>
    <xf fontId="10" fillId="6" borderId="27" numFmtId="165" xfId="1" applyNumberFormat="1" applyFont="1" applyFill="1" applyBorder="1"/>
    <xf fontId="10" fillId="0" borderId="27" numFmtId="165" xfId="1" applyNumberFormat="1" applyFont="1" applyBorder="1"/>
    <xf fontId="10" fillId="0" borderId="27" numFmtId="165" xfId="0" applyNumberFormat="1" applyFont="1" applyBorder="1"/>
    <xf fontId="10" fillId="0" borderId="44" numFmtId="165" xfId="1" applyNumberFormat="1" applyFont="1" applyBorder="1"/>
    <xf fontId="10" fillId="0" borderId="0" numFmtId="3" xfId="0" applyNumberFormat="1" applyFont="1"/>
    <xf fontId="13" fillId="0" borderId="0" numFmtId="3" xfId="0" applyNumberFormat="1" applyFont="1"/>
    <xf fontId="13" fillId="0" borderId="0" numFmtId="0" xfId="0" applyFont="1"/>
    <xf fontId="28" fillId="0" borderId="0" numFmtId="3" xfId="0" applyNumberFormat="1" applyFont="1"/>
    <xf fontId="24" fillId="5" borderId="17" numFmtId="9" xfId="1" applyNumberFormat="1" applyFont="1" applyFill="1" applyBorder="1" applyAlignment="1">
      <alignment horizontal="right"/>
    </xf>
    <xf fontId="10" fillId="4" borderId="0" numFmtId="165" xfId="1" applyNumberFormat="1" applyFont="1" applyFill="1"/>
    <xf fontId="10" fillId="4" borderId="36" numFmtId="165" xfId="1" applyNumberFormat="1" applyFont="1" applyFill="1" applyBorder="1"/>
    <xf fontId="7" fillId="6" borderId="0" numFmtId="0" xfId="0" applyFont="1" applyFill="1"/>
    <xf fontId="7" fillId="0" borderId="0" numFmtId="3" xfId="0" applyNumberFormat="1" applyFont="1"/>
    <xf fontId="5" fillId="6" borderId="33" numFmtId="0" xfId="0" applyFont="1" applyFill="1" applyBorder="1"/>
    <xf fontId="12" fillId="0" borderId="33" numFmtId="10" xfId="0" applyNumberFormat="1" applyFont="1" applyBorder="1"/>
    <xf fontId="12" fillId="0" borderId="34" numFmtId="10" xfId="0" applyNumberFormat="1" applyFont="1" applyBorder="1"/>
    <xf fontId="5" fillId="0" borderId="37" numFmtId="0" xfId="0" applyFont="1" applyBorder="1" applyAlignment="1">
      <alignment horizontal="left" indent="1"/>
    </xf>
    <xf fontId="16" fillId="0" borderId="15" numFmtId="0" xfId="0" applyFont="1" applyBorder="1"/>
    <xf fontId="16" fillId="0" borderId="38" numFmtId="0" xfId="0" applyFont="1" applyBorder="1"/>
    <xf fontId="12" fillId="0" borderId="34" numFmtId="9" xfId="0" applyNumberFormat="1" applyFont="1" applyBorder="1"/>
    <xf fontId="12" fillId="0" borderId="38" numFmtId="10" xfId="0" applyNumberFormat="1" applyFont="1" applyBorder="1"/>
    <xf fontId="5" fillId="6" borderId="33" numFmtId="10" xfId="0" applyNumberFormat="1" applyFont="1" applyFill="1" applyBorder="1"/>
    <xf fontId="12" fillId="0" borderId="38" numFmtId="0" xfId="0" applyFont="1" applyBorder="1"/>
    <xf fontId="5" fillId="0" borderId="10" numFmtId="0" xfId="0" applyFont="1" applyBorder="1"/>
    <xf fontId="29" fillId="0" borderId="0" numFmtId="3" xfId="0" applyNumberFormat="1" applyFont="1"/>
    <xf fontId="14" fillId="0" borderId="0" numFmtId="3" xfId="0" applyNumberFormat="1" applyFont="1"/>
    <xf fontId="7" fillId="4" borderId="39" numFmtId="0" xfId="0" applyFont="1" applyFill="1" applyBorder="1"/>
    <xf fontId="7" fillId="4" borderId="40" numFmtId="0" xfId="0" applyFont="1" applyFill="1" applyBorder="1"/>
    <xf fontId="7" fillId="4" borderId="45" numFmtId="1" xfId="0" applyNumberFormat="1" applyFont="1" applyFill="1" applyBorder="1"/>
    <xf fontId="5" fillId="0" borderId="46" numFmtId="165" xfId="1" applyNumberFormat="1" applyFont="1" applyBorder="1" applyAlignment="1">
      <alignment horizontal="center"/>
    </xf>
    <xf fontId="13" fillId="4" borderId="47" numFmtId="165" xfId="1" applyNumberFormat="1" applyFont="1" applyFill="1" applyBorder="1" applyAlignment="1">
      <alignment horizontal="center"/>
    </xf>
    <xf fontId="5" fillId="0" borderId="0" numFmtId="165" xfId="1" applyNumberFormat="1" applyFont="1" applyAlignment="1">
      <alignment horizontal="center"/>
    </xf>
    <xf fontId="14" fillId="0" borderId="0" numFmtId="3" xfId="0" applyNumberFormat="1" applyFont="1" applyAlignment="1">
      <alignment horizontal="right"/>
    </xf>
    <xf fontId="5" fillId="0" borderId="0" numFmtId="9" xfId="1" applyNumberFormat="1" applyFont="1" applyAlignment="1">
      <alignment horizontal="right"/>
    </xf>
    <xf fontId="14" fillId="0" borderId="0" numFmtId="165" xfId="0" applyNumberFormat="1" applyFont="1" applyAlignment="1">
      <alignment horizontal="right"/>
    </xf>
    <xf fontId="14" fillId="0" borderId="0" numFmtId="2" xfId="0" applyNumberFormat="1" applyFont="1" applyAlignment="1">
      <alignment horizontal="right"/>
    </xf>
    <xf fontId="7" fillId="0" borderId="0" numFmtId="10" xfId="1" applyNumberFormat="1" applyFont="1" applyAlignment="1">
      <alignment horizontal="right"/>
    </xf>
    <xf fontId="7" fillId="4" borderId="40" numFmtId="165" xfId="1" applyNumberFormat="1" applyFont="1" applyFill="1" applyBorder="1" applyAlignment="1">
      <alignment horizontal="right"/>
    </xf>
    <xf fontId="5" fillId="0" borderId="35" numFmtId="0" xfId="0" applyFont="1" applyBorder="1" applyAlignment="1">
      <alignment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barChart>
        <c:barDir val="bar"/>
        <c:grouping val="stacked"/>
        <c:varyColors val="0"/>
        <c:ser>
          <c:idx val="0"/>
          <c:order val="0"/>
          <c:tx>
            <c:strRef>
              <c:f>Summary!$C$37</c:f>
              <c:strCache>
                <c:ptCount val="1"/>
                <c:pt idx="0">
                  <c:v>Start</c:v>
                </c:pt>
              </c:strCache>
            </c:strRef>
          </c:tx>
          <c:spPr bwMode="auto">
            <a:prstGeom prst="rect">
              <a:avLst/>
            </a:prstGeom>
            <a:noFill/>
            <a:ln>
              <a:noFill/>
            </a:ln>
          </c:spPr>
          <c:invertIfNegative val="0"/>
          <c:cat>
            <c:strRef>
              <c:f>Summary!$B$38:$B$43</c:f>
              <c:strCache>
                <c:ptCount val="6"/>
                <c:pt idx="0">
                  <c:v>Trading price</c:v>
                </c:pt>
                <c:pt idx="1">
                  <c:v>EV/Revenue</c:v>
                </c:pt>
                <c:pt idx="2">
                  <c:v>EV/Ebitda</c:v>
                </c:pt>
                <c:pt idx="3">
                  <c:v>P/Sales</c:v>
                </c:pt>
                <c:pt idx="4">
                  <c:v>P/Earnings</c:v>
                </c:pt>
                <c:pt idx="5">
                  <c:v>DCF</c:v>
                </c:pt>
              </c:strCache>
            </c:strRef>
          </c:cat>
          <c:val>
            <c:numRef>
              <c:f>Summary!$C$38:$C$43</c:f>
              <c:numCache>
                <c:formatCode>0.00</c:formatCode>
                <c:ptCount val="6"/>
                <c:pt idx="0">
                  <c:v>172.6450035095215</c:v>
                </c:pt>
                <c:pt idx="1">
                  <c:v>114.09997715836141</c:v>
                </c:pt>
                <c:pt idx="2">
                  <c:v>188.86262074272327</c:v>
                </c:pt>
                <c:pt idx="3">
                  <c:v>112.67099796468285</c:v>
                </c:pt>
                <c:pt idx="4">
                  <c:v>212.95768145905814</c:v>
                </c:pt>
                <c:pt idx="5">
                  <c:v>198.2600604461396</c:v>
                </c:pt>
              </c:numCache>
            </c:numRef>
          </c:val>
        </c:ser>
        <c:ser>
          <c:idx val="1"/>
          <c:order val="1"/>
          <c:tx>
            <c:strRef>
              <c:f>Summary!$D$37</c:f>
              <c:strCache>
                <c:ptCount val="1"/>
                <c:pt idx="0">
                  <c:v>Length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76200">
              <a:solidFill>
                <a:schemeClr val="accent2"/>
              </a:solidFill>
              <a:prstDash val="solid"/>
            </a:ln>
          </c:spPr>
          <c:invertIfNegative val="0"/>
          <c:cat>
            <c:strRef>
              <c:f>Summary!$B$38:$B$43</c:f>
              <c:strCache>
                <c:ptCount val="6"/>
                <c:pt idx="0">
                  <c:v>Trading price</c:v>
                </c:pt>
                <c:pt idx="1">
                  <c:v>EV/Revenue</c:v>
                </c:pt>
                <c:pt idx="2">
                  <c:v>EV/Ebitda</c:v>
                </c:pt>
                <c:pt idx="3">
                  <c:v>P/Sales</c:v>
                </c:pt>
                <c:pt idx="4">
                  <c:v>P/Earnings</c:v>
                </c:pt>
                <c:pt idx="5">
                  <c:v>DCF</c:v>
                </c:pt>
              </c:strCache>
            </c:strRef>
          </c:cat>
          <c:val>
            <c:numRef>
              <c:f>Summary!$D$38:$D$43</c:f>
              <c:numCache>
                <c:formatCode>0.00</c:formatCode>
                <c:ptCount val="6"/>
                <c:pt idx="0">
                  <c:v>18.17315826416018</c:v>
                </c:pt>
                <c:pt idx="1">
                  <c:v>12.010523911406466</c:v>
                </c:pt>
                <c:pt idx="2">
                  <c:v>19.880275867655087</c:v>
                </c:pt>
                <c:pt idx="3">
                  <c:v>11.860105048913994</c:v>
                </c:pt>
                <c:pt idx="4">
                  <c:v>22.41659804832193</c:v>
                </c:pt>
                <c:pt idx="5">
                  <c:v>20.869480046962053</c:v>
                </c:pt>
              </c:numCache>
            </c:numRef>
          </c:val>
        </c:ser>
        <c:ser>
          <c:idx val="2"/>
          <c:order val="2"/>
          <c:tx>
            <c:strRef>
              <c:f>Summary!$E$37</c:f>
              <c:strCache>
                <c:ptCount val="1"/>
                <c:pt idx="0">
                  <c:v>End</c:v>
                </c:pt>
              </c:strCache>
            </c:strRef>
          </c:tx>
          <c:spPr bwMode="auto">
            <a:prstGeom prst="rect">
              <a:avLst/>
            </a:prstGeom>
            <a:noFill/>
            <a:ln w="28575" cap="rnd">
              <a:noFill/>
              <a:round/>
            </a:ln>
          </c:spPr>
          <c:cat>
            <c:strRef>
              <c:f>Summary!$B$38:$B$43</c:f>
              <c:strCache>
                <c:ptCount val="6"/>
                <c:pt idx="0">
                  <c:v>Trading price</c:v>
                </c:pt>
                <c:pt idx="1">
                  <c:v>EV/Revenue</c:v>
                </c:pt>
                <c:pt idx="2">
                  <c:v>EV/Ebitda</c:v>
                </c:pt>
                <c:pt idx="3">
                  <c:v>P/Sales</c:v>
                </c:pt>
                <c:pt idx="4">
                  <c:v>P/Earnings</c:v>
                </c:pt>
                <c:pt idx="5">
                  <c:v>DCF</c:v>
                </c:pt>
              </c:strCache>
            </c:strRef>
          </c:cat>
          <c:val>
            <c:numRef>
              <c:f>Summary!$E$38:$E$43</c:f>
              <c:numCache>
                <c:formatCode>0.00</c:formatCode>
                <c:ptCount val="6"/>
                <c:pt idx="0">
                  <c:v>190.81816177368168</c:v>
                </c:pt>
                <c:pt idx="1">
                  <c:v>126.11050106976788</c:v>
                </c:pt>
                <c:pt idx="2">
                  <c:v>208.74289661037835</c:v>
                </c:pt>
                <c:pt idx="3">
                  <c:v>124.53110301359685</c:v>
                </c:pt>
                <c:pt idx="4">
                  <c:v>235.37427950738007</c:v>
                </c:pt>
                <c:pt idx="5">
                  <c:v>219.12954049310164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50"/>
        <c:overlap val="100"/>
        <c:axId val="1998337827"/>
        <c:axId val="1998337828"/>
      </c:barChart>
      <c:catAx>
        <c:axId val="19983378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998337828"/>
        <c:crosses val="autoZero"/>
        <c:auto val="1"/>
        <c:lblAlgn val="ctr"/>
        <c:lblOffset val="100"/>
        <c:tickMarkSkip val="1"/>
        <c:noMultiLvlLbl val="0"/>
      </c:catAx>
      <c:valAx>
        <c:axId val="1998337828"/>
        <c:scaling>
          <c:orientation val="minMax"/>
          <c:max val="250.000000"/>
          <c:min val="100.000000"/>
        </c:scaling>
        <c:delete val="0"/>
        <c:axPos val="t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low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99833782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>
      <a:off x="495030" y="6290335"/>
      <a:ext cx="4914862" cy="285361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495030</xdr:colOff>
      <xdr:row>35</xdr:row>
      <xdr:rowOff>100816</xdr:rowOff>
    </xdr:from>
    <xdr:to>
      <xdr:col>5</xdr:col>
      <xdr:colOff>972975</xdr:colOff>
      <xdr:row>51</xdr:row>
      <xdr:rowOff>128108</xdr:rowOff>
    </xdr:to>
    <xdr:graphicFrame>
      <xdr:nvGraphicFramePr>
        <xdr:cNvPr id="527739732" name=""/>
        <xdr:cNvGraphicFramePr>
          <a:graphicFrameLocks xmlns:a="http://schemas.openxmlformats.org/drawingml/2006/main"/>
        </xdr:cNvGraphicFramePr>
      </xdr:nvGraphicFramePr>
      <xdr:xfrm rot="0">
        <a:off x="495030" y="6290335"/>
        <a:ext cx="4914862" cy="285361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cols>
    <col customWidth="1" min="1" max="2" style="1" width="10.7109375"/>
    <col customWidth="1" min="3" max="4" style="1" width="20.7109375"/>
    <col customWidth="1" min="5" max="16384" style="1" width="10.7109375"/>
  </cols>
  <sheetData>
    <row r="4" ht="14.25">
      <c r="B4" s="2"/>
      <c r="C4" s="3"/>
      <c r="D4" s="3"/>
      <c r="E4" s="3"/>
      <c r="F4" s="4"/>
    </row>
    <row r="5" ht="26.25">
      <c r="B5" s="5"/>
      <c r="C5" s="6" t="s">
        <v>0</v>
      </c>
      <c r="D5" s="7"/>
      <c r="E5" s="7"/>
      <c r="F5" s="8"/>
    </row>
    <row r="6" ht="21">
      <c r="B6" s="5"/>
      <c r="C6" s="9" t="s">
        <v>1</v>
      </c>
      <c r="D6" s="1"/>
      <c r="E6" s="1"/>
      <c r="F6" s="8"/>
    </row>
    <row r="7" ht="14.25">
      <c r="B7" s="5"/>
      <c r="C7" s="1"/>
      <c r="D7" s="1"/>
      <c r="E7" s="1"/>
      <c r="F7" s="8"/>
    </row>
    <row r="8" ht="16.5">
      <c r="B8" s="5"/>
      <c r="C8" s="10" t="s">
        <v>2</v>
      </c>
      <c r="D8" s="11" t="s">
        <v>0</v>
      </c>
      <c r="E8" s="1"/>
      <c r="F8" s="8"/>
    </row>
    <row r="9" ht="16.5">
      <c r="B9" s="5"/>
      <c r="C9" s="12" t="s">
        <v>3</v>
      </c>
      <c r="D9" s="11" t="s">
        <v>4</v>
      </c>
      <c r="E9" s="1"/>
      <c r="F9" s="8"/>
    </row>
    <row r="10" ht="16.5">
      <c r="B10" s="5"/>
      <c r="C10" s="12" t="s">
        <v>5</v>
      </c>
      <c r="D10" s="11" t="s">
        <v>6</v>
      </c>
      <c r="E10" s="1"/>
      <c r="F10" s="8"/>
    </row>
    <row r="11" ht="16.5">
      <c r="B11" s="5"/>
      <c r="C11" s="12" t="s">
        <v>7</v>
      </c>
      <c r="D11" s="13">
        <v>46235</v>
      </c>
      <c r="E11" s="1"/>
      <c r="F11" s="8"/>
    </row>
    <row r="12" ht="16.5">
      <c r="B12" s="5"/>
      <c r="C12" s="12" t="s">
        <v>8</v>
      </c>
      <c r="D12" s="11">
        <v>187.74000000000001</v>
      </c>
      <c r="E12" s="1"/>
      <c r="F12" s="8"/>
    </row>
    <row r="13" ht="16.5">
      <c r="B13" s="14"/>
      <c r="C13" s="15"/>
      <c r="D13" s="15"/>
      <c r="E13" s="15"/>
      <c r="F13" s="16"/>
    </row>
    <row r="14" ht="16.5">
      <c r="C14" s="17"/>
      <c r="D14" s="1"/>
      <c r="E14" s="1"/>
      <c r="F14" s="1"/>
    </row>
    <row r="15" ht="16.5">
      <c r="C15" s="17"/>
      <c r="D15" s="1"/>
      <c r="E15" s="1"/>
      <c r="F15" s="1"/>
    </row>
    <row r="16" ht="16.5">
      <c r="C16" s="17"/>
      <c r="D16" s="1"/>
      <c r="E16" s="1"/>
      <c r="F16" s="1"/>
    </row>
    <row r="17" ht="16.5">
      <c r="C17" s="17"/>
      <c r="D17" s="1"/>
      <c r="E17" s="1"/>
      <c r="F17" s="1"/>
    </row>
    <row r="18" ht="14.25">
      <c r="C18" s="17"/>
      <c r="D18" s="1"/>
      <c r="E18" s="1"/>
      <c r="F18" s="1"/>
    </row>
    <row r="19" ht="14.25">
      <c r="C19" s="18"/>
      <c r="D19" s="1"/>
      <c r="E19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6" zoomScale="100" workbookViewId="0">
      <selection activeCell="A1" activeCellId="0" sqref="A1"/>
    </sheetView>
  </sheetViews>
  <sheetFormatPr defaultRowHeight="14.25"/>
  <cols>
    <col customWidth="1" min="1" max="1" style="20" width="7.7109375"/>
    <col customWidth="1" min="2" max="16384" style="19" width="14.7109375"/>
  </cols>
  <sheetData>
    <row r="1" s="21" customFormat="1" ht="15">
      <c r="A1" s="22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="21" customFormat="1" ht="15">
      <c r="A2" s="22"/>
      <c r="B2" s="23" t="s">
        <v>9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1"/>
      <c r="V2" s="21"/>
    </row>
    <row r="3" s="21" customFormat="1" ht="15">
      <c r="A3" s="22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5" ht="14.25">
      <c r="A5" s="25" t="s">
        <v>10</v>
      </c>
      <c r="B5" s="21" t="s">
        <v>11</v>
      </c>
      <c r="C5" s="21"/>
      <c r="D5" s="21"/>
      <c r="E5" s="21"/>
      <c r="F5" s="21"/>
      <c r="G5" s="19"/>
      <c r="H5" s="19"/>
      <c r="I5" s="19"/>
      <c r="J5" s="19"/>
      <c r="K5" s="19"/>
      <c r="L5" s="19"/>
    </row>
    <row r="6" ht="14.25">
      <c r="A6" s="20"/>
      <c r="B6" s="19"/>
      <c r="C6" s="19"/>
      <c r="D6" s="19"/>
    </row>
    <row r="7" ht="14.25">
      <c r="A7" s="20"/>
      <c r="B7" s="26" t="s">
        <v>2</v>
      </c>
      <c r="C7" s="27" t="str">
        <f>Cover!D8</f>
        <v xml:space="preserve">Simpson Manufacturing</v>
      </c>
      <c r="D7" s="19"/>
      <c r="E7" s="19"/>
    </row>
    <row r="8" ht="14.25">
      <c r="A8" s="20"/>
      <c r="B8" s="26" t="s">
        <v>3</v>
      </c>
      <c r="C8" s="27" t="str">
        <f>Cover!D9</f>
        <v>SSD</v>
      </c>
      <c r="D8" s="19"/>
    </row>
    <row r="9" ht="14.25">
      <c r="A9" s="20"/>
      <c r="B9" s="26" t="s">
        <v>5</v>
      </c>
      <c r="C9" s="19" t="str">
        <f>Cover!D10</f>
        <v>Industrials</v>
      </c>
      <c r="D9" s="19"/>
      <c r="F9" s="19"/>
      <c r="G9" s="19"/>
      <c r="H9" s="19"/>
    </row>
    <row r="10" ht="14.25">
      <c r="A10" s="20"/>
      <c r="B10" s="26" t="s">
        <v>7</v>
      </c>
      <c r="C10" s="28">
        <f>Cover!D11</f>
        <v>46235</v>
      </c>
      <c r="D10" s="19"/>
      <c r="F10" s="29"/>
      <c r="G10" s="19"/>
      <c r="H10" s="19"/>
    </row>
    <row r="11" ht="14.25">
      <c r="B11" s="26" t="s">
        <v>8</v>
      </c>
      <c r="C11" s="27">
        <f>Cover!D12</f>
        <v>187.74000000000001</v>
      </c>
      <c r="D11" s="19"/>
      <c r="E11" s="26"/>
      <c r="F11" s="30"/>
      <c r="G11" s="19"/>
      <c r="H11" s="19"/>
    </row>
    <row r="12" ht="14.25">
      <c r="B12" s="19"/>
      <c r="C12" s="19"/>
      <c r="D12" s="19"/>
      <c r="E12" s="19"/>
      <c r="F12" s="19"/>
      <c r="G12" s="19"/>
      <c r="I12" s="19"/>
    </row>
    <row r="13" ht="14.25">
      <c r="A13" s="25" t="s">
        <v>10</v>
      </c>
      <c r="B13" s="21" t="s">
        <v>9</v>
      </c>
      <c r="C13" s="21"/>
      <c r="D13" s="21"/>
      <c r="E13" s="21"/>
      <c r="F13" s="21"/>
      <c r="G13" s="19"/>
      <c r="H13" s="19"/>
      <c r="I13" s="19"/>
    </row>
    <row r="14" ht="14.25">
      <c r="C14" s="19"/>
      <c r="D14" s="19"/>
      <c r="F14" s="19"/>
      <c r="I14" s="19"/>
    </row>
    <row r="15" ht="14.25">
      <c r="B15" s="31" t="s">
        <v>12</v>
      </c>
      <c r="C15" s="31"/>
      <c r="D15" s="32" t="s">
        <v>13</v>
      </c>
      <c r="E15" s="33" t="s">
        <v>14</v>
      </c>
      <c r="F15" s="33"/>
      <c r="I15" s="19"/>
    </row>
    <row r="16" ht="14.25">
      <c r="B16" s="19" t="s">
        <v>15</v>
      </c>
      <c r="C16" s="19"/>
      <c r="D16" s="34">
        <v>2421.8979840000002</v>
      </c>
      <c r="E16" s="35" t="s">
        <v>16</v>
      </c>
      <c r="F16" s="19" t="s">
        <v>17</v>
      </c>
      <c r="I16" s="19"/>
    </row>
    <row r="17" ht="14.25">
      <c r="B17" s="36" t="s">
        <v>18</v>
      </c>
      <c r="C17" s="37"/>
      <c r="D17" s="38"/>
      <c r="F17" s="19"/>
      <c r="I17" s="19"/>
    </row>
    <row r="18" ht="14.25">
      <c r="B18" s="19" t="s">
        <v>19</v>
      </c>
      <c r="C18" s="19"/>
      <c r="D18" s="34">
        <v>579.36902399999997</v>
      </c>
      <c r="E18" s="35" t="s">
        <v>16</v>
      </c>
      <c r="F18" s="19"/>
      <c r="G18" s="19"/>
      <c r="H18" s="19"/>
      <c r="I18" s="19"/>
      <c r="J18" s="19"/>
    </row>
    <row r="19" ht="14.25">
      <c r="B19" s="36" t="s">
        <v>20</v>
      </c>
      <c r="C19" s="37"/>
      <c r="D19" s="38">
        <f>D18/$D$16</f>
        <v>0.23922106869386614</v>
      </c>
      <c r="F19" s="19"/>
      <c r="G19" s="19"/>
      <c r="H19" s="19"/>
      <c r="I19" s="19"/>
      <c r="J19" s="19"/>
    </row>
    <row r="20" ht="14.25">
      <c r="B20" s="19" t="s">
        <v>21</v>
      </c>
      <c r="C20" s="19"/>
      <c r="D20" s="34">
        <v>378.916</v>
      </c>
      <c r="E20" s="35" t="s">
        <v>16</v>
      </c>
      <c r="F20" s="19"/>
      <c r="G20" s="19"/>
      <c r="H20" s="19"/>
      <c r="I20" s="19"/>
      <c r="J20" s="19"/>
    </row>
    <row r="21" ht="14.25">
      <c r="B21" s="35" t="s">
        <v>20</v>
      </c>
      <c r="C21" s="19"/>
      <c r="D21" s="38">
        <f>D20/$D$16</f>
        <v>0.15645415393351267</v>
      </c>
      <c r="F21" s="19"/>
      <c r="I21" s="19"/>
    </row>
    <row r="22" ht="14.25">
      <c r="B22" s="19"/>
      <c r="C22" s="19"/>
      <c r="D22" s="39"/>
      <c r="F22" s="19"/>
      <c r="I22" s="19"/>
    </row>
    <row r="23" ht="14.25">
      <c r="B23" s="19" t="s">
        <v>22</v>
      </c>
      <c r="C23" s="19"/>
      <c r="D23" s="40">
        <v>0.01</v>
      </c>
      <c r="E23" s="35" t="s">
        <v>23</v>
      </c>
      <c r="F23" s="19"/>
      <c r="G23" s="19" t="s">
        <v>17</v>
      </c>
      <c r="I23" s="19"/>
    </row>
    <row r="24" ht="14.25">
      <c r="B24" s="19" t="s">
        <v>24</v>
      </c>
      <c r="C24" s="19"/>
      <c r="D24" s="40">
        <v>0.25</v>
      </c>
      <c r="E24" s="35" t="s">
        <v>25</v>
      </c>
      <c r="F24" s="19"/>
      <c r="I24" s="19"/>
    </row>
    <row r="25" ht="14.25">
      <c r="B25" s="19"/>
      <c r="C25" s="19"/>
      <c r="D25" s="39"/>
      <c r="F25" s="19"/>
      <c r="I25" s="19"/>
    </row>
    <row r="26" ht="14.25">
      <c r="B26" s="19" t="s">
        <v>26</v>
      </c>
      <c r="C26" s="19"/>
      <c r="D26" s="34">
        <v>481.73900800000001</v>
      </c>
      <c r="E26" s="35" t="s">
        <v>16</v>
      </c>
      <c r="F26" s="19"/>
      <c r="I26" s="19"/>
    </row>
    <row r="27" ht="14.25">
      <c r="B27" s="19" t="s">
        <v>27</v>
      </c>
      <c r="C27" s="19"/>
      <c r="D27" s="34">
        <v>341.00499200000002</v>
      </c>
      <c r="E27" s="35" t="s">
        <v>16</v>
      </c>
      <c r="F27" s="19"/>
      <c r="G27" s="19"/>
      <c r="H27" s="19"/>
      <c r="I27" s="19"/>
      <c r="J27" s="19"/>
      <c r="K27" s="19"/>
      <c r="L27" s="19"/>
    </row>
    <row r="28" ht="14.25">
      <c r="B28" s="19"/>
      <c r="C28" s="19"/>
      <c r="D28" s="39"/>
      <c r="F28" s="19"/>
      <c r="G28" s="19"/>
      <c r="H28" s="19"/>
      <c r="I28" s="19"/>
      <c r="J28" s="19"/>
      <c r="K28" s="19"/>
      <c r="L28" s="19"/>
    </row>
    <row r="29" ht="14.25">
      <c r="B29" s="19" t="s">
        <v>28</v>
      </c>
      <c r="C29" s="19"/>
      <c r="D29" s="41">
        <v>187.74000000000001</v>
      </c>
      <c r="E29" s="35" t="s">
        <v>16</v>
      </c>
      <c r="F29" s="19"/>
      <c r="G29" s="19"/>
      <c r="H29" s="19"/>
      <c r="I29" s="19"/>
      <c r="J29" s="19"/>
      <c r="K29" s="19"/>
      <c r="L29" s="19"/>
    </row>
    <row r="30" ht="14.25">
      <c r="A30" s="20"/>
      <c r="B30" s="19" t="s">
        <v>29</v>
      </c>
      <c r="C30" s="19"/>
      <c r="D30" s="34">
        <v>41.138325000000002</v>
      </c>
      <c r="E30" s="35" t="s">
        <v>16</v>
      </c>
      <c r="F30" s="19"/>
    </row>
    <row r="31" ht="14.25">
      <c r="B31" s="19" t="s">
        <v>30</v>
      </c>
      <c r="C31" s="19"/>
      <c r="D31" s="34">
        <v>7905.551872</v>
      </c>
      <c r="E31" s="35" t="s">
        <v>16</v>
      </c>
      <c r="F31" s="19"/>
    </row>
    <row r="32" ht="14.25">
      <c r="B32" s="19" t="s">
        <v>31</v>
      </c>
      <c r="C32" s="19"/>
      <c r="D32" s="42">
        <v>1.3200000000000001</v>
      </c>
      <c r="E32" s="35" t="s">
        <v>16</v>
      </c>
    </row>
    <row r="33" ht="14.25">
      <c r="D33" s="39"/>
    </row>
    <row r="34" ht="14.25">
      <c r="B34" s="19" t="s">
        <v>32</v>
      </c>
      <c r="C34" s="19"/>
      <c r="D34" s="40">
        <v>0.035000000000000003</v>
      </c>
      <c r="E34" s="35" t="s">
        <v>33</v>
      </c>
      <c r="G34" s="19" t="s">
        <v>17</v>
      </c>
    </row>
    <row r="35" ht="14.25">
      <c r="B35" s="19" t="s">
        <v>34</v>
      </c>
      <c r="D35" s="40">
        <v>0.050000000000000003</v>
      </c>
      <c r="E35" s="35" t="s">
        <v>33</v>
      </c>
      <c r="G35" s="19" t="s">
        <v>17</v>
      </c>
    </row>
    <row r="36" ht="14.25">
      <c r="C36" s="19"/>
    </row>
    <row r="37" ht="14.25">
      <c r="A37" s="25" t="s">
        <v>10</v>
      </c>
      <c r="B37" s="21" t="s">
        <v>35</v>
      </c>
      <c r="C37" s="21"/>
      <c r="D37" s="21"/>
      <c r="E37" s="21"/>
      <c r="F37" s="2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3" zoomScale="100" workbookViewId="0">
      <selection activeCell="A1" activeCellId="0" sqref="A1"/>
    </sheetView>
  </sheetViews>
  <sheetFormatPr defaultRowHeight="14.25"/>
  <cols>
    <col customWidth="1" min="1" max="1" style="25" width="7.7109375"/>
    <col customWidth="1" min="2" max="16384" style="19" width="14.7109375"/>
  </cols>
  <sheetData>
    <row r="1" s="21" customFormat="1" ht="15">
      <c r="A1" s="22"/>
    </row>
    <row r="2" s="21" customFormat="1" ht="15">
      <c r="A2" s="22"/>
      <c r="B2" s="23" t="s">
        <v>36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="21" customFormat="1" ht="15">
      <c r="A3" s="22"/>
    </row>
    <row r="5" ht="14.25">
      <c r="A5" s="25" t="s">
        <v>10</v>
      </c>
      <c r="B5" s="21" t="s">
        <v>11</v>
      </c>
      <c r="C5" s="21"/>
      <c r="D5" s="21"/>
      <c r="E5" s="21"/>
      <c r="F5" s="21"/>
      <c r="G5" s="19"/>
      <c r="H5" s="19"/>
      <c r="I5" s="19"/>
    </row>
    <row r="6" ht="14.25">
      <c r="M6" s="19"/>
    </row>
    <row r="7" ht="14.25">
      <c r="B7" s="26" t="s">
        <v>2</v>
      </c>
      <c r="C7" s="43" t="str">
        <f>Cover!D8</f>
        <v xml:space="preserve">Simpson Manufacturing</v>
      </c>
      <c r="D7" s="19"/>
      <c r="H7" s="19"/>
      <c r="K7" s="19"/>
      <c r="L7" s="19"/>
      <c r="M7" s="19"/>
      <c r="N7" s="19"/>
    </row>
    <row r="8" ht="14.25">
      <c r="B8" s="26" t="s">
        <v>3</v>
      </c>
      <c r="C8" s="43" t="str">
        <f>Cover!D9</f>
        <v>SSD</v>
      </c>
      <c r="D8" s="19"/>
      <c r="H8" s="25"/>
      <c r="J8" s="19"/>
      <c r="K8" s="19"/>
      <c r="L8" s="19"/>
    </row>
    <row r="9" ht="14.25">
      <c r="B9" s="26" t="s">
        <v>5</v>
      </c>
      <c r="C9" s="44" t="str">
        <f>Cover!D10</f>
        <v>Industrials</v>
      </c>
      <c r="D9" s="19"/>
      <c r="H9" s="19"/>
      <c r="K9" s="19"/>
      <c r="L9" s="19"/>
      <c r="M9" s="19"/>
      <c r="N9" s="19"/>
    </row>
    <row r="10" ht="14.25">
      <c r="B10" s="26" t="s">
        <v>7</v>
      </c>
      <c r="C10" s="45">
        <f>Cover!D11</f>
        <v>46235</v>
      </c>
      <c r="D10" s="19"/>
      <c r="F10" s="19"/>
      <c r="G10" s="19"/>
      <c r="H10" s="29"/>
      <c r="J10" s="19"/>
      <c r="K10" s="19"/>
      <c r="L10" s="19"/>
      <c r="M10" s="19"/>
      <c r="N10" s="19"/>
    </row>
    <row r="11" ht="14.25">
      <c r="B11" s="26" t="s">
        <v>8</v>
      </c>
      <c r="C11" s="43">
        <f>Cover!D12</f>
        <v>187.74000000000001</v>
      </c>
      <c r="D11" s="19"/>
      <c r="F11" s="19"/>
      <c r="G11" s="19"/>
      <c r="H11" s="46"/>
      <c r="J11" s="19"/>
      <c r="K11" s="19"/>
      <c r="L11" s="19"/>
    </row>
    <row r="12" ht="14.25">
      <c r="B12" s="26"/>
      <c r="C12" s="27"/>
      <c r="D12" s="19"/>
      <c r="F12" s="19"/>
      <c r="G12" s="19"/>
      <c r="H12" s="19"/>
      <c r="J12" s="19"/>
      <c r="K12" s="19"/>
      <c r="L12" s="19"/>
    </row>
    <row r="13" ht="14.25">
      <c r="A13" s="25" t="s">
        <v>10</v>
      </c>
      <c r="B13" s="21" t="s">
        <v>37</v>
      </c>
      <c r="C13" s="21"/>
      <c r="D13" s="21"/>
      <c r="E13" s="21"/>
      <c r="F13" s="21"/>
      <c r="G13" s="19"/>
      <c r="H13" s="19"/>
    </row>
    <row r="14" ht="14.25">
      <c r="I14" s="19"/>
    </row>
    <row r="15" ht="14.25">
      <c r="B15" s="47" t="s">
        <v>38</v>
      </c>
      <c r="C15" s="48" t="s">
        <v>39</v>
      </c>
      <c r="D15" s="48" t="s">
        <v>40</v>
      </c>
    </row>
    <row r="16" ht="14.25">
      <c r="B16" s="19" t="s">
        <v>41</v>
      </c>
      <c r="C16" s="49">
        <f>E33</f>
        <v>196.77539578574209</v>
      </c>
      <c r="D16" s="46">
        <f t="shared" ref="D16:D18" si="0">C16/$C$11-1</f>
        <v>0.048127174740290268</v>
      </c>
    </row>
    <row r="17" ht="14.25">
      <c r="B17" s="50" t="s">
        <v>42</v>
      </c>
      <c r="C17" s="51">
        <f>D33</f>
        <v>187.40513884356386</v>
      </c>
      <c r="D17" s="52">
        <f t="shared" si="0"/>
        <v>-0.0017836431044857548</v>
      </c>
    </row>
    <row r="18" ht="14.25">
      <c r="B18" s="19" t="s">
        <v>43</v>
      </c>
      <c r="C18" s="49">
        <f>C33</f>
        <v>178.03488190138569</v>
      </c>
      <c r="D18" s="53">
        <f t="shared" si="0"/>
        <v>-0.051694460949261334</v>
      </c>
    </row>
    <row r="19" ht="14.25">
      <c r="C19" s="19"/>
      <c r="D19" s="19"/>
    </row>
    <row r="20" ht="14.25">
      <c r="A20" s="25" t="s">
        <v>10</v>
      </c>
      <c r="B20" s="21" t="s">
        <v>44</v>
      </c>
      <c r="C20" s="21"/>
      <c r="D20" s="21"/>
      <c r="E20" s="21"/>
      <c r="F20" s="21"/>
      <c r="G20" s="19"/>
      <c r="H20" s="19"/>
    </row>
    <row r="22" ht="14.25">
      <c r="C22" s="54"/>
      <c r="D22" s="55" t="s">
        <v>45</v>
      </c>
      <c r="E22" s="54"/>
    </row>
    <row r="23" ht="14.25">
      <c r="B23" s="31" t="s">
        <v>46</v>
      </c>
      <c r="C23" s="56" t="s">
        <v>47</v>
      </c>
      <c r="D23" s="56" t="s">
        <v>48</v>
      </c>
      <c r="E23" s="56" t="s">
        <v>49</v>
      </c>
      <c r="F23" s="56" t="s">
        <v>50</v>
      </c>
    </row>
    <row r="24" ht="14.25">
      <c r="B24" s="19" t="s">
        <v>51</v>
      </c>
      <c r="C24" s="57">
        <f>TP!C16</f>
        <v>172.29017612411681</v>
      </c>
      <c r="D24" s="58">
        <f>TP!D16</f>
        <v>181.35808013064928</v>
      </c>
      <c r="E24" s="57">
        <f>TP!E16</f>
        <v>190.42598413718176</v>
      </c>
      <c r="F24" s="59">
        <v>0.10000000000000001</v>
      </c>
    </row>
    <row r="25" ht="14.25">
      <c r="B25" s="19" t="s">
        <v>52</v>
      </c>
      <c r="C25" s="57">
        <f>MLTP!C16</f>
        <v>173.15315701513333</v>
      </c>
      <c r="D25" s="58">
        <f>MLTP!D16</f>
        <v>182.2664810685614</v>
      </c>
      <c r="E25" s="57">
        <f>MLTP!E16</f>
        <v>191.37980512198948</v>
      </c>
      <c r="F25" s="60">
        <v>0.10000000000000001</v>
      </c>
    </row>
    <row r="26" ht="14.25">
      <c r="B26" s="19" t="s">
        <v>53</v>
      </c>
      <c r="C26" s="57">
        <f>MLTP!C17</f>
        <v>190.39787397144471</v>
      </c>
      <c r="D26" s="58">
        <f>MLTP!D17</f>
        <v>200.41881470678391</v>
      </c>
      <c r="E26" s="57">
        <f>MLTP!E17</f>
        <v>210.4397554421231</v>
      </c>
      <c r="F26" s="60">
        <v>0.10000000000000001</v>
      </c>
    </row>
    <row r="27" ht="14.25">
      <c r="B27" s="19" t="s">
        <v>54</v>
      </c>
      <c r="C27" s="57">
        <f>MLTP!C18</f>
        <v>154.05473544731171</v>
      </c>
      <c r="D27" s="58">
        <f>MLTP!D18</f>
        <v>162.16287941822287</v>
      </c>
      <c r="E27" s="57">
        <f>MLTP!E18</f>
        <v>170.27102338913403</v>
      </c>
      <c r="F27" s="60">
        <v>0.10000000000000001</v>
      </c>
    </row>
    <row r="28" ht="14.25">
      <c r="B28" s="19" t="s">
        <v>55</v>
      </c>
      <c r="C28" s="57">
        <f>MLTP!C19</f>
        <v>232.13563783040141</v>
      </c>
      <c r="D28" s="58">
        <f>MLTP!D19</f>
        <v>244.35330297936991</v>
      </c>
      <c r="E28" s="57">
        <f>MLTP!E19</f>
        <v>256.57096812833839</v>
      </c>
      <c r="F28" s="60">
        <v>0.10000000000000001</v>
      </c>
    </row>
    <row r="29" ht="14.25">
      <c r="B29" s="19" t="s">
        <v>56</v>
      </c>
      <c r="C29" s="57">
        <f>DCF!C16</f>
        <v>171.66344772508975</v>
      </c>
      <c r="D29" s="58">
        <f>DCF!D16</f>
        <v>180.69836602641027</v>
      </c>
      <c r="E29" s="57">
        <f>DCF!E16</f>
        <v>189.73328432773079</v>
      </c>
      <c r="F29" s="60">
        <v>0.5</v>
      </c>
    </row>
    <row r="30" ht="14.25">
      <c r="B30" s="19"/>
      <c r="C30" s="61"/>
      <c r="D30" s="61"/>
      <c r="E30" s="61"/>
      <c r="I30" s="19"/>
    </row>
    <row r="31" ht="14.25">
      <c r="A31" s="25"/>
      <c r="B31" s="62" t="s">
        <v>57</v>
      </c>
      <c r="C31" s="63">
        <f>AVERAGE(C$24:C$29)</f>
        <v>182.28250468558295</v>
      </c>
      <c r="D31" s="64">
        <f>AVERAGE(D$24:D$29)</f>
        <v>191.87632072166627</v>
      </c>
      <c r="E31" s="63">
        <f>AVERAGE(E$24:E$29)</f>
        <v>201.4701367577496</v>
      </c>
      <c r="F31" s="65"/>
    </row>
    <row r="32" ht="14.25">
      <c r="B32" s="66" t="s">
        <v>58</v>
      </c>
      <c r="C32" s="67">
        <f>MEDIAN(C$24:C$29)</f>
        <v>172.72166656962509</v>
      </c>
      <c r="D32" s="68">
        <f>MEDIAN(D$24:D$29)</f>
        <v>181.81228059960534</v>
      </c>
      <c r="E32" s="67">
        <f>MEDIAN(E$24:E$29)</f>
        <v>190.9028946295856</v>
      </c>
      <c r="F32" s="69"/>
      <c r="H32" s="19"/>
    </row>
    <row r="33" ht="14.25">
      <c r="B33" s="70" t="s">
        <v>59</v>
      </c>
      <c r="C33" s="71">
        <f>SUMPRODUCT(C24:C29,$F$24:$F$29)</f>
        <v>178.03488190138569</v>
      </c>
      <c r="D33" s="72">
        <f>SUMPRODUCT(D24:D29,F24:F29)</f>
        <v>187.40513884356386</v>
      </c>
      <c r="E33" s="71">
        <f>SUMPRODUCT(E24:E29,$F$24:$F$29)</f>
        <v>196.77539578574209</v>
      </c>
      <c r="F33" s="73"/>
      <c r="G33" s="19"/>
    </row>
    <row r="34" ht="14.25">
      <c r="B34" s="19"/>
      <c r="C34" s="19"/>
      <c r="D34" s="19"/>
      <c r="E34" s="19"/>
    </row>
    <row r="35" ht="14.25">
      <c r="A35" s="25" t="s">
        <v>10</v>
      </c>
      <c r="B35" s="21" t="s">
        <v>60</v>
      </c>
      <c r="C35" s="21"/>
      <c r="D35" s="21"/>
      <c r="E35" s="21"/>
      <c r="F35" s="21"/>
      <c r="G35" s="19"/>
      <c r="H35" s="19"/>
    </row>
    <row r="36" ht="14.25">
      <c r="B36" s="19"/>
      <c r="C36" s="19"/>
      <c r="D36" s="19"/>
      <c r="E36" s="19"/>
    </row>
    <row r="37" ht="14.25">
      <c r="B37" s="74" t="s">
        <v>46</v>
      </c>
      <c r="C37" s="75" t="s">
        <v>61</v>
      </c>
      <c r="D37" s="75" t="s">
        <v>62</v>
      </c>
      <c r="E37" s="75" t="s">
        <v>35</v>
      </c>
      <c r="F37" s="75"/>
      <c r="H37" s="19"/>
      <c r="I37" s="76"/>
      <c r="J37" s="76"/>
      <c r="K37" s="76"/>
    </row>
    <row r="38" ht="14.25">
      <c r="B38" s="19" t="str">
        <f t="shared" ref="B38:B43" si="1">B24</f>
        <v xml:space="preserve">Trading price</v>
      </c>
      <c r="C38" s="77">
        <f t="shared" ref="C38:C43" si="2">C24</f>
        <v>172.29017612411681</v>
      </c>
      <c r="D38" s="77">
        <f t="shared" ref="D38:D43" si="3">E24-C24</f>
        <v>18.135808013064945</v>
      </c>
      <c r="E38" s="77">
        <f t="shared" ref="E38:E43" si="4">C38+D38</f>
        <v>190.42598413718176</v>
      </c>
      <c r="F38" s="77"/>
      <c r="H38" s="19"/>
      <c r="I38" s="78"/>
      <c r="J38" s="78"/>
      <c r="K38" s="78"/>
    </row>
    <row r="39" ht="14.25">
      <c r="B39" s="19" t="str">
        <f t="shared" si="1"/>
        <v>EV/Revenue</v>
      </c>
      <c r="C39" s="77">
        <f t="shared" si="2"/>
        <v>173.15315701513333</v>
      </c>
      <c r="D39" s="77">
        <f t="shared" si="3"/>
        <v>18.226648106856146</v>
      </c>
      <c r="E39" s="77">
        <f t="shared" si="4"/>
        <v>191.37980512198948</v>
      </c>
      <c r="F39" s="77"/>
      <c r="H39" s="19"/>
      <c r="I39" s="78"/>
      <c r="J39" s="78"/>
      <c r="K39" s="78"/>
    </row>
    <row r="40" ht="14.25">
      <c r="B40" s="19" t="str">
        <f t="shared" si="1"/>
        <v>EV/Ebitda</v>
      </c>
      <c r="C40" s="77">
        <f t="shared" si="2"/>
        <v>190.39787397144471</v>
      </c>
      <c r="D40" s="77">
        <f t="shared" si="3"/>
        <v>20.041881470678391</v>
      </c>
      <c r="E40" s="77">
        <f t="shared" si="4"/>
        <v>210.4397554421231</v>
      </c>
      <c r="F40" s="77"/>
      <c r="G40" s="19"/>
      <c r="H40" s="19"/>
      <c r="I40" s="78"/>
      <c r="J40" s="78"/>
      <c r="K40" s="78"/>
    </row>
    <row r="41" ht="14.25">
      <c r="B41" s="19" t="str">
        <f t="shared" si="1"/>
        <v>P/Sales</v>
      </c>
      <c r="C41" s="77">
        <f t="shared" si="2"/>
        <v>154.05473544731171</v>
      </c>
      <c r="D41" s="77">
        <f t="shared" si="3"/>
        <v>16.216287941822316</v>
      </c>
      <c r="E41" s="77">
        <f t="shared" si="4"/>
        <v>170.27102338913403</v>
      </c>
      <c r="F41" s="77"/>
      <c r="H41" s="19"/>
      <c r="I41" s="78"/>
      <c r="J41" s="78"/>
      <c r="K41" s="78"/>
    </row>
    <row r="42" ht="14.25">
      <c r="B42" s="19" t="str">
        <f t="shared" si="1"/>
        <v>P/Earnings</v>
      </c>
      <c r="C42" s="77">
        <f t="shared" si="2"/>
        <v>232.13563783040141</v>
      </c>
      <c r="D42" s="77">
        <f t="shared" si="3"/>
        <v>24.435330297936986</v>
      </c>
      <c r="E42" s="77">
        <f t="shared" si="4"/>
        <v>256.57096812833839</v>
      </c>
      <c r="F42" s="77"/>
      <c r="H42" s="19"/>
      <c r="I42" s="78"/>
      <c r="J42" s="78"/>
      <c r="K42" s="78"/>
    </row>
    <row r="43" ht="14.25">
      <c r="B43" s="19" t="str">
        <f t="shared" si="1"/>
        <v>DCF</v>
      </c>
      <c r="C43" s="77">
        <f t="shared" si="2"/>
        <v>171.66344772508975</v>
      </c>
      <c r="D43" s="77">
        <f t="shared" si="3"/>
        <v>18.069836602641033</v>
      </c>
      <c r="E43" s="77">
        <f t="shared" si="4"/>
        <v>189.73328432773079</v>
      </c>
      <c r="F43" s="77"/>
      <c r="G43" s="19"/>
      <c r="H43" s="19"/>
      <c r="I43" s="78"/>
      <c r="J43" s="78"/>
      <c r="K43" s="78"/>
    </row>
    <row r="44" ht="14.25">
      <c r="B44" s="19"/>
      <c r="C44" s="19"/>
      <c r="D44" s="19"/>
      <c r="E44" s="19"/>
    </row>
    <row r="45" ht="14.25">
      <c r="B45" s="79" t="s">
        <v>63</v>
      </c>
      <c r="C45" s="80"/>
      <c r="D45" s="19"/>
      <c r="E45" s="19"/>
    </row>
    <row r="46" ht="14.25">
      <c r="B46" s="37" t="s">
        <v>64</v>
      </c>
      <c r="C46" s="81">
        <f>ROUNDDOWN(MIN(C38:C43),-1)-10</f>
        <v>140</v>
      </c>
      <c r="D46" s="19"/>
      <c r="E46" s="19"/>
    </row>
    <row r="47" ht="14.25">
      <c r="B47" s="37" t="s">
        <v>65</v>
      </c>
      <c r="C47" s="81">
        <f>ROUNDUP(MAX(E38:E43),-1)+10</f>
        <v>270</v>
      </c>
      <c r="D47" s="19"/>
      <c r="E47" s="19"/>
    </row>
    <row r="48" ht="14.25">
      <c r="B48" s="19"/>
      <c r="C48" s="19"/>
      <c r="D48" s="19"/>
      <c r="E48" s="19"/>
    </row>
    <row r="49" ht="14.25">
      <c r="B49" s="19"/>
      <c r="C49" s="19"/>
      <c r="D49" s="19"/>
      <c r="E49" s="19"/>
    </row>
    <row r="50" ht="14.25">
      <c r="B50" s="19"/>
      <c r="C50" s="19"/>
      <c r="D50" s="19"/>
      <c r="E50" s="19"/>
    </row>
    <row r="54" ht="14.25">
      <c r="A54" s="25" t="s">
        <v>10</v>
      </c>
      <c r="B54" s="21" t="s">
        <v>35</v>
      </c>
      <c r="C54" s="21"/>
      <c r="D54" s="21"/>
      <c r="E54" s="21"/>
      <c r="F54" s="21"/>
    </row>
    <row r="60" ht="14.25">
      <c r="E60" s="19"/>
    </row>
    <row r="61" ht="14.25">
      <c r="E61" s="19"/>
      <c r="F61" s="19"/>
    </row>
    <row r="62" ht="14.25">
      <c r="F62" s="19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cols>
    <col customWidth="1" min="1" max="1" style="25" width="7.7109375"/>
    <col customWidth="1" min="2" max="16384" style="19" width="14.7109375"/>
  </cols>
  <sheetData>
    <row r="1" s="21" customFormat="1" ht="15">
      <c r="A1" s="22"/>
    </row>
    <row r="2" s="21" customFormat="1" ht="15.75">
      <c r="A2" s="22"/>
      <c r="B2" s="23" t="s">
        <v>66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="21" customFormat="1" ht="15">
      <c r="A3" s="22"/>
    </row>
    <row r="5" ht="14.25">
      <c r="A5" s="25" t="s">
        <v>10</v>
      </c>
      <c r="B5" s="21" t="s">
        <v>11</v>
      </c>
      <c r="C5" s="21"/>
      <c r="D5" s="21"/>
      <c r="E5" s="21"/>
      <c r="F5" s="21"/>
      <c r="G5" s="19"/>
      <c r="H5" s="19"/>
    </row>
    <row r="6" ht="14.25">
      <c r="A6" s="25"/>
      <c r="B6" s="19"/>
      <c r="C6" s="19"/>
      <c r="D6" s="19"/>
    </row>
    <row r="7" ht="14.25">
      <c r="A7" s="25"/>
      <c r="B7" s="26" t="s">
        <v>2</v>
      </c>
      <c r="C7" s="27" t="str">
        <f>Cover!D8</f>
        <v xml:space="preserve">Simpson Manufacturing</v>
      </c>
      <c r="D7" s="19"/>
      <c r="I7" s="19"/>
      <c r="J7" s="19"/>
      <c r="K7" s="19"/>
      <c r="L7" s="19"/>
    </row>
    <row r="8" ht="14.25">
      <c r="A8" s="25"/>
      <c r="B8" s="26" t="s">
        <v>3</v>
      </c>
      <c r="C8" s="27" t="str">
        <f>Cover!D9</f>
        <v>SSD</v>
      </c>
      <c r="D8" s="19"/>
    </row>
    <row r="9" ht="14.25">
      <c r="A9" s="25"/>
      <c r="B9" s="26" t="s">
        <v>5</v>
      </c>
      <c r="C9" s="19" t="str">
        <f>Cover!D10</f>
        <v>Industrials</v>
      </c>
      <c r="D9" s="19"/>
      <c r="F9" s="19"/>
      <c r="G9" s="19"/>
      <c r="H9" s="19"/>
      <c r="I9" s="19"/>
      <c r="J9" s="19"/>
      <c r="K9" s="19"/>
      <c r="L9" s="19"/>
    </row>
    <row r="10" ht="14.25">
      <c r="A10" s="25"/>
      <c r="B10" s="26" t="s">
        <v>7</v>
      </c>
      <c r="C10" s="28">
        <f>Cover!D11</f>
        <v>46235</v>
      </c>
      <c r="D10" s="19"/>
      <c r="E10" s="19"/>
      <c r="F10" s="29"/>
      <c r="G10" s="46"/>
      <c r="H10" s="29"/>
      <c r="I10" s="19"/>
    </row>
    <row r="11" ht="14.25">
      <c r="B11" s="26" t="s">
        <v>8</v>
      </c>
      <c r="C11" s="27">
        <f>Cover!D12</f>
        <v>187.74000000000001</v>
      </c>
      <c r="E11" s="26"/>
      <c r="F11" s="30"/>
      <c r="G11" s="82"/>
      <c r="H11" s="53"/>
      <c r="I11" s="19"/>
    </row>
    <row r="12" ht="14.25">
      <c r="B12" s="26"/>
      <c r="C12" s="27"/>
      <c r="E12" s="19"/>
      <c r="F12" s="29"/>
      <c r="G12" s="83"/>
    </row>
    <row r="13" ht="14.25">
      <c r="A13" s="25" t="s">
        <v>10</v>
      </c>
      <c r="B13" s="21" t="s">
        <v>67</v>
      </c>
      <c r="C13" s="21"/>
      <c r="D13" s="21"/>
      <c r="E13" s="21"/>
      <c r="F13" s="21"/>
      <c r="G13" s="19"/>
      <c r="H13" s="19"/>
    </row>
    <row r="14" ht="14.25">
      <c r="G14" s="19"/>
      <c r="H14" s="19"/>
    </row>
    <row r="15" ht="14.25">
      <c r="B15" s="47" t="s">
        <v>46</v>
      </c>
      <c r="C15" s="48" t="s">
        <v>68</v>
      </c>
      <c r="D15" s="48" t="s">
        <v>48</v>
      </c>
      <c r="E15" s="48" t="s">
        <v>49</v>
      </c>
      <c r="G15" s="19"/>
    </row>
    <row r="16" ht="14.25">
      <c r="B16" s="19" t="s">
        <v>51</v>
      </c>
      <c r="C16" s="84">
        <f>D16*0.95</f>
        <v>172.29017612411681</v>
      </c>
      <c r="D16" s="85">
        <f>C21</f>
        <v>181.35808013064928</v>
      </c>
      <c r="E16" s="84">
        <f>D16*1.05</f>
        <v>190.42598413718176</v>
      </c>
      <c r="H16" s="19"/>
      <c r="I16" s="19"/>
      <c r="J16" s="19"/>
      <c r="K16" s="19"/>
    </row>
    <row r="17" ht="14.25">
      <c r="C17" s="19"/>
      <c r="D17" s="19"/>
      <c r="E17" s="19"/>
      <c r="H17" s="19"/>
      <c r="I17" s="19"/>
      <c r="J17" s="19"/>
    </row>
    <row r="18" ht="14.25">
      <c r="A18" s="25" t="s">
        <v>10</v>
      </c>
      <c r="B18" s="21" t="s">
        <v>69</v>
      </c>
      <c r="C18" s="21"/>
      <c r="D18" s="21"/>
      <c r="E18" s="21"/>
      <c r="F18" s="21"/>
      <c r="H18" s="19"/>
      <c r="I18" s="19"/>
      <c r="J18" s="19"/>
    </row>
    <row r="19" ht="14.25">
      <c r="C19" s="19"/>
      <c r="F19" s="19"/>
      <c r="G19" s="19"/>
      <c r="H19" s="19"/>
      <c r="I19" s="19"/>
      <c r="J19" s="19"/>
    </row>
    <row r="20" ht="14.25">
      <c r="B20" s="31" t="s">
        <v>70</v>
      </c>
      <c r="C20" s="32" t="s">
        <v>13</v>
      </c>
      <c r="D20" s="19"/>
      <c r="E20" s="31" t="s">
        <v>71</v>
      </c>
      <c r="F20" s="32"/>
      <c r="G20" s="19"/>
      <c r="H20" s="19"/>
      <c r="I20" s="19"/>
      <c r="J20" s="19"/>
    </row>
    <row r="21" ht="14.25">
      <c r="B21" s="19" t="s">
        <v>57</v>
      </c>
      <c r="C21" s="61">
        <f>AVERAGE($C$32:$C$282)</f>
        <v>181.35808013064928</v>
      </c>
      <c r="D21" s="19"/>
      <c r="E21" s="19" t="s">
        <v>72</v>
      </c>
      <c r="F21" s="86">
        <v>52</v>
      </c>
      <c r="G21" s="19"/>
      <c r="H21" s="19"/>
      <c r="I21" s="78"/>
      <c r="J21" s="19"/>
    </row>
    <row r="22" ht="14.25">
      <c r="B22" s="19" t="s">
        <v>73</v>
      </c>
      <c r="C22" s="61">
        <f>MAX($C$32:$C$282)</f>
        <v>209.75019836425781</v>
      </c>
      <c r="D22" s="19"/>
      <c r="E22" s="35" t="s">
        <v>74</v>
      </c>
      <c r="F22" s="87">
        <f>C10-F21*7</f>
        <v>45871</v>
      </c>
      <c r="G22" s="19"/>
      <c r="H22" s="19"/>
      <c r="I22" s="78"/>
      <c r="J22" s="19"/>
    </row>
    <row r="23" ht="14.25">
      <c r="B23" s="19" t="s">
        <v>75</v>
      </c>
      <c r="C23" s="61">
        <f>QUARTILE($C$32:$C$282,3)</f>
        <v>189.85620880126956</v>
      </c>
      <c r="D23" s="19"/>
      <c r="F23" s="19"/>
      <c r="G23" s="19"/>
      <c r="H23" s="19"/>
      <c r="I23" s="78"/>
      <c r="J23" s="19"/>
    </row>
    <row r="24" ht="14.25">
      <c r="B24" s="50" t="s">
        <v>76</v>
      </c>
      <c r="C24" s="88">
        <f>MEDIAN($C$32:$C$282)</f>
        <v>181.73158264160159</v>
      </c>
      <c r="D24" s="19"/>
      <c r="E24" s="19"/>
      <c r="F24" s="19"/>
      <c r="G24" s="19"/>
      <c r="H24" s="19"/>
      <c r="I24" s="78"/>
      <c r="J24" s="19"/>
    </row>
    <row r="25" ht="14.25">
      <c r="B25" s="19" t="s">
        <v>77</v>
      </c>
      <c r="C25" s="61">
        <f>QUARTILE($C$32:$C$282,1)</f>
        <v>170.43963623046875</v>
      </c>
      <c r="D25" s="19"/>
      <c r="E25" s="19"/>
      <c r="F25" s="19"/>
      <c r="G25" s="19"/>
      <c r="H25" s="19"/>
      <c r="I25" s="78"/>
      <c r="J25" s="19"/>
    </row>
    <row r="26" ht="14.25">
      <c r="B26" s="19" t="s">
        <v>78</v>
      </c>
      <c r="C26" s="61">
        <f>MIN($C$32:$C$282)</f>
        <v>157.2166442871094</v>
      </c>
      <c r="D26" s="19"/>
      <c r="E26" s="19"/>
      <c r="F26" s="19"/>
      <c r="G26" s="19"/>
      <c r="H26" s="19"/>
      <c r="I26" s="78"/>
      <c r="J26" s="19"/>
    </row>
    <row r="27" ht="14.25">
      <c r="B27" s="19" t="s">
        <v>79</v>
      </c>
      <c r="C27" s="61">
        <f>STDEV($C$32:$C$282)</f>
        <v>11.767029750666106</v>
      </c>
      <c r="D27" s="19"/>
      <c r="E27" s="19"/>
      <c r="F27" s="19"/>
      <c r="G27" s="19"/>
      <c r="H27" s="19"/>
      <c r="I27" s="78"/>
      <c r="J27" s="19"/>
    </row>
    <row r="28" ht="14.25">
      <c r="C28" s="19"/>
      <c r="D28" s="19"/>
      <c r="E28" s="19"/>
      <c r="F28" s="19"/>
      <c r="G28" s="19"/>
      <c r="H28" s="19"/>
      <c r="I28" s="19"/>
      <c r="J28" s="19"/>
    </row>
    <row r="29" ht="14.25">
      <c r="A29" s="25" t="s">
        <v>10</v>
      </c>
      <c r="B29" s="21" t="s">
        <v>80</v>
      </c>
      <c r="C29" s="21"/>
      <c r="D29" s="21"/>
      <c r="E29" s="21"/>
      <c r="F29" s="21"/>
      <c r="G29" s="19"/>
      <c r="H29" s="19"/>
      <c r="I29" s="19"/>
      <c r="J29" s="19"/>
    </row>
    <row r="30" ht="14.25">
      <c r="A30" s="25"/>
      <c r="B30" s="19"/>
      <c r="C30" s="19"/>
      <c r="E30" s="19"/>
      <c r="F30" s="19"/>
      <c r="G30" s="19"/>
      <c r="H30" s="19"/>
      <c r="I30" s="19"/>
      <c r="J30" s="19"/>
    </row>
    <row r="31" ht="14.25">
      <c r="B31" s="89" t="s">
        <v>81</v>
      </c>
      <c r="C31" s="90" t="s">
        <v>82</v>
      </c>
      <c r="E31" s="19"/>
      <c r="F31" s="19"/>
      <c r="G31" s="19"/>
      <c r="H31" s="19"/>
      <c r="I31" s="19"/>
      <c r="J31" s="19"/>
    </row>
    <row r="32" ht="14.25">
      <c r="B32" s="91" t="s">
        <v>83</v>
      </c>
      <c r="C32" s="92">
        <v>187.74000549316409</v>
      </c>
      <c r="E32" s="19"/>
      <c r="F32" s="19"/>
      <c r="G32" s="19"/>
      <c r="H32" s="19"/>
      <c r="I32" s="19"/>
      <c r="J32" s="19"/>
    </row>
    <row r="33" ht="14.25">
      <c r="B33" s="91" t="s">
        <v>84</v>
      </c>
      <c r="C33" s="92">
        <v>186.66999816894531</v>
      </c>
      <c r="E33" s="19"/>
      <c r="F33" s="19"/>
      <c r="G33" s="19"/>
      <c r="H33" s="19"/>
      <c r="I33" s="19"/>
      <c r="J33" s="19"/>
    </row>
    <row r="34" ht="14.25">
      <c r="B34" s="91" t="s">
        <v>85</v>
      </c>
      <c r="C34" s="92">
        <v>189.47999572753909</v>
      </c>
      <c r="E34" s="19"/>
      <c r="F34" s="19"/>
      <c r="G34" s="19"/>
      <c r="H34" s="19"/>
      <c r="I34" s="19"/>
      <c r="J34" s="19"/>
    </row>
    <row r="35" ht="14.25">
      <c r="B35" s="91" t="s">
        <v>86</v>
      </c>
      <c r="C35" s="92">
        <v>198.2799987792969</v>
      </c>
      <c r="E35" s="19"/>
      <c r="F35" s="19"/>
      <c r="G35" s="19"/>
      <c r="H35" s="19"/>
      <c r="I35" s="19"/>
      <c r="J35" s="19"/>
    </row>
    <row r="36" ht="14.25">
      <c r="B36" s="91" t="s">
        <v>87</v>
      </c>
      <c r="C36" s="92">
        <v>193.24000549316409</v>
      </c>
      <c r="E36" s="19"/>
      <c r="F36" s="19"/>
      <c r="G36" s="19"/>
      <c r="H36" s="19"/>
      <c r="I36" s="19"/>
      <c r="J36" s="19"/>
    </row>
    <row r="37" ht="14.25">
      <c r="B37" s="91" t="s">
        <v>88</v>
      </c>
      <c r="C37" s="92">
        <v>193.8800048828125</v>
      </c>
      <c r="E37" s="19"/>
      <c r="F37" s="19"/>
      <c r="G37" s="19"/>
      <c r="H37" s="19"/>
      <c r="I37" s="19"/>
      <c r="J37" s="19"/>
    </row>
    <row r="38" ht="14.25">
      <c r="B38" s="91" t="s">
        <v>89</v>
      </c>
      <c r="C38" s="92">
        <v>189.25999450683591</v>
      </c>
      <c r="E38" s="19"/>
      <c r="F38" s="19"/>
      <c r="G38" s="19"/>
      <c r="H38" s="19"/>
      <c r="I38" s="19"/>
      <c r="J38" s="19"/>
    </row>
    <row r="39" ht="14.25">
      <c r="B39" s="91" t="s">
        <v>90</v>
      </c>
      <c r="C39" s="92">
        <v>186.80000305175781</v>
      </c>
      <c r="E39" s="19"/>
      <c r="F39" s="19"/>
      <c r="G39" s="19"/>
      <c r="H39" s="19"/>
      <c r="I39" s="19"/>
      <c r="J39" s="19"/>
    </row>
    <row r="40" ht="14.25">
      <c r="B40" s="91" t="s">
        <v>91</v>
      </c>
      <c r="C40" s="92">
        <v>185.3999938964844</v>
      </c>
      <c r="E40" s="19"/>
      <c r="F40" s="19"/>
      <c r="G40" s="19"/>
      <c r="H40" s="19"/>
      <c r="I40" s="19"/>
      <c r="J40" s="19"/>
    </row>
    <row r="41" ht="14.25">
      <c r="B41" s="91" t="s">
        <v>92</v>
      </c>
      <c r="C41" s="92">
        <v>185.67999267578119</v>
      </c>
      <c r="E41" s="19"/>
      <c r="F41" s="19"/>
      <c r="G41" s="19"/>
      <c r="H41" s="19"/>
      <c r="I41" s="19"/>
      <c r="J41" s="19"/>
    </row>
    <row r="42" ht="14.25">
      <c r="B42" s="91" t="s">
        <v>93</v>
      </c>
      <c r="C42" s="92">
        <v>189.19999694824219</v>
      </c>
      <c r="E42" s="19"/>
      <c r="F42" s="19"/>
      <c r="G42" s="19"/>
      <c r="H42" s="19"/>
      <c r="I42" s="19"/>
      <c r="J42" s="19"/>
    </row>
    <row r="43" ht="14.25">
      <c r="B43" s="91" t="s">
        <v>94</v>
      </c>
      <c r="C43" s="92">
        <v>193.80000305175781</v>
      </c>
      <c r="E43" s="19"/>
      <c r="F43" s="19"/>
      <c r="G43" s="19"/>
      <c r="H43" s="19"/>
      <c r="I43" s="19"/>
      <c r="J43" s="19"/>
    </row>
    <row r="44" ht="14.25">
      <c r="B44" s="91" t="s">
        <v>95</v>
      </c>
      <c r="C44" s="92">
        <v>189.61000061035159</v>
      </c>
      <c r="E44" s="19"/>
      <c r="F44" s="19"/>
      <c r="G44" s="19"/>
      <c r="H44" s="19"/>
      <c r="I44" s="19"/>
      <c r="J44" s="19"/>
    </row>
    <row r="45" ht="14.25">
      <c r="B45" s="91" t="s">
        <v>96</v>
      </c>
      <c r="C45" s="92">
        <v>189.17999267578119</v>
      </c>
      <c r="E45" s="19"/>
      <c r="F45" s="19"/>
      <c r="G45" s="19"/>
      <c r="H45" s="19"/>
      <c r="I45" s="19"/>
      <c r="J45" s="19"/>
    </row>
    <row r="46" ht="14.25">
      <c r="B46" s="91" t="s">
        <v>97</v>
      </c>
      <c r="C46" s="92">
        <v>185.6000061035156</v>
      </c>
      <c r="E46" s="19"/>
      <c r="F46" s="19"/>
      <c r="G46" s="19"/>
      <c r="H46" s="19"/>
      <c r="I46" s="19"/>
      <c r="J46" s="19"/>
    </row>
    <row r="47" ht="14.25">
      <c r="B47" s="91" t="s">
        <v>98</v>
      </c>
      <c r="C47" s="92">
        <v>188.80000305175781</v>
      </c>
      <c r="E47" s="19"/>
      <c r="F47" s="19"/>
      <c r="G47" s="19"/>
      <c r="H47" s="19"/>
      <c r="I47" s="19"/>
      <c r="J47" s="19"/>
    </row>
    <row r="48" ht="14.25">
      <c r="B48" s="91" t="s">
        <v>99</v>
      </c>
      <c r="C48" s="92">
        <v>188.6000061035156</v>
      </c>
      <c r="E48" s="19"/>
      <c r="F48" s="19"/>
      <c r="G48" s="19"/>
      <c r="H48" s="19"/>
      <c r="I48" s="19"/>
      <c r="J48" s="19"/>
    </row>
    <row r="49" ht="14.25">
      <c r="B49" s="91" t="s">
        <v>100</v>
      </c>
      <c r="C49" s="92">
        <v>187.1000061035156</v>
      </c>
      <c r="E49" s="19"/>
      <c r="F49" s="19"/>
      <c r="G49" s="19"/>
      <c r="H49" s="19"/>
      <c r="I49" s="19"/>
      <c r="J49" s="19"/>
    </row>
    <row r="50" ht="14.25">
      <c r="B50" s="91" t="s">
        <v>101</v>
      </c>
      <c r="C50" s="92">
        <v>192.11000061035159</v>
      </c>
      <c r="E50" s="19"/>
      <c r="F50" s="19"/>
      <c r="G50" s="19"/>
      <c r="H50" s="19"/>
      <c r="I50" s="19"/>
      <c r="J50" s="19"/>
    </row>
    <row r="51" ht="14.25">
      <c r="B51" s="91" t="s">
        <v>102</v>
      </c>
      <c r="C51" s="92">
        <v>197.6199951171875</v>
      </c>
      <c r="E51" s="19"/>
      <c r="F51" s="19"/>
      <c r="G51" s="19"/>
      <c r="H51" s="19"/>
      <c r="I51" s="19"/>
      <c r="J51" s="19"/>
    </row>
    <row r="52" ht="14.25">
      <c r="B52" s="91" t="s">
        <v>103</v>
      </c>
      <c r="C52" s="92">
        <v>200.7200012207031</v>
      </c>
      <c r="E52" s="19"/>
      <c r="F52" s="19"/>
      <c r="G52" s="19"/>
      <c r="H52" s="19"/>
      <c r="I52" s="19"/>
      <c r="J52" s="19"/>
    </row>
    <row r="53" ht="14.25">
      <c r="B53" s="91" t="s">
        <v>104</v>
      </c>
      <c r="C53" s="92">
        <v>203.1199951171875</v>
      </c>
      <c r="E53" s="19"/>
      <c r="F53" s="19"/>
      <c r="G53" s="19"/>
      <c r="H53" s="19"/>
      <c r="I53" s="19"/>
      <c r="J53" s="19"/>
    </row>
    <row r="54" ht="14.25">
      <c r="B54" s="91" t="s">
        <v>105</v>
      </c>
      <c r="C54" s="92">
        <v>209.041259765625</v>
      </c>
      <c r="E54" s="19"/>
      <c r="F54" s="19"/>
      <c r="G54" s="19"/>
      <c r="H54" s="19"/>
      <c r="I54" s="19"/>
      <c r="J54" s="19"/>
    </row>
    <row r="55" ht="14.25">
      <c r="B55" s="91" t="s">
        <v>106</v>
      </c>
      <c r="C55" s="92">
        <v>208.9214172363281</v>
      </c>
      <c r="E55" s="19"/>
      <c r="F55" s="19"/>
      <c r="G55" s="19"/>
      <c r="H55" s="19"/>
      <c r="I55" s="19"/>
      <c r="J55" s="19"/>
    </row>
    <row r="56" ht="14.25">
      <c r="B56" s="91" t="s">
        <v>107</v>
      </c>
      <c r="C56" s="92">
        <v>209.75019836425781</v>
      </c>
      <c r="E56" s="19"/>
      <c r="F56" s="19"/>
      <c r="G56" s="19"/>
      <c r="H56" s="19"/>
      <c r="I56" s="19"/>
      <c r="J56" s="19"/>
    </row>
    <row r="57" ht="14.25">
      <c r="B57" s="91" t="s">
        <v>108</v>
      </c>
      <c r="C57" s="92">
        <v>209.33082580566409</v>
      </c>
      <c r="E57" s="19"/>
      <c r="F57" s="19"/>
      <c r="G57" s="19"/>
      <c r="H57" s="19"/>
      <c r="I57" s="19"/>
      <c r="J57" s="19"/>
    </row>
    <row r="58" ht="14.25">
      <c r="B58" s="91" t="s">
        <v>109</v>
      </c>
      <c r="C58" s="92">
        <v>206.27534484863281</v>
      </c>
      <c r="E58" s="19"/>
      <c r="F58" s="19"/>
      <c r="G58" s="19"/>
      <c r="H58" s="19"/>
      <c r="I58" s="19"/>
      <c r="J58" s="19"/>
    </row>
    <row r="59" ht="14.25">
      <c r="B59" s="91" t="s">
        <v>110</v>
      </c>
      <c r="C59" s="92">
        <v>197.4184265136719</v>
      </c>
      <c r="E59" s="19"/>
      <c r="F59" s="19"/>
      <c r="G59" s="19"/>
      <c r="H59" s="19"/>
      <c r="I59" s="19"/>
      <c r="J59" s="19"/>
    </row>
    <row r="60" ht="14.25">
      <c r="B60" s="91" t="s">
        <v>111</v>
      </c>
      <c r="C60" s="92">
        <v>197.9875793457031</v>
      </c>
      <c r="E60" s="19"/>
      <c r="F60" s="19"/>
      <c r="G60" s="19"/>
      <c r="H60" s="19"/>
      <c r="I60" s="19"/>
      <c r="J60" s="19"/>
    </row>
    <row r="61" ht="14.25">
      <c r="B61" s="91" t="s">
        <v>112</v>
      </c>
      <c r="C61" s="92">
        <v>199.84483337402341</v>
      </c>
      <c r="E61" s="19"/>
      <c r="F61" s="19"/>
      <c r="G61" s="19"/>
      <c r="H61" s="19"/>
      <c r="I61" s="19"/>
      <c r="J61" s="19"/>
    </row>
    <row r="62" ht="14.25">
      <c r="B62" s="91" t="s">
        <v>113</v>
      </c>
      <c r="C62" s="92">
        <v>191.50714111328119</v>
      </c>
      <c r="E62" s="19"/>
      <c r="F62" s="19"/>
      <c r="G62" s="19"/>
      <c r="H62" s="19"/>
      <c r="I62" s="19"/>
      <c r="J62" s="19"/>
    </row>
    <row r="63" ht="14.25">
      <c r="B63" s="91" t="s">
        <v>114</v>
      </c>
      <c r="C63" s="92">
        <v>195.26161193847659</v>
      </c>
      <c r="E63" s="19"/>
      <c r="F63" s="19"/>
      <c r="G63" s="19"/>
      <c r="H63" s="19"/>
      <c r="I63" s="19"/>
      <c r="J63" s="19"/>
    </row>
    <row r="64" ht="14.25">
      <c r="B64" s="91" t="s">
        <v>115</v>
      </c>
      <c r="C64" s="92">
        <v>193.35441589355469</v>
      </c>
      <c r="E64" s="19"/>
      <c r="F64" s="19"/>
      <c r="G64" s="19"/>
      <c r="H64" s="19"/>
      <c r="I64" s="19"/>
      <c r="J64" s="19"/>
    </row>
    <row r="65" ht="14.25">
      <c r="B65" s="91" t="s">
        <v>116</v>
      </c>
      <c r="C65" s="92">
        <v>192.78526306152341</v>
      </c>
      <c r="E65" s="19"/>
      <c r="F65" s="19"/>
      <c r="G65" s="19"/>
      <c r="H65" s="19"/>
      <c r="I65" s="19"/>
      <c r="J65" s="19"/>
    </row>
    <row r="66" ht="14.25">
      <c r="B66" s="91" t="s">
        <v>117</v>
      </c>
      <c r="C66" s="92">
        <v>193.40434265136719</v>
      </c>
      <c r="E66" s="19"/>
      <c r="F66" s="19"/>
      <c r="G66" s="19"/>
      <c r="H66" s="19"/>
      <c r="I66" s="19"/>
      <c r="J66" s="19"/>
    </row>
    <row r="67" ht="14.25">
      <c r="B67" s="91" t="s">
        <v>118</v>
      </c>
      <c r="C67" s="92">
        <v>185.94535827636719</v>
      </c>
      <c r="E67" s="19"/>
      <c r="F67" s="19"/>
      <c r="G67" s="19"/>
      <c r="H67" s="19"/>
      <c r="I67" s="19"/>
      <c r="J67" s="19"/>
    </row>
    <row r="68" ht="14.25">
      <c r="B68" s="91" t="s">
        <v>119</v>
      </c>
      <c r="C68" s="92">
        <v>192.9150695800781</v>
      </c>
      <c r="E68" s="19"/>
      <c r="F68" s="19"/>
      <c r="G68" s="19"/>
      <c r="H68" s="19"/>
      <c r="I68" s="19"/>
      <c r="J68" s="19"/>
    </row>
    <row r="69" ht="14.25">
      <c r="B69" s="91" t="s">
        <v>120</v>
      </c>
      <c r="C69" s="92">
        <v>185.5159912109375</v>
      </c>
      <c r="E69" s="19"/>
      <c r="F69" s="19"/>
      <c r="G69" s="19"/>
      <c r="H69" s="19"/>
      <c r="I69" s="19"/>
      <c r="J69" s="19"/>
    </row>
    <row r="70" ht="14.25">
      <c r="B70" s="91" t="s">
        <v>121</v>
      </c>
      <c r="C70" s="92">
        <v>185.1365661621094</v>
      </c>
      <c r="E70" s="19"/>
      <c r="F70" s="19"/>
      <c r="G70" s="19"/>
      <c r="H70" s="19"/>
      <c r="I70" s="19"/>
      <c r="J70" s="19"/>
    </row>
    <row r="71" ht="14.25">
      <c r="B71" s="91" t="s">
        <v>122</v>
      </c>
      <c r="C71" s="92">
        <v>186.53448486328119</v>
      </c>
      <c r="E71" s="19"/>
      <c r="F71" s="19"/>
      <c r="G71" s="19"/>
      <c r="H71" s="19"/>
      <c r="I71" s="19"/>
      <c r="J71" s="19"/>
    </row>
    <row r="72" ht="14.25">
      <c r="B72" s="91" t="s">
        <v>123</v>
      </c>
      <c r="C72" s="92">
        <v>187.92243957519531</v>
      </c>
      <c r="E72" s="19"/>
      <c r="F72" s="19"/>
      <c r="G72" s="19"/>
      <c r="H72" s="19"/>
      <c r="I72" s="19"/>
      <c r="J72" s="19"/>
    </row>
    <row r="73" ht="14.25">
      <c r="B73" s="91" t="s">
        <v>124</v>
      </c>
      <c r="C73" s="92">
        <v>187.5230407714844</v>
      </c>
      <c r="E73" s="19"/>
      <c r="F73" s="19"/>
      <c r="G73" s="19"/>
      <c r="H73" s="19"/>
      <c r="I73" s="19"/>
      <c r="J73" s="19"/>
    </row>
    <row r="74" ht="14.25">
      <c r="B74" s="91" t="s">
        <v>125</v>
      </c>
      <c r="C74" s="92">
        <v>187.23345947265619</v>
      </c>
      <c r="E74" s="19"/>
      <c r="F74" s="19"/>
      <c r="G74" s="19"/>
      <c r="H74" s="19"/>
      <c r="I74" s="19"/>
      <c r="J74" s="19"/>
    </row>
    <row r="75" ht="14.25">
      <c r="B75" s="91" t="s">
        <v>126</v>
      </c>
      <c r="C75" s="92">
        <v>189.4601745605469</v>
      </c>
      <c r="E75" s="19"/>
      <c r="F75" s="19"/>
      <c r="G75" s="19"/>
      <c r="H75" s="19"/>
      <c r="I75" s="19"/>
      <c r="J75" s="19"/>
    </row>
    <row r="76" ht="14.25">
      <c r="B76" s="91" t="s">
        <v>127</v>
      </c>
      <c r="C76" s="92">
        <v>190.9280090332031</v>
      </c>
      <c r="E76" s="19"/>
      <c r="F76" s="19"/>
      <c r="G76" s="19"/>
      <c r="H76" s="19"/>
      <c r="I76" s="19"/>
      <c r="J76" s="19"/>
    </row>
    <row r="77" ht="14.25">
      <c r="B77" s="91" t="s">
        <v>128</v>
      </c>
      <c r="C77" s="92">
        <v>190.55854797363281</v>
      </c>
      <c r="E77" s="19"/>
      <c r="F77" s="19"/>
      <c r="G77" s="19"/>
      <c r="H77" s="19"/>
      <c r="I77" s="19"/>
      <c r="J77" s="19"/>
    </row>
    <row r="78" ht="14.25">
      <c r="B78" s="91" t="s">
        <v>129</v>
      </c>
      <c r="C78" s="92">
        <v>189.28044128417969</v>
      </c>
      <c r="E78" s="19"/>
      <c r="F78" s="19"/>
      <c r="G78" s="19"/>
      <c r="H78" s="19"/>
      <c r="I78" s="19"/>
      <c r="J78" s="19"/>
    </row>
    <row r="79" ht="14.25">
      <c r="B79" s="91" t="s">
        <v>130</v>
      </c>
      <c r="C79" s="92">
        <v>184.73713684082031</v>
      </c>
      <c r="E79" s="19"/>
      <c r="F79" s="19"/>
      <c r="G79" s="19"/>
      <c r="H79" s="19"/>
      <c r="I79" s="19"/>
      <c r="J79" s="19"/>
    </row>
    <row r="80" ht="14.25">
      <c r="B80" s="91" t="s">
        <v>131</v>
      </c>
      <c r="C80" s="92">
        <v>184.42759704589841</v>
      </c>
      <c r="E80" s="19"/>
      <c r="F80" s="19"/>
      <c r="G80" s="19"/>
      <c r="H80" s="19"/>
      <c r="I80" s="19"/>
      <c r="J80" s="19"/>
    </row>
    <row r="81" ht="14.25">
      <c r="B81" s="91" t="s">
        <v>132</v>
      </c>
      <c r="C81" s="92">
        <v>184.72715759277341</v>
      </c>
      <c r="E81" s="19"/>
      <c r="F81" s="19"/>
      <c r="G81" s="19"/>
      <c r="H81" s="19"/>
      <c r="I81" s="19"/>
      <c r="J81" s="19"/>
    </row>
    <row r="82" ht="14.25">
      <c r="B82" s="91" t="s">
        <v>133</v>
      </c>
      <c r="C82" s="92">
        <v>177.7474670410156</v>
      </c>
      <c r="E82" s="19"/>
      <c r="F82" s="19"/>
      <c r="G82" s="19"/>
      <c r="H82" s="19"/>
      <c r="I82" s="19"/>
      <c r="J82" s="19"/>
    </row>
    <row r="83" ht="14.25">
      <c r="B83" s="91" t="s">
        <v>134</v>
      </c>
      <c r="C83" s="92">
        <v>181.73158264160159</v>
      </c>
      <c r="E83" s="19"/>
      <c r="F83" s="19"/>
      <c r="G83" s="19"/>
      <c r="H83" s="19"/>
      <c r="I83" s="19"/>
      <c r="J83" s="19"/>
    </row>
    <row r="84" ht="14.25">
      <c r="B84" s="91" t="s">
        <v>135</v>
      </c>
      <c r="C84" s="92">
        <v>178.3565673828125</v>
      </c>
      <c r="E84" s="19"/>
      <c r="F84" s="19"/>
      <c r="G84" s="19"/>
      <c r="H84" s="19"/>
      <c r="I84" s="19"/>
      <c r="J84" s="19"/>
    </row>
    <row r="85" ht="14.25">
      <c r="B85" s="91" t="s">
        <v>136</v>
      </c>
      <c r="C85" s="92">
        <v>185.3662109375</v>
      </c>
      <c r="E85" s="19"/>
      <c r="F85" s="19"/>
      <c r="G85" s="19"/>
      <c r="H85" s="19"/>
      <c r="I85" s="19"/>
      <c r="J85" s="19"/>
    </row>
    <row r="86" ht="14.25">
      <c r="B86" s="91" t="s">
        <v>137</v>
      </c>
      <c r="C86" s="92">
        <v>184.1380310058594</v>
      </c>
      <c r="E86" s="19"/>
      <c r="F86" s="19"/>
      <c r="G86" s="19"/>
      <c r="H86" s="19"/>
      <c r="I86" s="19"/>
      <c r="J86" s="19"/>
    </row>
    <row r="87" ht="14.25">
      <c r="B87" s="91" t="s">
        <v>138</v>
      </c>
      <c r="C87" s="92">
        <v>183.9283447265625</v>
      </c>
      <c r="E87" s="19"/>
      <c r="F87" s="19"/>
      <c r="G87" s="19"/>
      <c r="H87" s="19"/>
      <c r="I87" s="19"/>
      <c r="J87" s="19"/>
    </row>
    <row r="88" ht="14.25">
      <c r="B88" s="91" t="s">
        <v>139</v>
      </c>
      <c r="C88" s="92">
        <v>185.34623718261719</v>
      </c>
      <c r="E88" s="19"/>
      <c r="F88" s="19"/>
      <c r="G88" s="19"/>
      <c r="H88" s="19"/>
      <c r="I88" s="19"/>
      <c r="J88" s="19"/>
    </row>
    <row r="89" ht="14.25">
      <c r="B89" s="91" t="s">
        <v>140</v>
      </c>
      <c r="C89" s="92">
        <v>188.33183288574219</v>
      </c>
      <c r="E89" s="19"/>
      <c r="F89" s="19"/>
      <c r="G89" s="19"/>
      <c r="H89" s="19"/>
      <c r="I89" s="19"/>
      <c r="J89" s="19"/>
    </row>
    <row r="90" ht="14.25">
      <c r="B90" s="91" t="s">
        <v>141</v>
      </c>
      <c r="C90" s="92">
        <v>192.32594299316409</v>
      </c>
      <c r="E90" s="19"/>
      <c r="F90" s="19"/>
      <c r="G90" s="19"/>
      <c r="H90" s="19"/>
      <c r="I90" s="19"/>
      <c r="J90" s="19"/>
    </row>
    <row r="91" ht="14.25">
      <c r="B91" s="91" t="s">
        <v>142</v>
      </c>
      <c r="C91" s="92">
        <v>193.99346923828119</v>
      </c>
      <c r="E91" s="19"/>
      <c r="F91" s="19"/>
      <c r="G91" s="19"/>
      <c r="H91" s="19"/>
      <c r="I91" s="19"/>
      <c r="J91" s="19"/>
    </row>
    <row r="92" ht="14.25">
      <c r="B92" s="91" t="s">
        <v>143</v>
      </c>
      <c r="C92" s="92">
        <v>189.86956787109381</v>
      </c>
      <c r="E92" s="19"/>
      <c r="F92" s="19"/>
      <c r="G92" s="19"/>
      <c r="H92" s="19"/>
      <c r="I92" s="19"/>
      <c r="J92" s="19"/>
    </row>
    <row r="93" ht="14.25">
      <c r="B93" s="91" t="s">
        <v>144</v>
      </c>
      <c r="C93" s="92">
        <v>186.43464660644531</v>
      </c>
      <c r="E93" s="19"/>
      <c r="F93" s="19"/>
      <c r="G93" s="19"/>
      <c r="H93" s="19"/>
      <c r="I93" s="19"/>
      <c r="J93" s="19"/>
    </row>
    <row r="94" ht="14.25">
      <c r="B94" s="91" t="s">
        <v>145</v>
      </c>
      <c r="C94" s="92">
        <v>191.76676940917969</v>
      </c>
      <c r="E94" s="19"/>
      <c r="F94" s="19"/>
      <c r="G94" s="19"/>
      <c r="H94" s="19"/>
      <c r="I94" s="19"/>
      <c r="J94" s="19"/>
    </row>
    <row r="95" ht="14.25">
      <c r="B95" s="91" t="s">
        <v>146</v>
      </c>
      <c r="C95" s="92">
        <v>190.4486999511719</v>
      </c>
      <c r="E95" s="19"/>
      <c r="F95" s="19"/>
      <c r="G95" s="19"/>
      <c r="H95" s="19"/>
      <c r="I95" s="19"/>
      <c r="J95" s="19"/>
    </row>
    <row r="96" ht="14.25">
      <c r="B96" s="91" t="s">
        <v>147</v>
      </c>
      <c r="C96" s="92">
        <v>188.42170715332031</v>
      </c>
      <c r="E96" s="19"/>
      <c r="F96" s="19"/>
      <c r="G96" s="19"/>
      <c r="H96" s="19"/>
      <c r="I96" s="19"/>
      <c r="J96" s="19"/>
    </row>
    <row r="97" ht="14.25">
      <c r="B97" s="91" t="s">
        <v>148</v>
      </c>
      <c r="C97" s="92">
        <v>190.79820251464841</v>
      </c>
      <c r="E97" s="19"/>
      <c r="F97" s="19"/>
      <c r="G97" s="19"/>
      <c r="H97" s="19"/>
      <c r="I97" s="19"/>
      <c r="J97" s="19"/>
    </row>
    <row r="98" ht="14.25">
      <c r="B98" s="91" t="s">
        <v>149</v>
      </c>
      <c r="C98" s="92">
        <v>186.23492431640619</v>
      </c>
      <c r="E98" s="19"/>
      <c r="F98" s="19"/>
      <c r="G98" s="19"/>
      <c r="H98" s="19"/>
      <c r="I98" s="19"/>
      <c r="J98" s="19"/>
    </row>
    <row r="99" ht="14.25">
      <c r="B99" s="91" t="s">
        <v>150</v>
      </c>
      <c r="C99" s="92">
        <v>181.30223083496091</v>
      </c>
      <c r="E99" s="19"/>
      <c r="F99" s="19"/>
      <c r="G99" s="19"/>
      <c r="H99" s="19"/>
      <c r="I99" s="19"/>
      <c r="J99" s="19"/>
    </row>
    <row r="100" ht="14.25">
      <c r="B100" s="91" t="s">
        <v>151</v>
      </c>
      <c r="C100" s="92">
        <v>185.0566711425781</v>
      </c>
      <c r="E100" s="19"/>
      <c r="F100" s="19"/>
      <c r="G100" s="19"/>
      <c r="H100" s="19"/>
      <c r="I100" s="19"/>
      <c r="J100" s="19"/>
    </row>
    <row r="101" ht="14.25">
      <c r="B101" s="91" t="s">
        <v>152</v>
      </c>
      <c r="C101" s="92">
        <v>185.19647216796881</v>
      </c>
      <c r="E101" s="19"/>
      <c r="F101" s="19"/>
      <c r="G101" s="19"/>
      <c r="H101" s="19"/>
      <c r="I101" s="19"/>
      <c r="J101" s="19"/>
    </row>
    <row r="102" ht="14.25">
      <c r="B102" s="91" t="s">
        <v>153</v>
      </c>
      <c r="C102" s="92">
        <v>181.81147766113281</v>
      </c>
      <c r="E102" s="19"/>
      <c r="F102" s="19"/>
      <c r="G102" s="19"/>
      <c r="H102" s="19"/>
      <c r="I102" s="19"/>
      <c r="J102" s="19"/>
    </row>
    <row r="103" ht="14.25">
      <c r="B103" s="91" t="s">
        <v>154</v>
      </c>
      <c r="C103" s="92">
        <v>180.50340270996091</v>
      </c>
      <c r="E103" s="19"/>
      <c r="F103" s="19"/>
      <c r="G103" s="19"/>
      <c r="H103" s="19"/>
      <c r="I103" s="19"/>
      <c r="J103" s="19"/>
    </row>
    <row r="104" ht="14.25">
      <c r="B104" s="91" t="s">
        <v>155</v>
      </c>
      <c r="C104" s="92">
        <v>176.0100402832031</v>
      </c>
      <c r="E104" s="19"/>
      <c r="F104" s="19"/>
      <c r="G104" s="19"/>
      <c r="H104" s="19"/>
      <c r="I104" s="19"/>
      <c r="J104" s="19"/>
    </row>
    <row r="105" ht="14.25">
      <c r="B105" s="91" t="s">
        <v>156</v>
      </c>
      <c r="C105" s="92">
        <v>169.6094970703125</v>
      </c>
      <c r="E105" s="19"/>
      <c r="F105" s="19"/>
      <c r="G105" s="19"/>
      <c r="H105" s="19"/>
      <c r="I105" s="19"/>
      <c r="J105" s="19"/>
    </row>
    <row r="106" ht="14.25">
      <c r="B106" s="91" t="s">
        <v>157</v>
      </c>
      <c r="C106" s="92">
        <v>172.33546447753909</v>
      </c>
      <c r="E106" s="19"/>
      <c r="F106" s="19"/>
      <c r="G106" s="19"/>
      <c r="H106" s="19"/>
      <c r="I106" s="19"/>
      <c r="J106" s="19"/>
    </row>
    <row r="107" ht="14.25">
      <c r="B107" s="91" t="s">
        <v>158</v>
      </c>
      <c r="C107" s="92">
        <v>177.6276550292969</v>
      </c>
      <c r="E107" s="19"/>
      <c r="F107" s="19"/>
      <c r="G107" s="19"/>
      <c r="H107" s="19"/>
      <c r="I107" s="19"/>
      <c r="J107" s="19"/>
    </row>
    <row r="108" ht="14.25">
      <c r="B108" s="91" t="s">
        <v>159</v>
      </c>
      <c r="C108" s="92">
        <v>179.53483581542969</v>
      </c>
      <c r="E108" s="19"/>
      <c r="F108" s="19"/>
      <c r="G108" s="19"/>
      <c r="H108" s="19"/>
      <c r="I108" s="19"/>
      <c r="J108" s="19"/>
    </row>
    <row r="109" ht="14.25">
      <c r="B109" s="91" t="s">
        <v>160</v>
      </c>
      <c r="C109" s="92">
        <v>175.89021301269531</v>
      </c>
      <c r="E109" s="19"/>
      <c r="F109" s="19"/>
      <c r="G109" s="19"/>
      <c r="H109" s="19"/>
      <c r="I109" s="19"/>
      <c r="J109" s="19"/>
    </row>
    <row r="110" ht="14.25">
      <c r="B110" s="91" t="s">
        <v>161</v>
      </c>
      <c r="C110" s="92">
        <v>177.46788024902341</v>
      </c>
      <c r="E110" s="19"/>
      <c r="F110" s="19"/>
      <c r="G110" s="19"/>
      <c r="H110" s="19"/>
      <c r="I110" s="19"/>
      <c r="J110" s="19"/>
    </row>
    <row r="111" ht="14.25">
      <c r="B111" s="91" t="s">
        <v>162</v>
      </c>
      <c r="C111" s="92">
        <v>174.921630859375</v>
      </c>
      <c r="E111" s="19"/>
      <c r="F111" s="19"/>
      <c r="G111" s="19"/>
      <c r="H111" s="19"/>
      <c r="I111" s="19"/>
      <c r="J111" s="19"/>
    </row>
    <row r="112" ht="14.25">
      <c r="B112" s="91" t="s">
        <v>163</v>
      </c>
      <c r="C112" s="92">
        <v>166.29438781738281</v>
      </c>
      <c r="E112" s="19"/>
      <c r="F112" s="19"/>
      <c r="G112" s="19"/>
      <c r="H112" s="19"/>
      <c r="I112" s="19"/>
      <c r="J112" s="19"/>
    </row>
    <row r="113" ht="14.25">
      <c r="B113" s="91" t="s">
        <v>164</v>
      </c>
      <c r="C113" s="92">
        <v>167.36280822753909</v>
      </c>
      <c r="E113" s="19"/>
      <c r="F113" s="19"/>
      <c r="G113" s="19"/>
      <c r="H113" s="19"/>
      <c r="I113" s="19"/>
      <c r="J113" s="19"/>
    </row>
    <row r="114" ht="14.25">
      <c r="B114" s="91" t="s">
        <v>165</v>
      </c>
      <c r="C114" s="92">
        <v>166.05474853515619</v>
      </c>
      <c r="E114" s="19"/>
      <c r="F114" s="19"/>
      <c r="G114" s="19"/>
      <c r="H114" s="19"/>
      <c r="I114" s="19"/>
      <c r="J114" s="19"/>
    </row>
    <row r="115" ht="14.25">
      <c r="B115" s="91" t="s">
        <v>166</v>
      </c>
      <c r="C115" s="92">
        <v>170.5081787109375</v>
      </c>
      <c r="E115" s="19"/>
      <c r="F115" s="19"/>
      <c r="G115" s="19"/>
      <c r="H115" s="19"/>
      <c r="I115" s="19"/>
      <c r="J115" s="19"/>
    </row>
    <row r="116" ht="14.25">
      <c r="B116" s="91" t="s">
        <v>167</v>
      </c>
      <c r="C116" s="92">
        <v>171.07637023925781</v>
      </c>
      <c r="E116" s="19"/>
      <c r="F116" s="19"/>
      <c r="G116" s="19"/>
      <c r="H116" s="19"/>
      <c r="I116" s="19"/>
      <c r="J116" s="19"/>
    </row>
    <row r="117" ht="14.25">
      <c r="B117" s="91" t="s">
        <v>168</v>
      </c>
      <c r="C117" s="92">
        <v>166.64045715332031</v>
      </c>
      <c r="E117" s="19"/>
      <c r="F117" s="19"/>
      <c r="G117" s="19"/>
      <c r="H117" s="19"/>
      <c r="I117" s="19"/>
      <c r="J117" s="19"/>
    </row>
    <row r="118" ht="14.25">
      <c r="B118" s="91" t="s">
        <v>169</v>
      </c>
      <c r="C118" s="92">
        <v>167.84663391113281</v>
      </c>
      <c r="E118" s="19"/>
      <c r="F118" s="19"/>
      <c r="G118" s="19"/>
      <c r="H118" s="19"/>
      <c r="I118" s="19"/>
      <c r="J118" s="19"/>
    </row>
    <row r="119" ht="14.25">
      <c r="B119" s="91" t="s">
        <v>170</v>
      </c>
      <c r="C119" s="92">
        <v>170.5879211425781</v>
      </c>
      <c r="E119" s="19"/>
      <c r="F119" s="19"/>
      <c r="G119" s="19"/>
      <c r="H119" s="19"/>
      <c r="I119" s="19"/>
      <c r="J119" s="19"/>
    </row>
    <row r="120" ht="14.25">
      <c r="B120" s="91" t="s">
        <v>171</v>
      </c>
      <c r="C120" s="92">
        <v>174.27618408203119</v>
      </c>
      <c r="E120" s="19"/>
      <c r="F120" s="19"/>
      <c r="G120" s="19"/>
      <c r="H120" s="19"/>
      <c r="I120" s="19"/>
      <c r="J120" s="19"/>
    </row>
    <row r="121" ht="14.25">
      <c r="B121" s="91" t="s">
        <v>172</v>
      </c>
      <c r="C121" s="92">
        <v>172.30247497558591</v>
      </c>
      <c r="E121" s="19"/>
      <c r="F121" s="19"/>
      <c r="G121" s="19"/>
      <c r="H121" s="19"/>
      <c r="I121" s="19"/>
      <c r="J121" s="19"/>
    </row>
    <row r="122" ht="14.25">
      <c r="B122" s="91" t="s">
        <v>173</v>
      </c>
      <c r="C122" s="92">
        <v>170.78729248046881</v>
      </c>
      <c r="E122" s="19"/>
      <c r="F122" s="19"/>
      <c r="G122" s="19"/>
      <c r="H122" s="19"/>
      <c r="I122" s="19"/>
      <c r="J122" s="19"/>
    </row>
    <row r="123" ht="14.25">
      <c r="B123" s="91" t="s">
        <v>174</v>
      </c>
      <c r="C123" s="92">
        <v>166.4909362792969</v>
      </c>
      <c r="E123" s="19"/>
      <c r="F123" s="19"/>
      <c r="G123" s="19"/>
      <c r="H123" s="19"/>
      <c r="I123" s="19"/>
      <c r="J123" s="19"/>
    </row>
    <row r="124" ht="14.25">
      <c r="B124" s="91" t="s">
        <v>175</v>
      </c>
      <c r="C124" s="92">
        <v>170.5580139160156</v>
      </c>
      <c r="E124" s="19"/>
      <c r="F124" s="19"/>
      <c r="G124" s="19"/>
      <c r="H124" s="19"/>
      <c r="I124" s="19"/>
      <c r="J124" s="19"/>
    </row>
    <row r="125" ht="14.25">
      <c r="B125" s="91" t="s">
        <v>176</v>
      </c>
      <c r="C125" s="92">
        <v>174.44566345214841</v>
      </c>
      <c r="E125" s="19"/>
      <c r="F125" s="19"/>
      <c r="G125" s="19"/>
      <c r="H125" s="19"/>
      <c r="I125" s="19"/>
      <c r="J125" s="19"/>
    </row>
    <row r="126" ht="14.25">
      <c r="B126" s="91" t="s">
        <v>177</v>
      </c>
      <c r="C126" s="92">
        <v>177.2367858886719</v>
      </c>
      <c r="E126" s="19"/>
      <c r="F126" s="19"/>
      <c r="G126" s="19"/>
      <c r="H126" s="19"/>
      <c r="I126" s="19"/>
      <c r="J126" s="19"/>
    </row>
    <row r="127" ht="14.25">
      <c r="B127" s="91" t="s">
        <v>178</v>
      </c>
      <c r="C127" s="92">
        <v>177.68536376953119</v>
      </c>
      <c r="E127" s="19"/>
      <c r="F127" s="19"/>
      <c r="G127" s="19"/>
      <c r="H127" s="19"/>
      <c r="I127" s="19"/>
      <c r="J127" s="19"/>
    </row>
    <row r="128" ht="14.25">
      <c r="B128" s="91" t="s">
        <v>179</v>
      </c>
      <c r="C128" s="92">
        <v>177.39628601074219</v>
      </c>
      <c r="E128" s="19"/>
      <c r="F128" s="19"/>
      <c r="G128" s="19"/>
      <c r="H128" s="19"/>
      <c r="I128" s="19"/>
      <c r="J128" s="19"/>
    </row>
    <row r="129" ht="14.25">
      <c r="B129" s="91" t="s">
        <v>180</v>
      </c>
      <c r="C129" s="92">
        <v>177.7950134277344</v>
      </c>
      <c r="E129" s="19"/>
      <c r="F129" s="19"/>
      <c r="G129" s="19"/>
      <c r="H129" s="19"/>
      <c r="I129" s="19"/>
      <c r="J129" s="19"/>
    </row>
    <row r="130" ht="14.25">
      <c r="B130" s="91" t="s">
        <v>181</v>
      </c>
      <c r="C130" s="92">
        <v>180.14753723144531</v>
      </c>
      <c r="E130" s="19"/>
      <c r="F130" s="19"/>
      <c r="G130" s="19"/>
      <c r="H130" s="19"/>
      <c r="I130" s="19"/>
      <c r="J130" s="19"/>
    </row>
    <row r="131" ht="14.25">
      <c r="B131" s="91" t="s">
        <v>182</v>
      </c>
      <c r="C131" s="92">
        <v>181.0845642089844</v>
      </c>
      <c r="E131" s="19"/>
      <c r="F131" s="19"/>
      <c r="G131" s="19"/>
      <c r="H131" s="19"/>
      <c r="I131" s="19"/>
      <c r="J131" s="19"/>
    </row>
    <row r="132" ht="14.25">
      <c r="B132" s="91" t="s">
        <v>183</v>
      </c>
      <c r="C132" s="92">
        <v>184.52363586425781</v>
      </c>
      <c r="E132" s="19"/>
      <c r="F132" s="19"/>
      <c r="G132" s="19"/>
      <c r="H132" s="19"/>
      <c r="I132" s="19"/>
      <c r="J132" s="19"/>
    </row>
    <row r="133" ht="14.25">
      <c r="B133" s="91" t="s">
        <v>184</v>
      </c>
      <c r="C133" s="92">
        <v>185.4307556152344</v>
      </c>
      <c r="E133" s="19"/>
      <c r="F133" s="19"/>
      <c r="G133" s="19"/>
      <c r="H133" s="19"/>
      <c r="I133" s="19"/>
      <c r="J133" s="19"/>
    </row>
    <row r="134" ht="14.25">
      <c r="B134" s="91" t="s">
        <v>185</v>
      </c>
      <c r="C134" s="92">
        <v>187.97267150878909</v>
      </c>
      <c r="E134" s="19"/>
      <c r="F134" s="19"/>
      <c r="G134" s="19"/>
      <c r="H134" s="19"/>
      <c r="I134" s="19"/>
      <c r="J134" s="19"/>
    </row>
    <row r="135" ht="14.25">
      <c r="B135" s="91" t="s">
        <v>186</v>
      </c>
      <c r="C135" s="92">
        <v>190.8335876464844</v>
      </c>
      <c r="E135" s="19"/>
      <c r="F135" s="19"/>
      <c r="G135" s="19"/>
      <c r="H135" s="19"/>
      <c r="I135" s="19"/>
      <c r="J135" s="19"/>
    </row>
    <row r="136" ht="14.25">
      <c r="B136" s="91" t="s">
        <v>187</v>
      </c>
      <c r="C136" s="92">
        <v>190.17567443847659</v>
      </c>
      <c r="E136" s="19"/>
      <c r="F136" s="19"/>
      <c r="G136" s="19"/>
      <c r="H136" s="19"/>
      <c r="I136" s="19"/>
      <c r="J136" s="19"/>
    </row>
    <row r="137" ht="14.25">
      <c r="B137" s="91" t="s">
        <v>188</v>
      </c>
      <c r="C137" s="92">
        <v>192.34877014160159</v>
      </c>
      <c r="E137" s="19"/>
      <c r="F137" s="19"/>
      <c r="G137" s="19"/>
      <c r="H137" s="19"/>
      <c r="I137" s="19"/>
      <c r="J137" s="19"/>
    </row>
    <row r="138" ht="14.25">
      <c r="B138" s="91" t="s">
        <v>189</v>
      </c>
      <c r="C138" s="92">
        <v>192.95683288574219</v>
      </c>
      <c r="E138" s="19"/>
      <c r="F138" s="19"/>
      <c r="G138" s="19"/>
      <c r="H138" s="19"/>
      <c r="I138" s="19"/>
      <c r="J138" s="19"/>
    </row>
    <row r="139" ht="14.25">
      <c r="B139" s="91" t="s">
        <v>190</v>
      </c>
      <c r="C139" s="92">
        <v>191.93009948730469</v>
      </c>
      <c r="E139" s="19"/>
      <c r="F139" s="19"/>
      <c r="G139" s="19"/>
      <c r="H139" s="19"/>
      <c r="I139" s="19"/>
      <c r="J139" s="19"/>
    </row>
    <row r="140" ht="14.25">
      <c r="B140" s="91" t="s">
        <v>191</v>
      </c>
      <c r="C140" s="92">
        <v>190.74388122558591</v>
      </c>
      <c r="E140" s="19"/>
      <c r="F140" s="19"/>
      <c r="G140" s="19"/>
      <c r="H140" s="19"/>
      <c r="I140" s="19"/>
      <c r="J140" s="19"/>
    </row>
    <row r="141" ht="14.25">
      <c r="B141" s="91" t="s">
        <v>192</v>
      </c>
      <c r="C141" s="92">
        <v>197.19337463378909</v>
      </c>
      <c r="E141" s="19"/>
      <c r="F141" s="19"/>
      <c r="G141" s="19"/>
      <c r="H141" s="19"/>
      <c r="I141" s="19"/>
      <c r="J141" s="19"/>
    </row>
    <row r="142" ht="14.25">
      <c r="B142" s="91" t="s">
        <v>193</v>
      </c>
      <c r="C142" s="92">
        <v>195.6881408691406</v>
      </c>
      <c r="E142" s="19"/>
      <c r="F142" s="19"/>
      <c r="G142" s="19"/>
      <c r="H142" s="19"/>
      <c r="I142" s="19"/>
      <c r="J142" s="19"/>
    </row>
    <row r="143" ht="14.25">
      <c r="B143" s="91" t="s">
        <v>194</v>
      </c>
      <c r="C143" s="92">
        <v>199.38641357421881</v>
      </c>
      <c r="E143" s="19"/>
      <c r="F143" s="19"/>
      <c r="G143" s="19"/>
      <c r="H143" s="19"/>
      <c r="I143" s="19"/>
      <c r="J143" s="19"/>
    </row>
    <row r="144" ht="14.25">
      <c r="B144" s="91" t="s">
        <v>195</v>
      </c>
      <c r="C144" s="92">
        <v>199.5758056640625</v>
      </c>
      <c r="E144" s="19"/>
      <c r="F144" s="19"/>
      <c r="G144" s="19"/>
      <c r="H144" s="19"/>
      <c r="I144" s="19"/>
      <c r="J144" s="19"/>
    </row>
    <row r="145" ht="14.25">
      <c r="B145" s="91" t="s">
        <v>196</v>
      </c>
      <c r="C145" s="92">
        <v>202.70585632324219</v>
      </c>
      <c r="E145" s="19"/>
      <c r="F145" s="19"/>
      <c r="G145" s="19"/>
      <c r="H145" s="19"/>
      <c r="I145" s="19"/>
      <c r="J145" s="19"/>
    </row>
    <row r="146" ht="14.25">
      <c r="B146" s="91" t="s">
        <v>197</v>
      </c>
      <c r="C146" s="92">
        <v>205.37736511230469</v>
      </c>
      <c r="E146" s="19"/>
      <c r="F146" s="19"/>
      <c r="G146" s="19"/>
      <c r="H146" s="19"/>
      <c r="I146" s="19"/>
      <c r="J146" s="19"/>
    </row>
    <row r="147" ht="14.25">
      <c r="B147" s="91" t="s">
        <v>198</v>
      </c>
      <c r="C147" s="92">
        <v>208.34791564941409</v>
      </c>
      <c r="E147" s="19"/>
      <c r="F147" s="19"/>
      <c r="G147" s="19"/>
      <c r="H147" s="19"/>
      <c r="I147" s="19"/>
      <c r="J147" s="19"/>
    </row>
    <row r="148" ht="14.25">
      <c r="B148" s="91" t="s">
        <v>199</v>
      </c>
      <c r="C148" s="92">
        <v>208.54728698730469</v>
      </c>
      <c r="E148" s="19"/>
      <c r="F148" s="19"/>
      <c r="G148" s="19"/>
      <c r="H148" s="19"/>
      <c r="I148" s="19"/>
      <c r="J148" s="19"/>
    </row>
    <row r="149" ht="14.25">
      <c r="B149" s="91" t="s">
        <v>200</v>
      </c>
      <c r="C149" s="92">
        <v>205.23779296875</v>
      </c>
      <c r="E149" s="19"/>
      <c r="F149" s="19"/>
      <c r="G149" s="19"/>
      <c r="H149" s="19"/>
      <c r="I149" s="19"/>
      <c r="J149" s="19"/>
    </row>
    <row r="150" ht="14.25">
      <c r="B150" s="91" t="s">
        <v>201</v>
      </c>
      <c r="C150" s="92">
        <v>205.16802978515619</v>
      </c>
      <c r="E150" s="19"/>
      <c r="F150" s="19"/>
      <c r="G150" s="19"/>
      <c r="H150" s="19"/>
      <c r="I150" s="19"/>
      <c r="J150" s="19"/>
    </row>
    <row r="151" ht="14.25">
      <c r="B151" s="91" t="s">
        <v>202</v>
      </c>
      <c r="C151" s="92">
        <v>195.44891357421881</v>
      </c>
      <c r="E151" s="19"/>
      <c r="F151" s="19"/>
      <c r="G151" s="19"/>
      <c r="H151" s="19"/>
      <c r="I151" s="19"/>
      <c r="J151" s="19"/>
    </row>
    <row r="152" ht="14.25">
      <c r="B152" s="91" t="s">
        <v>203</v>
      </c>
      <c r="C152" s="92">
        <v>193.6645812988281</v>
      </c>
      <c r="E152" s="19"/>
      <c r="F152" s="19"/>
      <c r="G152" s="19"/>
      <c r="H152" s="19"/>
      <c r="I152" s="19"/>
      <c r="J152" s="19"/>
    </row>
    <row r="153" ht="14.25">
      <c r="B153" s="91" t="s">
        <v>204</v>
      </c>
      <c r="C153" s="92">
        <v>190.793701171875</v>
      </c>
      <c r="E153" s="19"/>
      <c r="F153" s="19"/>
      <c r="G153" s="19"/>
      <c r="H153" s="19"/>
      <c r="I153" s="19"/>
      <c r="J153" s="19"/>
    </row>
    <row r="154" ht="14.25">
      <c r="B154" s="91" t="s">
        <v>205</v>
      </c>
      <c r="C154" s="92">
        <v>192.73753356933591</v>
      </c>
      <c r="E154" s="19"/>
      <c r="F154" s="19"/>
      <c r="G154" s="19"/>
      <c r="H154" s="19"/>
      <c r="I154" s="19"/>
      <c r="J154" s="19"/>
    </row>
    <row r="155" ht="14.25">
      <c r="B155" s="91" t="s">
        <v>206</v>
      </c>
      <c r="C155" s="92">
        <v>182.58976745605469</v>
      </c>
      <c r="E155" s="19"/>
      <c r="F155" s="19"/>
      <c r="G155" s="19"/>
      <c r="H155" s="19"/>
      <c r="I155" s="19"/>
      <c r="J155" s="19"/>
    </row>
    <row r="156" ht="14.25">
      <c r="B156" s="91" t="s">
        <v>207</v>
      </c>
      <c r="C156" s="92">
        <v>179.11082458496091</v>
      </c>
      <c r="E156" s="19"/>
      <c r="F156" s="19"/>
      <c r="G156" s="19"/>
      <c r="H156" s="19"/>
      <c r="I156" s="19"/>
      <c r="J156" s="19"/>
    </row>
    <row r="157" ht="14.25">
      <c r="B157" s="91" t="s">
        <v>208</v>
      </c>
      <c r="C157" s="92">
        <v>176.22001647949219</v>
      </c>
      <c r="E157" s="19"/>
      <c r="F157" s="19"/>
      <c r="G157" s="19"/>
      <c r="H157" s="19"/>
      <c r="I157" s="19"/>
      <c r="J157" s="19"/>
    </row>
    <row r="158" ht="14.25">
      <c r="B158" s="91" t="s">
        <v>209</v>
      </c>
      <c r="C158" s="92">
        <v>177.42619323730469</v>
      </c>
      <c r="E158" s="19"/>
      <c r="F158" s="19"/>
      <c r="G158" s="19"/>
      <c r="H158" s="19"/>
      <c r="I158" s="19"/>
      <c r="J158" s="19"/>
    </row>
    <row r="159" ht="14.25">
      <c r="B159" s="91" t="s">
        <v>210</v>
      </c>
      <c r="C159" s="92">
        <v>176.89787292480469</v>
      </c>
      <c r="E159" s="19"/>
      <c r="F159" s="19"/>
      <c r="G159" s="19"/>
      <c r="H159" s="19"/>
      <c r="I159" s="19"/>
      <c r="J159" s="19"/>
    </row>
    <row r="160" ht="14.25">
      <c r="B160" s="91" t="s">
        <v>211</v>
      </c>
      <c r="C160" s="92">
        <v>178.84169006347659</v>
      </c>
      <c r="E160" s="19"/>
      <c r="F160" s="19"/>
      <c r="G160" s="19"/>
      <c r="H160" s="19"/>
      <c r="I160" s="19"/>
      <c r="J160" s="19"/>
    </row>
    <row r="161" ht="14.25">
      <c r="B161" s="91" t="s">
        <v>212</v>
      </c>
      <c r="C161" s="92">
        <v>182.0714111328125</v>
      </c>
      <c r="E161" s="19"/>
      <c r="F161" s="19"/>
      <c r="G161" s="19"/>
      <c r="H161" s="19"/>
      <c r="I161" s="19"/>
      <c r="J161" s="19"/>
    </row>
    <row r="162" ht="14.25">
      <c r="B162" s="91" t="s">
        <v>213</v>
      </c>
      <c r="C162" s="92">
        <v>181.67268371582031</v>
      </c>
      <c r="E162" s="19"/>
      <c r="F162" s="19"/>
      <c r="G162" s="19"/>
      <c r="H162" s="19"/>
      <c r="I162" s="19"/>
      <c r="J162" s="19"/>
    </row>
    <row r="163" ht="14.25">
      <c r="B163" s="91" t="s">
        <v>214</v>
      </c>
      <c r="C163" s="92">
        <v>185.69989013671881</v>
      </c>
      <c r="E163" s="19"/>
      <c r="F163" s="19"/>
      <c r="G163" s="19"/>
      <c r="H163" s="19"/>
      <c r="I163" s="19"/>
      <c r="J163" s="19"/>
    </row>
    <row r="164" ht="14.25">
      <c r="B164" s="91" t="s">
        <v>215</v>
      </c>
      <c r="C164" s="92">
        <v>186.51728820800781</v>
      </c>
      <c r="E164" s="19"/>
      <c r="F164" s="19"/>
      <c r="G164" s="19"/>
      <c r="H164" s="19"/>
      <c r="I164" s="19"/>
      <c r="J164" s="19"/>
    </row>
    <row r="165" ht="14.25">
      <c r="B165" s="91" t="s">
        <v>216</v>
      </c>
      <c r="C165" s="92">
        <v>183.1679382324219</v>
      </c>
      <c r="E165" s="19"/>
      <c r="F165" s="19"/>
      <c r="G165" s="19"/>
      <c r="H165" s="19"/>
      <c r="I165" s="19"/>
      <c r="J165" s="19"/>
    </row>
    <row r="166" ht="14.25">
      <c r="B166" s="91" t="s">
        <v>217</v>
      </c>
      <c r="C166" s="92">
        <v>187.53407287597659</v>
      </c>
      <c r="E166" s="19"/>
      <c r="F166" s="19"/>
      <c r="G166" s="19"/>
      <c r="H166" s="19"/>
      <c r="I166" s="19"/>
      <c r="J166" s="19"/>
    </row>
    <row r="167" ht="14.25">
      <c r="B167" s="91" t="s">
        <v>218</v>
      </c>
      <c r="C167" s="92">
        <v>187.1851806640625</v>
      </c>
      <c r="E167" s="19"/>
      <c r="F167" s="19"/>
      <c r="G167" s="19"/>
      <c r="H167" s="19"/>
      <c r="I167" s="19"/>
      <c r="J167" s="19"/>
    </row>
    <row r="168" ht="14.25">
      <c r="B168" s="91" t="s">
        <v>219</v>
      </c>
      <c r="C168" s="92">
        <v>183.43708801269531</v>
      </c>
      <c r="E168" s="19"/>
      <c r="F168" s="19"/>
      <c r="G168" s="19"/>
      <c r="H168" s="19"/>
      <c r="I168" s="19"/>
      <c r="J168" s="19"/>
    </row>
    <row r="169" ht="14.25">
      <c r="B169" s="91" t="s">
        <v>220</v>
      </c>
      <c r="C169" s="92">
        <v>181.49327087402341</v>
      </c>
      <c r="E169" s="19"/>
      <c r="F169" s="19"/>
      <c r="G169" s="19"/>
      <c r="H169" s="19"/>
      <c r="I169" s="19"/>
      <c r="J169" s="19"/>
    </row>
    <row r="170" ht="14.25">
      <c r="B170" s="91" t="s">
        <v>221</v>
      </c>
      <c r="C170" s="92">
        <v>179.28028869628909</v>
      </c>
      <c r="E170" s="19"/>
      <c r="F170" s="19"/>
      <c r="G170" s="19"/>
      <c r="H170" s="19"/>
      <c r="I170" s="19"/>
      <c r="J170" s="19"/>
    </row>
    <row r="171" ht="14.25">
      <c r="B171" s="91" t="s">
        <v>222</v>
      </c>
      <c r="C171" s="92">
        <v>178.47283935546881</v>
      </c>
      <c r="E171" s="19"/>
      <c r="F171" s="19"/>
      <c r="G171" s="19"/>
      <c r="H171" s="19"/>
      <c r="I171" s="19"/>
      <c r="J171" s="19"/>
    </row>
    <row r="172" ht="14.25">
      <c r="B172" s="91" t="s">
        <v>223</v>
      </c>
      <c r="C172" s="92">
        <v>172.4619445800781</v>
      </c>
      <c r="E172" s="19"/>
      <c r="F172" s="19"/>
      <c r="G172" s="19"/>
      <c r="H172" s="19"/>
      <c r="I172" s="19"/>
      <c r="J172" s="19"/>
    </row>
    <row r="173" ht="14.25">
      <c r="B173" s="91" t="s">
        <v>224</v>
      </c>
      <c r="C173" s="92">
        <v>164.79631042480469</v>
      </c>
      <c r="E173" s="19"/>
      <c r="F173" s="19"/>
      <c r="G173" s="19"/>
      <c r="H173" s="19"/>
      <c r="I173" s="19"/>
      <c r="J173" s="19"/>
    </row>
    <row r="174" ht="14.25">
      <c r="B174" s="91" t="s">
        <v>225</v>
      </c>
      <c r="C174" s="92">
        <v>169.67083740234381</v>
      </c>
      <c r="E174" s="19"/>
      <c r="F174" s="19"/>
      <c r="G174" s="19"/>
      <c r="H174" s="19"/>
      <c r="I174" s="19"/>
      <c r="J174" s="19"/>
    </row>
    <row r="175" ht="14.25">
      <c r="B175" s="91" t="s">
        <v>226</v>
      </c>
      <c r="C175" s="92">
        <v>168.56434631347659</v>
      </c>
      <c r="E175" s="19"/>
      <c r="F175" s="19"/>
      <c r="G175" s="19"/>
      <c r="H175" s="19"/>
      <c r="I175" s="19"/>
      <c r="J175" s="19"/>
    </row>
    <row r="176" ht="14.25">
      <c r="B176" s="91" t="s">
        <v>227</v>
      </c>
      <c r="C176" s="92">
        <v>164.1982116699219</v>
      </c>
      <c r="E176" s="19"/>
      <c r="F176" s="19"/>
      <c r="G176" s="19"/>
      <c r="H176" s="19"/>
      <c r="I176" s="19"/>
      <c r="J176" s="19"/>
    </row>
    <row r="177" ht="14.25">
      <c r="B177" s="91" t="s">
        <v>228</v>
      </c>
      <c r="C177" s="92">
        <v>160.66944885253909</v>
      </c>
      <c r="E177" s="19"/>
      <c r="F177" s="19"/>
      <c r="G177" s="19"/>
      <c r="H177" s="19"/>
      <c r="I177" s="19"/>
      <c r="J177" s="19"/>
    </row>
    <row r="178" ht="14.25">
      <c r="B178" s="91" t="s">
        <v>229</v>
      </c>
      <c r="C178" s="92">
        <v>164.07246398925781</v>
      </c>
      <c r="E178" s="19"/>
      <c r="F178" s="19"/>
      <c r="G178" s="19"/>
      <c r="H178" s="19"/>
      <c r="I178" s="19"/>
      <c r="J178" s="19"/>
    </row>
    <row r="179" ht="14.25">
      <c r="B179" s="91" t="s">
        <v>230</v>
      </c>
      <c r="C179" s="92">
        <v>165.41578674316409</v>
      </c>
      <c r="E179" s="19"/>
      <c r="F179" s="19"/>
      <c r="G179" s="19"/>
      <c r="H179" s="19"/>
      <c r="I179" s="19"/>
      <c r="J179" s="19"/>
    </row>
    <row r="180" ht="14.25">
      <c r="B180" s="91" t="s">
        <v>231</v>
      </c>
      <c r="C180" s="92">
        <v>166.35111999511719</v>
      </c>
      <c r="E180" s="19"/>
      <c r="F180" s="19"/>
      <c r="G180" s="19"/>
      <c r="H180" s="19"/>
      <c r="I180" s="19"/>
      <c r="J180" s="19"/>
    </row>
    <row r="181" ht="14.25">
      <c r="B181" s="91" t="s">
        <v>232</v>
      </c>
      <c r="C181" s="92">
        <v>165.78395080566409</v>
      </c>
      <c r="E181" s="19"/>
      <c r="F181" s="19"/>
      <c r="G181" s="19"/>
      <c r="H181" s="19"/>
      <c r="I181" s="19"/>
      <c r="J181" s="19"/>
    </row>
    <row r="182" ht="14.25">
      <c r="B182" s="91" t="s">
        <v>233</v>
      </c>
      <c r="C182" s="92">
        <v>164.4804382324219</v>
      </c>
      <c r="E182" s="19"/>
      <c r="F182" s="19"/>
      <c r="G182" s="19"/>
      <c r="H182" s="19"/>
      <c r="I182" s="19"/>
      <c r="J182" s="19"/>
    </row>
    <row r="183" ht="14.25">
      <c r="B183" s="91" t="s">
        <v>234</v>
      </c>
      <c r="C183" s="92">
        <v>166.599853515625</v>
      </c>
      <c r="E183" s="19"/>
      <c r="F183" s="19"/>
      <c r="G183" s="19"/>
      <c r="H183" s="19"/>
      <c r="I183" s="19"/>
      <c r="J183" s="19"/>
    </row>
    <row r="184" ht="14.25">
      <c r="B184" s="91" t="s">
        <v>235</v>
      </c>
      <c r="C184" s="92">
        <v>166.03271484375</v>
      </c>
      <c r="E184" s="19"/>
      <c r="F184" s="19"/>
      <c r="G184" s="19"/>
      <c r="H184" s="19"/>
      <c r="I184" s="19"/>
      <c r="J184" s="19"/>
    </row>
    <row r="185" ht="14.25">
      <c r="B185" s="91" t="s">
        <v>236</v>
      </c>
      <c r="C185" s="92">
        <v>167.04765319824219</v>
      </c>
      <c r="E185" s="19"/>
      <c r="F185" s="19"/>
      <c r="G185" s="19"/>
      <c r="H185" s="19"/>
      <c r="I185" s="19"/>
      <c r="J185" s="19"/>
    </row>
    <row r="186" ht="14.25">
      <c r="B186" s="91" t="s">
        <v>237</v>
      </c>
      <c r="C186" s="92">
        <v>165.65458679199219</v>
      </c>
      <c r="E186" s="19"/>
      <c r="F186" s="19"/>
      <c r="G186" s="19"/>
      <c r="H186" s="19"/>
      <c r="I186" s="19"/>
      <c r="J186" s="19"/>
    </row>
    <row r="187" ht="14.25">
      <c r="B187" s="91" t="s">
        <v>238</v>
      </c>
      <c r="C187" s="92">
        <v>168.13226318359381</v>
      </c>
      <c r="E187" s="19"/>
      <c r="F187" s="19"/>
      <c r="G187" s="19"/>
      <c r="H187" s="19"/>
      <c r="I187" s="19"/>
      <c r="J187" s="19"/>
    </row>
    <row r="188" ht="14.25">
      <c r="B188" s="91" t="s">
        <v>239</v>
      </c>
      <c r="C188" s="92">
        <v>168.0426940917969</v>
      </c>
      <c r="E188" s="19"/>
      <c r="F188" s="19"/>
      <c r="G188" s="19"/>
      <c r="H188" s="19"/>
      <c r="I188" s="19"/>
      <c r="J188" s="19"/>
    </row>
    <row r="189" ht="14.25">
      <c r="B189" s="91" t="s">
        <v>240</v>
      </c>
      <c r="C189" s="92">
        <v>168.6297607421875</v>
      </c>
      <c r="E189" s="19"/>
      <c r="F189" s="19"/>
      <c r="G189" s="19"/>
      <c r="H189" s="19"/>
      <c r="I189" s="19"/>
      <c r="J189" s="19"/>
    </row>
    <row r="190" ht="14.25">
      <c r="B190" s="91" t="s">
        <v>241</v>
      </c>
      <c r="C190" s="92">
        <v>170.3312683105469</v>
      </c>
      <c r="E190" s="19"/>
      <c r="F190" s="19"/>
      <c r="G190" s="19"/>
      <c r="H190" s="19"/>
      <c r="I190" s="19"/>
      <c r="J190" s="19"/>
    </row>
    <row r="191" ht="14.25">
      <c r="B191" s="91" t="s">
        <v>242</v>
      </c>
      <c r="C191" s="92">
        <v>167.47550964355469</v>
      </c>
      <c r="E191" s="19"/>
      <c r="F191" s="19"/>
      <c r="G191" s="19"/>
      <c r="H191" s="19"/>
      <c r="I191" s="19"/>
      <c r="J191" s="19"/>
    </row>
    <row r="192" ht="14.25">
      <c r="B192" s="91" t="s">
        <v>243</v>
      </c>
      <c r="C192" s="92">
        <v>164.1520690917969</v>
      </c>
      <c r="E192" s="19"/>
      <c r="F192" s="19"/>
      <c r="G192" s="19"/>
      <c r="H192" s="19"/>
      <c r="I192" s="19"/>
      <c r="J192" s="19"/>
    </row>
    <row r="193" ht="14.25">
      <c r="B193" s="91" t="s">
        <v>244</v>
      </c>
      <c r="C193" s="92">
        <v>166.0128173828125</v>
      </c>
      <c r="E193" s="19"/>
      <c r="F193" s="19"/>
      <c r="G193" s="19"/>
      <c r="H193" s="19"/>
      <c r="I193" s="19"/>
      <c r="J193" s="19"/>
    </row>
    <row r="194" ht="14.25">
      <c r="B194" s="91" t="s">
        <v>245</v>
      </c>
      <c r="C194" s="92">
        <v>168.6297607421875</v>
      </c>
      <c r="E194" s="19"/>
      <c r="F194" s="19"/>
      <c r="G194" s="19"/>
      <c r="H194" s="19"/>
      <c r="I194" s="19"/>
      <c r="J194" s="19"/>
    </row>
    <row r="195" ht="14.25">
      <c r="B195" s="91" t="s">
        <v>246</v>
      </c>
      <c r="C195" s="92">
        <v>168.20188903808591</v>
      </c>
      <c r="E195" s="19"/>
      <c r="F195" s="19"/>
      <c r="G195" s="19"/>
      <c r="H195" s="19"/>
      <c r="I195" s="19"/>
      <c r="J195" s="19"/>
    </row>
    <row r="196" ht="14.25">
      <c r="B196" s="91" t="s">
        <v>247</v>
      </c>
      <c r="C196" s="92">
        <v>170.03279113769531</v>
      </c>
      <c r="E196" s="19"/>
      <c r="F196" s="19"/>
      <c r="G196" s="19"/>
      <c r="H196" s="19"/>
      <c r="I196" s="19"/>
      <c r="J196" s="19"/>
    </row>
    <row r="197" ht="14.25">
      <c r="B197" s="91" t="s">
        <v>248</v>
      </c>
      <c r="C197" s="92">
        <v>166.57002258300781</v>
      </c>
      <c r="E197" s="19"/>
      <c r="F197" s="19"/>
      <c r="G197" s="19"/>
      <c r="H197" s="19"/>
      <c r="I197" s="19"/>
      <c r="J197" s="19"/>
    </row>
    <row r="198" ht="14.25">
      <c r="B198" s="91" t="s">
        <v>249</v>
      </c>
      <c r="C198" s="92">
        <v>169.4954528808594</v>
      </c>
      <c r="E198" s="19"/>
      <c r="F198" s="19"/>
      <c r="G198" s="19"/>
      <c r="H198" s="19"/>
      <c r="I198" s="19"/>
      <c r="J198" s="19"/>
    </row>
    <row r="199" ht="14.25">
      <c r="B199" s="91" t="s">
        <v>250</v>
      </c>
      <c r="C199" s="92">
        <v>166.55012512207031</v>
      </c>
      <c r="E199" s="19"/>
      <c r="F199" s="19"/>
      <c r="G199" s="19"/>
      <c r="H199" s="19"/>
      <c r="I199" s="19"/>
      <c r="J199" s="19"/>
    </row>
    <row r="200" ht="14.25">
      <c r="B200" s="91" t="s">
        <v>251</v>
      </c>
      <c r="C200" s="92">
        <v>167.3561096191406</v>
      </c>
      <c r="E200" s="19"/>
      <c r="F200" s="19"/>
      <c r="G200" s="19"/>
      <c r="H200" s="19"/>
      <c r="I200" s="19"/>
      <c r="J200" s="19"/>
    </row>
    <row r="201" ht="14.25">
      <c r="B201" s="91" t="s">
        <v>252</v>
      </c>
      <c r="C201" s="92">
        <v>165.42573547363281</v>
      </c>
      <c r="E201" s="19"/>
      <c r="F201" s="19"/>
      <c r="G201" s="19"/>
      <c r="H201" s="19"/>
      <c r="I201" s="19"/>
      <c r="J201" s="19"/>
    </row>
    <row r="202" ht="14.25">
      <c r="B202" s="91" t="s">
        <v>253</v>
      </c>
      <c r="C202" s="92">
        <v>161.93315124511719</v>
      </c>
      <c r="E202" s="19"/>
      <c r="F202" s="19"/>
      <c r="G202" s="19"/>
      <c r="H202" s="19"/>
      <c r="I202" s="19"/>
      <c r="J202" s="19"/>
    </row>
    <row r="203" ht="14.25">
      <c r="B203" s="91" t="s">
        <v>254</v>
      </c>
      <c r="C203" s="92">
        <v>161.93315124511719</v>
      </c>
      <c r="E203" s="19"/>
      <c r="F203" s="19"/>
      <c r="G203" s="19"/>
      <c r="H203" s="19"/>
      <c r="I203" s="19"/>
      <c r="J203" s="19"/>
    </row>
    <row r="204" ht="14.25">
      <c r="B204" s="91" t="s">
        <v>255</v>
      </c>
      <c r="C204" s="92">
        <v>157.45545959472659</v>
      </c>
      <c r="E204" s="19"/>
      <c r="F204" s="19"/>
      <c r="G204" s="19"/>
      <c r="H204" s="19"/>
      <c r="I204" s="19"/>
      <c r="J204" s="19"/>
    </row>
    <row r="205" ht="14.25">
      <c r="B205" s="91" t="s">
        <v>256</v>
      </c>
      <c r="C205" s="92">
        <v>158.33106994628909</v>
      </c>
      <c r="E205" s="19"/>
      <c r="F205" s="19"/>
      <c r="G205" s="19"/>
      <c r="H205" s="19"/>
      <c r="I205" s="19"/>
      <c r="J205" s="19"/>
    </row>
    <row r="206" ht="14.25">
      <c r="B206" s="91" t="s">
        <v>257</v>
      </c>
      <c r="C206" s="92">
        <v>157.2166442871094</v>
      </c>
      <c r="E206" s="19"/>
      <c r="F206" s="19"/>
      <c r="G206" s="19"/>
      <c r="H206" s="19"/>
      <c r="I206" s="19"/>
      <c r="J206" s="19"/>
    </row>
    <row r="207" ht="14.25">
      <c r="B207" s="91" t="s">
        <v>258</v>
      </c>
      <c r="C207" s="92">
        <v>157.72410583496091</v>
      </c>
      <c r="E207" s="19"/>
      <c r="F207" s="19"/>
      <c r="G207" s="19"/>
      <c r="H207" s="19"/>
      <c r="I207" s="19"/>
      <c r="J207" s="19"/>
    </row>
    <row r="208" ht="14.25">
      <c r="B208" s="91" t="s">
        <v>259</v>
      </c>
      <c r="C208" s="92">
        <v>163.3560485839844</v>
      </c>
      <c r="E208" s="19"/>
      <c r="F208" s="19"/>
      <c r="G208" s="19"/>
      <c r="H208" s="19"/>
      <c r="I208" s="19"/>
      <c r="J208" s="19"/>
    </row>
    <row r="209" ht="14.25">
      <c r="B209" s="91" t="s">
        <v>260</v>
      </c>
      <c r="C209" s="92">
        <v>165.49540710449219</v>
      </c>
      <c r="E209" s="19"/>
      <c r="F209" s="19"/>
      <c r="G209" s="19"/>
      <c r="H209" s="19"/>
      <c r="I209" s="19"/>
      <c r="J209" s="19"/>
    </row>
    <row r="210" ht="14.25">
      <c r="B210" s="91" t="s">
        <v>261</v>
      </c>
      <c r="C210" s="92">
        <v>167.10736083984381</v>
      </c>
      <c r="E210" s="19"/>
      <c r="F210" s="19"/>
      <c r="G210" s="19"/>
      <c r="H210" s="19"/>
      <c r="I210" s="19"/>
      <c r="J210" s="19"/>
    </row>
    <row r="211" ht="14.25">
      <c r="B211" s="91" t="s">
        <v>262</v>
      </c>
      <c r="C211" s="92">
        <v>167.12725830078119</v>
      </c>
      <c r="E211" s="19"/>
      <c r="F211" s="19"/>
      <c r="G211" s="19"/>
      <c r="H211" s="19"/>
      <c r="I211" s="19"/>
      <c r="J211" s="19"/>
    </row>
    <row r="212" ht="14.25">
      <c r="B212" s="91" t="s">
        <v>263</v>
      </c>
      <c r="C212" s="92">
        <v>168.10240173339841</v>
      </c>
      <c r="E212" s="19"/>
      <c r="F212" s="19"/>
      <c r="G212" s="19"/>
      <c r="H212" s="19"/>
      <c r="I212" s="19"/>
      <c r="J212" s="19"/>
    </row>
    <row r="213" ht="14.25">
      <c r="B213" s="91" t="s">
        <v>264</v>
      </c>
      <c r="C213" s="92">
        <v>169.91337585449219</v>
      </c>
      <c r="E213" s="19"/>
      <c r="F213" s="19"/>
      <c r="G213" s="19"/>
      <c r="H213" s="19"/>
      <c r="I213" s="19"/>
      <c r="J213" s="19"/>
    </row>
    <row r="214" ht="14.25">
      <c r="B214" s="91" t="s">
        <v>265</v>
      </c>
      <c r="C214" s="92">
        <v>167.6844787597656</v>
      </c>
      <c r="E214" s="19"/>
      <c r="F214" s="19"/>
      <c r="G214" s="19"/>
      <c r="H214" s="19"/>
      <c r="I214" s="19"/>
      <c r="J214" s="19"/>
    </row>
    <row r="215" ht="14.25">
      <c r="B215" s="91" t="s">
        <v>266</v>
      </c>
      <c r="C215" s="92">
        <v>168.82878112792969</v>
      </c>
      <c r="E215" s="19"/>
      <c r="F215" s="19"/>
      <c r="G215" s="19"/>
      <c r="H215" s="19"/>
      <c r="I215" s="19"/>
      <c r="J215" s="19"/>
    </row>
    <row r="216" ht="14.25">
      <c r="B216" s="91" t="s">
        <v>267</v>
      </c>
      <c r="C216" s="92">
        <v>172.53031921386719</v>
      </c>
      <c r="E216" s="19"/>
      <c r="F216" s="19"/>
      <c r="G216" s="19"/>
      <c r="H216" s="19"/>
      <c r="I216" s="19"/>
      <c r="J216" s="19"/>
    </row>
    <row r="217" ht="14.25">
      <c r="B217" s="91" t="s">
        <v>268</v>
      </c>
      <c r="C217" s="92">
        <v>172.87860107421881</v>
      </c>
      <c r="E217" s="19"/>
      <c r="F217" s="19"/>
      <c r="G217" s="19"/>
      <c r="H217" s="19"/>
      <c r="I217" s="19"/>
      <c r="J217" s="19"/>
    </row>
    <row r="218" ht="14.25">
      <c r="B218" s="91" t="s">
        <v>269</v>
      </c>
      <c r="C218" s="92">
        <v>175.6249084472656</v>
      </c>
      <c r="E218" s="19"/>
      <c r="F218" s="19"/>
      <c r="G218" s="19"/>
      <c r="H218" s="19"/>
      <c r="I218" s="19"/>
      <c r="J218" s="19"/>
    </row>
    <row r="219" ht="14.25">
      <c r="B219" s="91" t="s">
        <v>270</v>
      </c>
      <c r="C219" s="92">
        <v>173.8935241699219</v>
      </c>
      <c r="E219" s="19"/>
      <c r="F219" s="19"/>
      <c r="G219" s="19"/>
      <c r="H219" s="19"/>
      <c r="I219" s="19"/>
      <c r="J219" s="19"/>
    </row>
    <row r="220" ht="14.25">
      <c r="B220" s="91" t="s">
        <v>271</v>
      </c>
      <c r="C220" s="92">
        <v>178.60008239746091</v>
      </c>
      <c r="E220" s="19"/>
      <c r="F220" s="19"/>
      <c r="G220" s="19"/>
      <c r="H220" s="19"/>
      <c r="I220" s="19"/>
      <c r="J220" s="19"/>
    </row>
    <row r="221" ht="14.25">
      <c r="B221" s="91" t="s">
        <v>272</v>
      </c>
      <c r="C221" s="92">
        <v>185.50566101074219</v>
      </c>
      <c r="E221" s="19"/>
      <c r="F221" s="19"/>
      <c r="G221" s="19"/>
      <c r="H221" s="19"/>
      <c r="I221" s="19"/>
      <c r="J221" s="19"/>
    </row>
    <row r="222" ht="14.25">
      <c r="B222" s="91" t="s">
        <v>273</v>
      </c>
      <c r="C222" s="92">
        <v>174.97813415527341</v>
      </c>
      <c r="E222" s="19"/>
      <c r="F222" s="19"/>
      <c r="G222" s="19"/>
      <c r="H222" s="19"/>
      <c r="I222" s="19"/>
      <c r="J222" s="19"/>
    </row>
    <row r="223" ht="14.25">
      <c r="B223" s="91" t="s">
        <v>274</v>
      </c>
      <c r="C223" s="92">
        <v>174.4507751464844</v>
      </c>
      <c r="E223" s="19"/>
      <c r="F223" s="19"/>
      <c r="G223" s="19"/>
      <c r="H223" s="19"/>
      <c r="I223" s="19"/>
      <c r="J223" s="19"/>
    </row>
    <row r="224" ht="14.25">
      <c r="B224" s="91" t="s">
        <v>275</v>
      </c>
      <c r="C224" s="92">
        <v>176.0229187011719</v>
      </c>
      <c r="E224" s="19"/>
      <c r="F224" s="19"/>
      <c r="G224" s="19"/>
      <c r="H224" s="19"/>
      <c r="I224" s="19"/>
      <c r="J224" s="19"/>
    </row>
    <row r="225" ht="14.25">
      <c r="B225" s="91" t="s">
        <v>276</v>
      </c>
      <c r="C225" s="92">
        <v>173.4059753417969</v>
      </c>
      <c r="E225" s="19"/>
      <c r="F225" s="19"/>
      <c r="G225" s="19"/>
      <c r="H225" s="19"/>
      <c r="I225" s="19"/>
      <c r="J225" s="19"/>
    </row>
    <row r="226" ht="14.25">
      <c r="B226" s="91" t="s">
        <v>277</v>
      </c>
      <c r="C226" s="92">
        <v>176.2219543457031</v>
      </c>
      <c r="E226" s="19"/>
      <c r="F226" s="19"/>
      <c r="G226" s="19"/>
      <c r="H226" s="19"/>
      <c r="I226" s="19"/>
      <c r="J226" s="19"/>
    </row>
    <row r="227" ht="14.25">
      <c r="B227" s="91" t="s">
        <v>278</v>
      </c>
      <c r="C227" s="92">
        <v>175.06768798828119</v>
      </c>
      <c r="E227" s="19"/>
      <c r="F227" s="19"/>
      <c r="G227" s="19"/>
      <c r="H227" s="19"/>
      <c r="I227" s="19"/>
      <c r="J227" s="19"/>
    </row>
    <row r="228" ht="14.25">
      <c r="B228" s="91" t="s">
        <v>279</v>
      </c>
      <c r="C228" s="92">
        <v>173.4457702636719</v>
      </c>
      <c r="E228" s="19"/>
      <c r="F228" s="19"/>
      <c r="G228" s="19"/>
      <c r="H228" s="19"/>
      <c r="I228" s="19"/>
      <c r="J228" s="19"/>
    </row>
    <row r="229" ht="14.25">
      <c r="B229" s="91" t="s">
        <v>280</v>
      </c>
      <c r="C229" s="92">
        <v>170.8586730957031</v>
      </c>
      <c r="E229" s="19"/>
      <c r="F229" s="19"/>
      <c r="G229" s="19"/>
      <c r="H229" s="19"/>
      <c r="I229" s="19"/>
      <c r="J229" s="19"/>
    </row>
    <row r="230" ht="14.25">
      <c r="B230" s="91" t="s">
        <v>281</v>
      </c>
      <c r="C230" s="92">
        <v>169.20689392089841</v>
      </c>
      <c r="E230" s="19"/>
      <c r="F230" s="19"/>
      <c r="G230" s="19"/>
      <c r="H230" s="19"/>
      <c r="I230" s="19"/>
      <c r="J230" s="19"/>
    </row>
    <row r="231" ht="14.25">
      <c r="B231" s="91" t="s">
        <v>282</v>
      </c>
      <c r="C231" s="92">
        <v>168.6695556640625</v>
      </c>
      <c r="E231" s="19"/>
      <c r="F231" s="19"/>
      <c r="G231" s="19"/>
      <c r="H231" s="19"/>
      <c r="I231" s="19"/>
      <c r="J231" s="19"/>
    </row>
    <row r="232" ht="14.25">
      <c r="B232" s="91" t="s">
        <v>283</v>
      </c>
      <c r="C232" s="92">
        <v>164.86851501464841</v>
      </c>
      <c r="E232" s="19"/>
      <c r="F232" s="19"/>
      <c r="G232" s="19"/>
      <c r="H232" s="19"/>
      <c r="I232" s="19"/>
      <c r="J232" s="19"/>
    </row>
    <row r="233" ht="14.25">
      <c r="B233" s="91" t="s">
        <v>284</v>
      </c>
      <c r="C233" s="92">
        <v>165.40582275390619</v>
      </c>
      <c r="E233" s="19"/>
      <c r="F233" s="19"/>
      <c r="G233" s="19"/>
      <c r="H233" s="19"/>
      <c r="I233" s="19"/>
      <c r="J233" s="19"/>
    </row>
    <row r="234" ht="14.25">
      <c r="B234" s="91" t="s">
        <v>285</v>
      </c>
      <c r="C234" s="92">
        <v>168.63970947265619</v>
      </c>
      <c r="E234" s="19"/>
      <c r="F234" s="19"/>
      <c r="G234" s="19"/>
      <c r="H234" s="19"/>
      <c r="I234" s="19"/>
      <c r="J234" s="19"/>
    </row>
    <row r="235" ht="14.25">
      <c r="B235" s="91" t="s">
        <v>286</v>
      </c>
      <c r="C235" s="92">
        <v>172.25172424316409</v>
      </c>
      <c r="E235" s="19"/>
      <c r="F235" s="19"/>
      <c r="G235" s="19"/>
      <c r="H235" s="19"/>
      <c r="I235" s="19"/>
      <c r="J235" s="19"/>
    </row>
    <row r="236" ht="14.25">
      <c r="B236" s="91" t="s">
        <v>287</v>
      </c>
      <c r="C236" s="92">
        <v>169.3262939453125</v>
      </c>
      <c r="E236" s="19"/>
      <c r="F236" s="19"/>
      <c r="G236" s="19"/>
      <c r="H236" s="19"/>
      <c r="I236" s="19"/>
      <c r="J236" s="19"/>
    </row>
    <row r="237" ht="14.25">
      <c r="B237" s="91" t="s">
        <v>288</v>
      </c>
      <c r="C237" s="92">
        <v>168.82878112792969</v>
      </c>
      <c r="E237" s="19"/>
      <c r="F237" s="19"/>
      <c r="G237" s="19"/>
      <c r="H237" s="19"/>
      <c r="I237" s="19"/>
      <c r="J237" s="19"/>
    </row>
    <row r="238" ht="14.25">
      <c r="B238" s="91" t="s">
        <v>289</v>
      </c>
      <c r="C238" s="92">
        <v>170.37109375</v>
      </c>
      <c r="E238" s="19"/>
      <c r="F238" s="19"/>
      <c r="G238" s="19"/>
      <c r="H238" s="19"/>
      <c r="I238" s="19"/>
      <c r="J238" s="19"/>
    </row>
    <row r="239" ht="14.25">
      <c r="B239" s="91" t="s">
        <v>290</v>
      </c>
      <c r="C239" s="92">
        <v>168.3909606933594</v>
      </c>
      <c r="E239" s="19"/>
      <c r="F239" s="19"/>
      <c r="G239" s="19"/>
      <c r="H239" s="19"/>
      <c r="I239" s="19"/>
      <c r="J239" s="19"/>
    </row>
    <row r="240" ht="14.25">
      <c r="B240" s="91" t="s">
        <v>291</v>
      </c>
      <c r="C240" s="92">
        <v>166.22175598144531</v>
      </c>
      <c r="E240" s="19"/>
      <c r="F240" s="19"/>
      <c r="G240" s="19"/>
      <c r="H240" s="19"/>
      <c r="I240" s="19"/>
      <c r="J240" s="19"/>
    </row>
    <row r="241" ht="14.25">
      <c r="B241" s="91" t="s">
        <v>292</v>
      </c>
      <c r="C241" s="92">
        <v>166.3409729003906</v>
      </c>
      <c r="E241" s="19"/>
      <c r="F241" s="19"/>
      <c r="G241" s="19"/>
      <c r="H241" s="19"/>
      <c r="I241" s="19"/>
      <c r="J241" s="19"/>
    </row>
    <row r="242" ht="14.25">
      <c r="B242" s="91" t="s">
        <v>293</v>
      </c>
      <c r="C242" s="92">
        <v>166.44029235839841</v>
      </c>
      <c r="E242" s="19"/>
      <c r="F242" s="19"/>
      <c r="G242" s="19"/>
      <c r="H242" s="19"/>
      <c r="I242" s="19"/>
      <c r="J242" s="19"/>
    </row>
    <row r="243" ht="14.25">
      <c r="B243" s="91" t="s">
        <v>294</v>
      </c>
      <c r="C243" s="92">
        <v>170.05595397949219</v>
      </c>
      <c r="E243" s="19"/>
      <c r="F243" s="19"/>
      <c r="G243" s="19"/>
      <c r="H243" s="19"/>
      <c r="I243" s="19"/>
      <c r="J243" s="19"/>
    </row>
    <row r="244" ht="14.25">
      <c r="B244" s="91" t="s">
        <v>295</v>
      </c>
      <c r="C244" s="92">
        <v>171.70487976074219</v>
      </c>
      <c r="E244" s="19"/>
      <c r="F244" s="19"/>
      <c r="G244" s="19"/>
      <c r="H244" s="19"/>
      <c r="I244" s="19"/>
      <c r="J244" s="19"/>
    </row>
    <row r="245" ht="14.25">
      <c r="B245" s="91" t="s">
        <v>296</v>
      </c>
      <c r="C245" s="92">
        <v>175.36029052734381</v>
      </c>
      <c r="E245" s="19"/>
      <c r="F245" s="19"/>
      <c r="G245" s="19"/>
      <c r="H245" s="19"/>
      <c r="I245" s="19"/>
      <c r="J245" s="19"/>
    </row>
    <row r="246" ht="14.25">
      <c r="B246" s="91" t="s">
        <v>297</v>
      </c>
      <c r="C246" s="92">
        <v>178.18132019042969</v>
      </c>
      <c r="E246" s="19"/>
      <c r="F246" s="19"/>
      <c r="G246" s="19"/>
      <c r="H246" s="19"/>
      <c r="I246" s="19"/>
      <c r="J246" s="19"/>
    </row>
    <row r="247" ht="14.25">
      <c r="B247" s="91" t="s">
        <v>298</v>
      </c>
      <c r="C247" s="92">
        <v>179.06535339355469</v>
      </c>
      <c r="E247" s="19"/>
      <c r="F247" s="19"/>
      <c r="G247" s="19"/>
      <c r="H247" s="19"/>
      <c r="I247" s="19"/>
      <c r="J247" s="19"/>
    </row>
    <row r="248" ht="14.25">
      <c r="B248" s="91" t="s">
        <v>299</v>
      </c>
      <c r="C248" s="92">
        <v>180.6546630859375</v>
      </c>
      <c r="E248" s="19"/>
      <c r="F248" s="19"/>
      <c r="G248" s="19"/>
      <c r="H248" s="19"/>
      <c r="I248" s="19"/>
      <c r="J248" s="19"/>
    </row>
    <row r="249" ht="14.25">
      <c r="B249" s="91" t="s">
        <v>300</v>
      </c>
      <c r="C249" s="92">
        <v>182.9393005371094</v>
      </c>
      <c r="E249" s="19"/>
      <c r="F249" s="19"/>
      <c r="G249" s="19"/>
      <c r="H249" s="19"/>
      <c r="I249" s="19"/>
      <c r="J249" s="19"/>
    </row>
    <row r="250" ht="14.25">
      <c r="B250" s="91" t="s">
        <v>301</v>
      </c>
      <c r="C250" s="92">
        <v>181.11158752441409</v>
      </c>
      <c r="E250" s="19"/>
      <c r="F250" s="19"/>
      <c r="G250" s="19"/>
      <c r="H250" s="19"/>
      <c r="I250" s="19"/>
      <c r="J250" s="19"/>
    </row>
    <row r="251" ht="14.25">
      <c r="B251" s="91" t="s">
        <v>302</v>
      </c>
      <c r="C251" s="92">
        <v>185.6311950683594</v>
      </c>
      <c r="E251" s="19"/>
      <c r="F251" s="19"/>
      <c r="G251" s="19"/>
      <c r="H251" s="19"/>
      <c r="I251" s="19"/>
      <c r="J251" s="19"/>
    </row>
    <row r="252" ht="14.25">
      <c r="B252" s="91" t="s">
        <v>303</v>
      </c>
      <c r="C252" s="92">
        <v>187.09136962890619</v>
      </c>
      <c r="E252" s="19"/>
      <c r="F252" s="19"/>
      <c r="G252" s="19"/>
      <c r="H252" s="19"/>
      <c r="I252" s="19"/>
      <c r="J252" s="19"/>
    </row>
    <row r="253" ht="14.25">
      <c r="B253" s="91" t="s">
        <v>304</v>
      </c>
      <c r="C253" s="92">
        <v>187.48869323730469</v>
      </c>
      <c r="E253" s="19"/>
      <c r="F253" s="19"/>
      <c r="G253" s="19"/>
      <c r="H253" s="19"/>
      <c r="I253" s="19"/>
      <c r="J253" s="19"/>
    </row>
    <row r="254" ht="14.25">
      <c r="B254" s="91" t="s">
        <v>305</v>
      </c>
      <c r="C254" s="92">
        <v>192.58441162109381</v>
      </c>
      <c r="E254" s="19"/>
      <c r="F254" s="19"/>
      <c r="G254" s="19"/>
      <c r="H254" s="19"/>
      <c r="I254" s="19"/>
      <c r="J254" s="19"/>
    </row>
    <row r="255" ht="14.25">
      <c r="B255" s="91" t="s">
        <v>306</v>
      </c>
      <c r="C255" s="92">
        <v>190.13093566894531</v>
      </c>
      <c r="E255" s="19"/>
      <c r="F255" s="19"/>
      <c r="G255" s="19"/>
      <c r="H255" s="19"/>
      <c r="I255" s="19"/>
      <c r="J255" s="19"/>
    </row>
    <row r="256" ht="14.25">
      <c r="B256" s="91" t="s">
        <v>307</v>
      </c>
      <c r="C256" s="92">
        <v>189.02833557128909</v>
      </c>
      <c r="E256" s="19"/>
      <c r="F256" s="19"/>
      <c r="G256" s="19"/>
      <c r="H256" s="19"/>
      <c r="I256" s="19"/>
      <c r="J256" s="19"/>
    </row>
    <row r="257" ht="14.25">
      <c r="B257" s="91" t="s">
        <v>308</v>
      </c>
      <c r="C257" s="92">
        <v>194.34257507324219</v>
      </c>
      <c r="E257" s="19"/>
      <c r="F257" s="19"/>
      <c r="G257" s="19"/>
      <c r="H257" s="19"/>
      <c r="I257" s="19"/>
      <c r="J257" s="19"/>
    </row>
    <row r="258" ht="14.25">
      <c r="B258" s="91" t="s">
        <v>309</v>
      </c>
      <c r="C258" s="92">
        <v>194.5909118652344</v>
      </c>
      <c r="E258" s="19"/>
      <c r="F258" s="19"/>
      <c r="G258" s="19"/>
      <c r="H258" s="19"/>
      <c r="I258" s="19"/>
      <c r="J258" s="19"/>
    </row>
    <row r="259" ht="14.25">
      <c r="B259" s="91" t="s">
        <v>310</v>
      </c>
      <c r="C259" s="92">
        <v>191.60102844238281</v>
      </c>
      <c r="E259" s="19"/>
      <c r="F259" s="19"/>
      <c r="G259" s="19"/>
      <c r="H259" s="19"/>
      <c r="I259" s="19"/>
      <c r="J259" s="19"/>
    </row>
    <row r="260" ht="14.25">
      <c r="B260" s="91" t="s">
        <v>311</v>
      </c>
      <c r="C260" s="92">
        <v>186.4059753417969</v>
      </c>
      <c r="E260" s="19"/>
      <c r="F260" s="19"/>
      <c r="I260" s="19"/>
      <c r="J260" s="19"/>
    </row>
    <row r="261" ht="14.25">
      <c r="B261" s="91" t="s">
        <v>312</v>
      </c>
      <c r="C261" s="92">
        <v>186.90263366699219</v>
      </c>
      <c r="E261" s="19"/>
      <c r="F261" s="19"/>
      <c r="I261" s="19"/>
      <c r="J261" s="19"/>
    </row>
    <row r="262" ht="14.25">
      <c r="B262" s="91" t="s">
        <v>313</v>
      </c>
      <c r="C262" s="92">
        <v>189.84284973144531</v>
      </c>
      <c r="E262" s="19"/>
      <c r="F262" s="19"/>
      <c r="I262" s="19"/>
      <c r="J262" s="19"/>
    </row>
    <row r="263" ht="14.25">
      <c r="B263" s="91" t="s">
        <v>314</v>
      </c>
      <c r="C263" s="92">
        <v>191.65069580078119</v>
      </c>
      <c r="E263" s="19"/>
      <c r="F263" s="19"/>
      <c r="I263" s="19"/>
      <c r="J263" s="19"/>
    </row>
    <row r="264" ht="14.25">
      <c r="B264" s="91" t="s">
        <v>315</v>
      </c>
      <c r="C264" s="92">
        <v>192.7731628417969</v>
      </c>
      <c r="E264" s="19"/>
      <c r="F264" s="19"/>
      <c r="I264" s="19"/>
      <c r="J264" s="19"/>
    </row>
    <row r="265" ht="14.25">
      <c r="B265" s="91" t="s">
        <v>316</v>
      </c>
      <c r="C265" s="92">
        <v>193.18040466308591</v>
      </c>
      <c r="E265" s="19"/>
      <c r="F265" s="19"/>
      <c r="I265" s="19"/>
      <c r="J265" s="19"/>
    </row>
    <row r="266" ht="14.25">
      <c r="B266" s="91" t="s">
        <v>317</v>
      </c>
      <c r="C266" s="92">
        <v>193.8260498046875</v>
      </c>
      <c r="E266" s="19"/>
      <c r="F266" s="19"/>
      <c r="I266" s="19"/>
      <c r="J266" s="19"/>
    </row>
    <row r="267" ht="14.25">
      <c r="B267" s="91" t="s">
        <v>318</v>
      </c>
      <c r="C267" s="92">
        <v>195.76304626464841</v>
      </c>
      <c r="E267" s="19"/>
      <c r="F267" s="19"/>
    </row>
    <row r="268" ht="14.25">
      <c r="B268" s="91" t="s">
        <v>319</v>
      </c>
      <c r="C268" s="92">
        <v>187.4191589355469</v>
      </c>
      <c r="E268" s="19"/>
      <c r="F268" s="19"/>
    </row>
    <row r="269" ht="14.25">
      <c r="B269" s="91" t="s">
        <v>320</v>
      </c>
      <c r="C269" s="92">
        <v>187.12117004394531</v>
      </c>
      <c r="E269" s="19"/>
      <c r="F269" s="19"/>
    </row>
    <row r="270" ht="14.25">
      <c r="B270" s="91" t="s">
        <v>321</v>
      </c>
      <c r="C270" s="92">
        <v>190.6275634765625</v>
      </c>
      <c r="E270" s="93"/>
      <c r="F270" s="19"/>
    </row>
    <row r="271" ht="14.25">
      <c r="B271" s="91" t="s">
        <v>322</v>
      </c>
      <c r="C271" s="92">
        <v>186.7834167480469</v>
      </c>
      <c r="E271" s="93"/>
      <c r="F271" s="19"/>
    </row>
    <row r="272" ht="14.25">
      <c r="B272" s="91" t="s">
        <v>323</v>
      </c>
      <c r="C272" s="92">
        <v>185.79011535644531</v>
      </c>
      <c r="E272" s="93"/>
    </row>
    <row r="273" ht="14.25">
      <c r="B273" s="91" t="s">
        <v>324</v>
      </c>
      <c r="C273" s="92">
        <v>189.9123840332031</v>
      </c>
      <c r="E273" s="93"/>
    </row>
    <row r="274" ht="14.25">
      <c r="B274" s="91" t="s">
        <v>325</v>
      </c>
      <c r="C274" s="92">
        <v>192.9420166015625</v>
      </c>
      <c r="E274" s="93"/>
    </row>
    <row r="275" ht="14.25">
      <c r="B275" s="91" t="s">
        <v>326</v>
      </c>
      <c r="C275" s="92">
        <v>187.12117004394531</v>
      </c>
      <c r="E275" s="93"/>
    </row>
    <row r="276" ht="14.25">
      <c r="B276" s="91" t="s">
        <v>327</v>
      </c>
      <c r="C276" s="92">
        <v>180.26728820800781</v>
      </c>
      <c r="E276" s="93"/>
    </row>
    <row r="277" ht="14.25">
      <c r="B277" s="91" t="s">
        <v>328</v>
      </c>
      <c r="C277" s="92">
        <v>180.09840393066409</v>
      </c>
      <c r="E277" s="93"/>
      <c r="F277" s="94"/>
    </row>
    <row r="278" ht="14.25">
      <c r="B278" s="91" t="s">
        <v>329</v>
      </c>
      <c r="C278" s="92">
        <v>180.8135986328125</v>
      </c>
      <c r="E278" s="93"/>
    </row>
    <row r="279" ht="14.25">
      <c r="B279" s="91" t="s">
        <v>330</v>
      </c>
      <c r="C279" s="92">
        <v>180.78379821777341</v>
      </c>
      <c r="E279" s="93"/>
      <c r="G279" s="95"/>
      <c r="H279" s="95"/>
    </row>
    <row r="280" ht="14.25">
      <c r="B280" s="91" t="s">
        <v>331</v>
      </c>
      <c r="C280" s="92">
        <v>181.28044128417969</v>
      </c>
      <c r="E280" s="93"/>
    </row>
    <row r="281" ht="14.25">
      <c r="B281" s="91" t="s">
        <v>332</v>
      </c>
      <c r="C281" s="92">
        <v>179.4328918457031</v>
      </c>
      <c r="E281" s="93"/>
    </row>
    <row r="282" ht="14.25">
      <c r="A282" s="25" t="s">
        <v>10</v>
      </c>
      <c r="B282" s="91" t="s">
        <v>333</v>
      </c>
      <c r="C282" s="92">
        <v>177.97271728515619</v>
      </c>
      <c r="E282" s="93"/>
    </row>
    <row r="283" ht="14.25">
      <c r="B283" s="91" t="s">
        <v>334</v>
      </c>
      <c r="C283" s="92">
        <v>178.23095703125</v>
      </c>
      <c r="E283" s="19"/>
    </row>
    <row r="284" ht="14.25">
      <c r="B284" s="91" t="s">
        <v>335</v>
      </c>
      <c r="C284" s="92">
        <v>182.29364013671881</v>
      </c>
    </row>
    <row r="285" ht="14.25">
      <c r="A285" s="25"/>
      <c r="B285" s="91" t="s">
        <v>336</v>
      </c>
      <c r="C285" s="92">
        <v>182.3929748535156</v>
      </c>
    </row>
    <row r="286" ht="14.25">
      <c r="B286" s="91" t="s">
        <v>337</v>
      </c>
      <c r="C286" s="92">
        <v>164.90065002441409</v>
      </c>
    </row>
    <row r="287" ht="14.25">
      <c r="B287" s="91" t="s">
        <v>338</v>
      </c>
      <c r="C287" s="92">
        <v>164.5530090332031</v>
      </c>
    </row>
    <row r="288" ht="14.25">
      <c r="B288" s="91" t="s">
        <v>339</v>
      </c>
      <c r="C288" s="92">
        <v>162.45710754394531</v>
      </c>
    </row>
    <row r="289" ht="14.25">
      <c r="A289" s="25"/>
      <c r="B289" s="91" t="s">
        <v>340</v>
      </c>
      <c r="C289" s="92">
        <v>163.1027526855469</v>
      </c>
      <c r="D289" s="95"/>
      <c r="E289" s="95"/>
      <c r="F289" s="95"/>
    </row>
    <row r="290" ht="14.25">
      <c r="B290" s="91" t="s">
        <v>341</v>
      </c>
      <c r="C290" s="92">
        <v>161.0366516113281</v>
      </c>
    </row>
    <row r="291" ht="14.25">
      <c r="A291" s="25"/>
      <c r="B291" s="91" t="s">
        <v>342</v>
      </c>
      <c r="C291" s="92">
        <v>157.24217224121091</v>
      </c>
    </row>
    <row r="292" ht="14.25">
      <c r="B292" s="91" t="s">
        <v>343</v>
      </c>
      <c r="C292" s="92">
        <v>158.16595458984381</v>
      </c>
    </row>
    <row r="293" ht="14.25">
      <c r="B293" s="91" t="s">
        <v>344</v>
      </c>
      <c r="C293" s="92">
        <v>158.69239807128909</v>
      </c>
    </row>
    <row r="294" ht="14.25">
      <c r="B294" s="91" t="s">
        <v>345</v>
      </c>
      <c r="C294" s="92">
        <v>156.9739685058594</v>
      </c>
    </row>
    <row r="295" ht="14.25">
      <c r="B295" s="91" t="s">
        <v>346</v>
      </c>
      <c r="C295" s="92">
        <v>158.08648681640619</v>
      </c>
    </row>
    <row r="296" ht="14.25">
      <c r="B296" s="91" t="s">
        <v>347</v>
      </c>
      <c r="C296" s="92">
        <v>163.63914489746091</v>
      </c>
    </row>
    <row r="297" ht="14.25">
      <c r="B297" s="91" t="s">
        <v>348</v>
      </c>
      <c r="C297" s="92">
        <v>165.71516418457031</v>
      </c>
    </row>
    <row r="298" ht="14.25">
      <c r="B298" s="91" t="s">
        <v>349</v>
      </c>
      <c r="C298" s="92">
        <v>166.97669982910159</v>
      </c>
    </row>
    <row r="299" ht="14.25">
      <c r="B299" s="91" t="s">
        <v>350</v>
      </c>
      <c r="C299" s="92">
        <v>164.6225280761719</v>
      </c>
    </row>
    <row r="300" ht="14.25">
      <c r="B300" s="91" t="s">
        <v>351</v>
      </c>
      <c r="C300" s="92">
        <v>161.55316162109381</v>
      </c>
    </row>
    <row r="301" ht="14.25">
      <c r="B301" s="91" t="s">
        <v>352</v>
      </c>
      <c r="C301" s="92">
        <v>158.3944396972656</v>
      </c>
    </row>
    <row r="302" ht="14.25">
      <c r="B302" s="91" t="s">
        <v>353</v>
      </c>
      <c r="C302" s="92">
        <v>162.0398864746094</v>
      </c>
    </row>
    <row r="303" ht="14.25">
      <c r="B303" s="91" t="s">
        <v>354</v>
      </c>
      <c r="C303" s="92">
        <v>163.19215393066409</v>
      </c>
    </row>
    <row r="304" ht="14.25">
      <c r="B304" s="91" t="s">
        <v>355</v>
      </c>
      <c r="C304" s="92">
        <v>158.8094177246094</v>
      </c>
    </row>
    <row r="305" ht="14.25">
      <c r="B305" s="91" t="s">
        <v>356</v>
      </c>
      <c r="C305" s="92">
        <v>154.00030517578119</v>
      </c>
    </row>
    <row r="306" ht="14.25">
      <c r="B306" s="91" t="s">
        <v>357</v>
      </c>
      <c r="C306" s="92">
        <v>155.7950439453125</v>
      </c>
    </row>
    <row r="307" ht="14.25">
      <c r="B307" s="91" t="s">
        <v>358</v>
      </c>
      <c r="C307" s="92">
        <v>156.52880859375</v>
      </c>
    </row>
    <row r="308" ht="14.25">
      <c r="B308" s="91" t="s">
        <v>359</v>
      </c>
      <c r="C308" s="92">
        <v>155.6661682128906</v>
      </c>
    </row>
    <row r="309" ht="14.25">
      <c r="B309" s="91" t="s">
        <v>360</v>
      </c>
      <c r="C309" s="92">
        <v>158.0260925292969</v>
      </c>
    </row>
    <row r="310" ht="14.25">
      <c r="B310" s="91" t="s">
        <v>361</v>
      </c>
      <c r="C310" s="92">
        <v>156.46931457519531</v>
      </c>
    </row>
    <row r="311" ht="14.25">
      <c r="B311" s="91" t="s">
        <v>362</v>
      </c>
      <c r="C311" s="92">
        <v>152.47331237792969</v>
      </c>
    </row>
    <row r="312" ht="14.25">
      <c r="B312" s="91" t="s">
        <v>363</v>
      </c>
      <c r="C312" s="92">
        <v>151.35282897949219</v>
      </c>
    </row>
    <row r="313" ht="14.25">
      <c r="B313" s="91" t="s">
        <v>364</v>
      </c>
      <c r="C313" s="92">
        <v>150.64881896972659</v>
      </c>
    </row>
    <row r="314" ht="14.25">
      <c r="B314" s="91" t="s">
        <v>365</v>
      </c>
      <c r="C314" s="92">
        <v>154.51594543457031</v>
      </c>
    </row>
    <row r="315" ht="14.25">
      <c r="B315" s="91" t="s">
        <v>366</v>
      </c>
      <c r="C315" s="92">
        <v>154.37712097167969</v>
      </c>
    </row>
    <row r="316" ht="14.25">
      <c r="B316" s="91" t="s">
        <v>367</v>
      </c>
      <c r="C316" s="92">
        <v>155.50750732421881</v>
      </c>
    </row>
    <row r="317" ht="14.25">
      <c r="B317" s="91" t="s">
        <v>368</v>
      </c>
      <c r="C317" s="92">
        <v>155.5471496582031</v>
      </c>
    </row>
    <row r="318" ht="14.25">
      <c r="B318" s="91" t="s">
        <v>369</v>
      </c>
      <c r="C318" s="92">
        <v>159.3944396972656</v>
      </c>
    </row>
    <row r="319" ht="14.25">
      <c r="B319" s="91" t="s">
        <v>370</v>
      </c>
      <c r="C319" s="92">
        <v>157.5203857421875</v>
      </c>
    </row>
    <row r="320" ht="14.25">
      <c r="B320" s="91" t="s">
        <v>371</v>
      </c>
      <c r="C320" s="92">
        <v>155.46783447265619</v>
      </c>
    </row>
    <row r="321" ht="14.25">
      <c r="B321" s="91" t="s">
        <v>372</v>
      </c>
      <c r="C321" s="92">
        <v>158.14508056640619</v>
      </c>
    </row>
    <row r="322" ht="14.25">
      <c r="B322" s="91" t="s">
        <v>373</v>
      </c>
      <c r="C322" s="92">
        <v>157.66911315917969</v>
      </c>
    </row>
    <row r="323" ht="14.25">
      <c r="B323" s="91" t="s">
        <v>374</v>
      </c>
      <c r="C323" s="92">
        <v>157.2130126953125</v>
      </c>
    </row>
    <row r="324" ht="14.25">
      <c r="B324" s="91" t="s">
        <v>375</v>
      </c>
      <c r="C324" s="92">
        <v>153.98048400878909</v>
      </c>
    </row>
    <row r="325" ht="14.25">
      <c r="B325" s="91" t="s">
        <v>376</v>
      </c>
      <c r="C325" s="92">
        <v>154.38702392578119</v>
      </c>
    </row>
    <row r="326" ht="14.25">
      <c r="B326" s="91" t="s">
        <v>377</v>
      </c>
      <c r="C326" s="92">
        <v>154.94230651855469</v>
      </c>
    </row>
    <row r="327" ht="14.25">
      <c r="B327" s="91" t="s">
        <v>378</v>
      </c>
      <c r="C327" s="92">
        <v>151.60072326660159</v>
      </c>
    </row>
    <row r="328" ht="14.25">
      <c r="B328" s="91" t="s">
        <v>379</v>
      </c>
      <c r="C328" s="92">
        <v>156.2115173339844</v>
      </c>
    </row>
    <row r="329" ht="14.25">
      <c r="B329" s="91" t="s">
        <v>380</v>
      </c>
      <c r="C329" s="92">
        <v>153.0979919433594</v>
      </c>
    </row>
    <row r="330" ht="14.25">
      <c r="B330" s="91" t="s">
        <v>381</v>
      </c>
      <c r="C330" s="92">
        <v>154.17881774902341</v>
      </c>
    </row>
    <row r="331" ht="14.25">
      <c r="B331" s="91" t="s">
        <v>382</v>
      </c>
      <c r="C331" s="92">
        <v>153.7127685546875</v>
      </c>
    </row>
    <row r="332" ht="14.25">
      <c r="B332" s="91" t="s">
        <v>383</v>
      </c>
      <c r="C332" s="92">
        <v>160.4950866699219</v>
      </c>
    </row>
    <row r="333" ht="14.25">
      <c r="B333" s="91" t="s">
        <v>384</v>
      </c>
      <c r="C333" s="92">
        <v>162.29972839355469</v>
      </c>
    </row>
    <row r="334" ht="14.25">
      <c r="B334" s="91" t="s">
        <v>385</v>
      </c>
      <c r="C334" s="92">
        <v>162.5377197265625</v>
      </c>
    </row>
    <row r="335" ht="14.25">
      <c r="B335" s="91" t="s">
        <v>386</v>
      </c>
      <c r="C335" s="92">
        <v>161.76429748535159</v>
      </c>
    </row>
    <row r="336" ht="14.25">
      <c r="B336" s="91" t="s">
        <v>387</v>
      </c>
      <c r="C336" s="92">
        <v>161.08012390136719</v>
      </c>
    </row>
    <row r="337" ht="14.25">
      <c r="B337" s="91" t="s">
        <v>388</v>
      </c>
      <c r="C337" s="92">
        <v>164.40187072753909</v>
      </c>
    </row>
    <row r="338" ht="14.25">
      <c r="B338" s="91" t="s">
        <v>389</v>
      </c>
      <c r="C338" s="92">
        <v>162.98390197753909</v>
      </c>
    </row>
    <row r="339" ht="14.25">
      <c r="B339" s="91" t="s">
        <v>390</v>
      </c>
      <c r="C339" s="92">
        <v>156.16194152832031</v>
      </c>
    </row>
    <row r="340" ht="14.25">
      <c r="B340" s="91" t="s">
        <v>391</v>
      </c>
      <c r="C340" s="92">
        <v>155.71571350097659</v>
      </c>
    </row>
    <row r="341" ht="14.25">
      <c r="B341" s="91" t="s">
        <v>392</v>
      </c>
      <c r="C341" s="92">
        <v>152.5526428222656</v>
      </c>
    </row>
    <row r="342" ht="14.25">
      <c r="B342" s="91" t="s">
        <v>393</v>
      </c>
      <c r="C342" s="92">
        <v>152.13616943359381</v>
      </c>
    </row>
    <row r="343" ht="14.25">
      <c r="B343" s="91" t="s">
        <v>394</v>
      </c>
      <c r="C343" s="92">
        <v>153.3558044433594</v>
      </c>
    </row>
    <row r="344" ht="14.25">
      <c r="B344" s="91" t="s">
        <v>395</v>
      </c>
      <c r="C344" s="92">
        <v>155.77522277832031</v>
      </c>
    </row>
    <row r="345" ht="14.25">
      <c r="B345" s="91" t="s">
        <v>396</v>
      </c>
      <c r="C345" s="92">
        <v>152.53279113769531</v>
      </c>
    </row>
    <row r="346" ht="14.25">
      <c r="B346" s="91" t="s">
        <v>397</v>
      </c>
      <c r="C346" s="92">
        <v>152.39399719238281</v>
      </c>
    </row>
    <row r="347" ht="14.25">
      <c r="B347" s="91" t="s">
        <v>398</v>
      </c>
      <c r="C347" s="92">
        <v>152.8203430175781</v>
      </c>
    </row>
    <row r="348" ht="14.25">
      <c r="B348" s="91" t="s">
        <v>399</v>
      </c>
      <c r="C348" s="92">
        <v>152.53279113769531</v>
      </c>
    </row>
    <row r="349" ht="14.25">
      <c r="B349" s="91" t="s">
        <v>400</v>
      </c>
      <c r="C349" s="92">
        <v>152.2452392578125</v>
      </c>
    </row>
    <row r="350" ht="14.25">
      <c r="B350" s="91" t="s">
        <v>401</v>
      </c>
      <c r="C350" s="92">
        <v>153.12773132324219</v>
      </c>
    </row>
    <row r="351" ht="14.25">
      <c r="B351" s="91" t="s">
        <v>402</v>
      </c>
      <c r="C351" s="92">
        <v>149.04248046875</v>
      </c>
    </row>
    <row r="352" ht="14.25">
      <c r="B352" s="91" t="s">
        <v>403</v>
      </c>
      <c r="C352" s="92">
        <v>146.85113525390619</v>
      </c>
    </row>
    <row r="353" ht="14.25">
      <c r="B353" s="91" t="s">
        <v>404</v>
      </c>
      <c r="C353" s="92">
        <v>142.8055419921875</v>
      </c>
    </row>
    <row r="354" ht="14.25">
      <c r="B354" s="91" t="s">
        <v>405</v>
      </c>
      <c r="C354" s="92">
        <v>146.15702819824219</v>
      </c>
    </row>
    <row r="355" ht="14.25">
      <c r="B355" s="91" t="s">
        <v>406</v>
      </c>
      <c r="C355" s="92">
        <v>145.0762023925781</v>
      </c>
    </row>
    <row r="356" ht="14.25">
      <c r="B356" s="91" t="s">
        <v>407</v>
      </c>
      <c r="C356" s="92">
        <v>148.76484680175781</v>
      </c>
    </row>
    <row r="357" ht="14.25">
      <c r="B357" s="91" t="s">
        <v>408</v>
      </c>
      <c r="C357" s="92">
        <v>148.51695251464841</v>
      </c>
    </row>
    <row r="358" ht="14.25">
      <c r="B358" s="91" t="s">
        <v>409</v>
      </c>
      <c r="C358" s="92">
        <v>148.5665283203125</v>
      </c>
    </row>
    <row r="359" ht="14.25">
      <c r="B359" s="91" t="s">
        <v>410</v>
      </c>
      <c r="C359" s="92">
        <v>146.5834045410156</v>
      </c>
    </row>
    <row r="360" ht="14.25">
      <c r="B360" s="91" t="s">
        <v>411</v>
      </c>
      <c r="C360" s="92">
        <v>149.80598449707031</v>
      </c>
    </row>
    <row r="361" ht="14.25">
      <c r="B361" s="91" t="s">
        <v>412</v>
      </c>
      <c r="C361" s="92">
        <v>138.63102722167969</v>
      </c>
    </row>
    <row r="362" ht="14.25">
      <c r="B362" s="91" t="s">
        <v>413</v>
      </c>
      <c r="C362" s="92">
        <v>142.43865966796881</v>
      </c>
    </row>
    <row r="363" ht="14.25">
      <c r="B363" s="91" t="s">
        <v>414</v>
      </c>
      <c r="C363" s="92">
        <v>146.4941711425781</v>
      </c>
    </row>
    <row r="364" ht="14.25">
      <c r="B364" s="91" t="s">
        <v>415</v>
      </c>
      <c r="C364" s="92">
        <v>143.90617370605469</v>
      </c>
    </row>
    <row r="365" ht="14.25">
      <c r="B365" s="91" t="s">
        <v>416</v>
      </c>
      <c r="C365" s="92">
        <v>157.2130126953125</v>
      </c>
    </row>
    <row r="366" ht="14.25">
      <c r="B366" s="91" t="s">
        <v>417</v>
      </c>
      <c r="C366" s="92">
        <v>155.28285217285159</v>
      </c>
    </row>
    <row r="367" ht="14.25">
      <c r="B367" s="91" t="s">
        <v>418</v>
      </c>
      <c r="C367" s="92">
        <v>155.48081970214841</v>
      </c>
    </row>
    <row r="368" ht="14.25">
      <c r="B368" s="91" t="s">
        <v>419</v>
      </c>
      <c r="C368" s="92">
        <v>155.75798034667969</v>
      </c>
    </row>
    <row r="369" ht="14.25">
      <c r="B369" s="91" t="s">
        <v>420</v>
      </c>
      <c r="C369" s="92">
        <v>157.28228759765619</v>
      </c>
    </row>
    <row r="370" ht="14.25">
      <c r="B370" s="91" t="s">
        <v>421</v>
      </c>
      <c r="C370" s="92">
        <v>157.40106201171881</v>
      </c>
    </row>
    <row r="371" ht="14.25">
      <c r="B371" s="91" t="s">
        <v>422</v>
      </c>
      <c r="C371" s="92">
        <v>158.47998046875</v>
      </c>
    </row>
    <row r="372" ht="14.25">
      <c r="B372" s="91" t="s">
        <v>423</v>
      </c>
      <c r="C372" s="92">
        <v>158.11375427246091</v>
      </c>
    </row>
    <row r="373" ht="14.25">
      <c r="B373" s="91" t="s">
        <v>424</v>
      </c>
      <c r="C373" s="92">
        <v>153.8674011230469</v>
      </c>
    </row>
    <row r="374" ht="14.25">
      <c r="B374" s="91" t="s">
        <v>425</v>
      </c>
      <c r="C374" s="92">
        <v>155.16407775878909</v>
      </c>
    </row>
    <row r="375" ht="14.25">
      <c r="B375" s="91" t="s">
        <v>426</v>
      </c>
      <c r="C375" s="92">
        <v>157.85636901855469</v>
      </c>
    </row>
    <row r="376" ht="14.25">
      <c r="B376" s="91" t="s">
        <v>427</v>
      </c>
      <c r="C376" s="92">
        <v>157.222900390625</v>
      </c>
    </row>
    <row r="377" ht="14.25">
      <c r="B377" s="91" t="s">
        <v>428</v>
      </c>
      <c r="C377" s="92">
        <v>157.89598083496091</v>
      </c>
    </row>
    <row r="378" ht="14.25">
      <c r="B378" s="91" t="s">
        <v>429</v>
      </c>
      <c r="C378" s="92">
        <v>156.52012634277341</v>
      </c>
    </row>
    <row r="379" ht="14.25">
      <c r="B379" s="91" t="s">
        <v>430</v>
      </c>
      <c r="C379" s="92">
        <v>152.8182067871094</v>
      </c>
    </row>
    <row r="380" ht="14.25">
      <c r="B380" s="91" t="s">
        <v>431</v>
      </c>
      <c r="C380" s="92">
        <v>155.56990051269531</v>
      </c>
    </row>
    <row r="381" ht="14.25">
      <c r="B381" s="91" t="s">
        <v>432</v>
      </c>
      <c r="C381" s="92">
        <v>157.33177185058591</v>
      </c>
    </row>
    <row r="382" ht="14.25">
      <c r="B382" s="91" t="s">
        <v>433</v>
      </c>
      <c r="C382" s="92">
        <v>162.1719970703125</v>
      </c>
    </row>
    <row r="383" ht="14.25">
      <c r="B383" s="91" t="s">
        <v>434</v>
      </c>
      <c r="C383" s="92">
        <v>163.26081848144531</v>
      </c>
    </row>
    <row r="384" ht="14.25">
      <c r="B384" s="91" t="s">
        <v>435</v>
      </c>
      <c r="C384" s="92">
        <v>160.35072326660159</v>
      </c>
    </row>
    <row r="385" ht="14.25">
      <c r="B385" s="91" t="s">
        <v>436</v>
      </c>
      <c r="C385" s="92">
        <v>160.39030456542969</v>
      </c>
    </row>
    <row r="386" ht="14.25">
      <c r="B386" s="91" t="s">
        <v>437</v>
      </c>
      <c r="C386" s="92">
        <v>156.0351257324219</v>
      </c>
    </row>
    <row r="387" ht="14.25">
      <c r="B387" s="91" t="s">
        <v>438</v>
      </c>
      <c r="C387" s="92">
        <v>157.69801330566409</v>
      </c>
    </row>
    <row r="388" ht="14.25">
      <c r="B388" s="91" t="s">
        <v>439</v>
      </c>
      <c r="C388" s="92">
        <v>162.72630310058591</v>
      </c>
    </row>
    <row r="389" ht="14.25">
      <c r="B389" s="91" t="s">
        <v>440</v>
      </c>
      <c r="C389" s="92">
        <v>161.9344482421875</v>
      </c>
    </row>
    <row r="390" ht="14.25">
      <c r="B390" s="91" t="s">
        <v>441</v>
      </c>
      <c r="C390" s="92">
        <v>167.12109375</v>
      </c>
    </row>
    <row r="391" ht="14.25">
      <c r="B391" s="91" t="s">
        <v>442</v>
      </c>
      <c r="C391" s="92">
        <v>169.49665832519531</v>
      </c>
    </row>
    <row r="392" ht="14.25">
      <c r="B392" s="91" t="s">
        <v>443</v>
      </c>
      <c r="C392" s="92">
        <v>166.25006103515619</v>
      </c>
    </row>
    <row r="393" ht="14.25">
      <c r="B393" s="91" t="s">
        <v>444</v>
      </c>
      <c r="C393" s="92">
        <v>167.18046569824219</v>
      </c>
    </row>
    <row r="394" ht="14.25">
      <c r="B394" s="91" t="s">
        <v>445</v>
      </c>
      <c r="C394" s="92">
        <v>168.78401184082031</v>
      </c>
    </row>
    <row r="395" ht="14.25">
      <c r="B395" s="91" t="s">
        <v>446</v>
      </c>
      <c r="C395" s="92">
        <v>172.0998840332031</v>
      </c>
    </row>
    <row r="396" ht="14.25">
      <c r="B396" s="91" t="s">
        <v>447</v>
      </c>
      <c r="C396" s="92">
        <v>174.75260925292969</v>
      </c>
    </row>
    <row r="397" ht="14.25">
      <c r="B397" s="91" t="s">
        <v>448</v>
      </c>
      <c r="C397" s="92">
        <v>172.5057067871094</v>
      </c>
    </row>
    <row r="398" ht="14.25">
      <c r="B398" s="91" t="s">
        <v>449</v>
      </c>
      <c r="C398" s="92">
        <v>165.90361022949219</v>
      </c>
    </row>
    <row r="399" ht="14.25">
      <c r="B399" s="91" t="s">
        <v>450</v>
      </c>
      <c r="C399" s="92">
        <v>163.00343322753909</v>
      </c>
    </row>
    <row r="400" ht="14.25">
      <c r="B400" s="91" t="s">
        <v>451</v>
      </c>
      <c r="C400" s="92">
        <v>167.6061096191406</v>
      </c>
    </row>
    <row r="401" ht="14.25">
      <c r="B401" s="91" t="s">
        <v>452</v>
      </c>
      <c r="C401" s="92">
        <v>165.1810607910156</v>
      </c>
    </row>
    <row r="402" ht="14.25">
      <c r="B402" s="91" t="s">
        <v>453</v>
      </c>
      <c r="C402" s="92">
        <v>163.73591613769531</v>
      </c>
    </row>
    <row r="403" ht="14.25">
      <c r="B403" s="91" t="s">
        <v>454</v>
      </c>
      <c r="C403" s="92">
        <v>166.0025939941406</v>
      </c>
    </row>
    <row r="404" ht="14.25">
      <c r="B404" s="91" t="s">
        <v>455</v>
      </c>
      <c r="C404" s="92">
        <v>165.8838195800781</v>
      </c>
    </row>
    <row r="405" ht="14.25">
      <c r="B405" s="91" t="s">
        <v>456</v>
      </c>
      <c r="C405" s="92">
        <v>163.57752990722659</v>
      </c>
    </row>
    <row r="406" ht="14.25">
      <c r="B406" s="91" t="s">
        <v>457</v>
      </c>
      <c r="C406" s="92">
        <v>164.15162658691409</v>
      </c>
    </row>
    <row r="407" ht="14.25">
      <c r="B407" s="91" t="s">
        <v>458</v>
      </c>
      <c r="C407" s="92">
        <v>166.2896423339844</v>
      </c>
    </row>
    <row r="408" ht="14.25">
      <c r="B408" s="91" t="s">
        <v>459</v>
      </c>
      <c r="C408" s="92">
        <v>167.90306091308591</v>
      </c>
    </row>
    <row r="409" ht="14.25">
      <c r="B409" s="91" t="s">
        <v>460</v>
      </c>
      <c r="C409" s="92">
        <v>164.85443115234381</v>
      </c>
    </row>
    <row r="410" ht="14.25">
      <c r="B410" s="91" t="s">
        <v>461</v>
      </c>
      <c r="C410" s="92">
        <v>165.41859436035159</v>
      </c>
    </row>
    <row r="411" ht="14.25">
      <c r="B411" s="91" t="s">
        <v>462</v>
      </c>
      <c r="C411" s="92">
        <v>166.0025939941406</v>
      </c>
    </row>
    <row r="412" ht="14.25">
      <c r="B412" s="91" t="s">
        <v>463</v>
      </c>
      <c r="C412" s="92">
        <v>164.31001281738281</v>
      </c>
    </row>
    <row r="413" ht="14.25">
      <c r="B413" s="91" t="s">
        <v>464</v>
      </c>
      <c r="C413" s="92">
        <v>165.07215881347659</v>
      </c>
    </row>
    <row r="414" ht="14.25">
      <c r="B414" s="91" t="s">
        <v>465</v>
      </c>
      <c r="C414" s="92">
        <v>165.23052978515619</v>
      </c>
    </row>
    <row r="415" ht="14.25">
      <c r="B415" s="91" t="s">
        <v>466</v>
      </c>
      <c r="C415" s="92">
        <v>169.5164489746094</v>
      </c>
    </row>
    <row r="416" ht="14.25">
      <c r="B416" s="91" t="s">
        <v>467</v>
      </c>
      <c r="C416" s="92">
        <v>167.07159423828119</v>
      </c>
    </row>
    <row r="417" ht="14.25">
      <c r="B417" s="91" t="s">
        <v>468</v>
      </c>
      <c r="C417" s="92">
        <v>165.29981994628909</v>
      </c>
    </row>
    <row r="418" ht="14.25">
      <c r="B418" s="91" t="s">
        <v>469</v>
      </c>
      <c r="C418" s="92">
        <v>164.60694885253909</v>
      </c>
    </row>
    <row r="419" ht="14.25">
      <c r="B419" s="91" t="s">
        <v>470</v>
      </c>
      <c r="C419" s="92">
        <v>162.6669006347656</v>
      </c>
    </row>
    <row r="420" ht="14.25">
      <c r="B420" s="91" t="s">
        <v>471</v>
      </c>
      <c r="C420" s="92">
        <v>158.72743225097659</v>
      </c>
    </row>
    <row r="421" ht="14.25">
      <c r="B421" s="91" t="s">
        <v>472</v>
      </c>
      <c r="C421" s="92">
        <v>156.36175537109381</v>
      </c>
    </row>
    <row r="422" ht="14.25">
      <c r="B422" s="91" t="s">
        <v>473</v>
      </c>
      <c r="C422" s="92">
        <v>157.46046447753909</v>
      </c>
    </row>
    <row r="423" ht="14.25">
      <c r="B423" s="91" t="s">
        <v>474</v>
      </c>
      <c r="C423" s="92">
        <v>159.91520690917969</v>
      </c>
    </row>
    <row r="424" ht="14.25">
      <c r="B424" s="91" t="s">
        <v>475</v>
      </c>
      <c r="C424" s="92">
        <v>163.65673828125</v>
      </c>
    </row>
    <row r="425" ht="14.25">
      <c r="B425" s="91" t="s">
        <v>476</v>
      </c>
      <c r="C425" s="92">
        <v>164.97320556640619</v>
      </c>
    </row>
    <row r="426" ht="14.25">
      <c r="B426" s="91" t="s">
        <v>477</v>
      </c>
      <c r="C426" s="92">
        <v>162.7362060546875</v>
      </c>
    </row>
    <row r="427" ht="14.25">
      <c r="B427" s="91" t="s">
        <v>478</v>
      </c>
      <c r="C427" s="92">
        <v>163.86457824707031</v>
      </c>
    </row>
    <row r="428" ht="14.25">
      <c r="B428" s="91" t="s">
        <v>479</v>
      </c>
      <c r="C428" s="92">
        <v>163.48908996582031</v>
      </c>
    </row>
    <row r="429" ht="14.25">
      <c r="B429" s="91" t="s">
        <v>480</v>
      </c>
      <c r="C429" s="92">
        <v>164.8033142089844</v>
      </c>
    </row>
    <row r="430" ht="14.25">
      <c r="B430" s="91" t="s">
        <v>481</v>
      </c>
      <c r="C430" s="92">
        <v>166.6610412597656</v>
      </c>
    </row>
    <row r="431" ht="14.25">
      <c r="B431" s="91" t="s">
        <v>482</v>
      </c>
      <c r="C431" s="92">
        <v>165.81123352050781</v>
      </c>
    </row>
    <row r="432" ht="14.25">
      <c r="B432" s="91" t="s">
        <v>483</v>
      </c>
      <c r="C432" s="92">
        <v>166.0088806152344</v>
      </c>
    </row>
    <row r="433" ht="14.25">
      <c r="B433" s="91" t="s">
        <v>484</v>
      </c>
      <c r="C433" s="92">
        <v>166.22627258300781</v>
      </c>
    </row>
    <row r="434" ht="14.25">
      <c r="B434" s="91" t="s">
        <v>485</v>
      </c>
      <c r="C434" s="92">
        <v>166.6610412597656</v>
      </c>
    </row>
    <row r="435" ht="14.25">
      <c r="B435" s="91" t="s">
        <v>486</v>
      </c>
      <c r="C435" s="92">
        <v>169.76383972167969</v>
      </c>
    </row>
    <row r="436" ht="14.25">
      <c r="B436" s="91" t="s">
        <v>487</v>
      </c>
      <c r="C436" s="92">
        <v>175.56425476074219</v>
      </c>
    </row>
    <row r="437" ht="14.25">
      <c r="B437" s="91" t="s">
        <v>488</v>
      </c>
      <c r="C437" s="92">
        <v>181.9971008300781</v>
      </c>
    </row>
    <row r="438" ht="14.25">
      <c r="B438" s="91" t="s">
        <v>489</v>
      </c>
      <c r="C438" s="92">
        <v>182.1848449707031</v>
      </c>
    </row>
    <row r="439" ht="14.25">
      <c r="B439" s="91" t="s">
        <v>490</v>
      </c>
      <c r="C439" s="92">
        <v>183.4892272949219</v>
      </c>
    </row>
    <row r="440" ht="14.25">
      <c r="B440" s="91" t="s">
        <v>491</v>
      </c>
      <c r="C440" s="92">
        <v>187.75801086425781</v>
      </c>
    </row>
    <row r="441" ht="14.25">
      <c r="B441" s="91" t="s">
        <v>492</v>
      </c>
      <c r="C441" s="92">
        <v>183.60777282714841</v>
      </c>
    </row>
    <row r="442" ht="14.25">
      <c r="B442" s="91" t="s">
        <v>493</v>
      </c>
      <c r="C442" s="92">
        <v>184.42793273925781</v>
      </c>
    </row>
    <row r="443" ht="14.25">
      <c r="B443" s="91" t="s">
        <v>494</v>
      </c>
      <c r="C443" s="92">
        <v>182.8468933105469</v>
      </c>
    </row>
    <row r="444" ht="14.25">
      <c r="B444" s="91" t="s">
        <v>495</v>
      </c>
      <c r="C444" s="92">
        <v>178.35084533691409</v>
      </c>
    </row>
    <row r="445" ht="14.25">
      <c r="B445" s="91" t="s">
        <v>496</v>
      </c>
      <c r="C445" s="92">
        <v>181.18681335449219</v>
      </c>
    </row>
    <row r="446" ht="14.25">
      <c r="B446" s="91" t="s">
        <v>497</v>
      </c>
      <c r="C446" s="92">
        <v>182.8765869140625</v>
      </c>
    </row>
    <row r="447" ht="14.25">
      <c r="B447" s="91" t="s">
        <v>498</v>
      </c>
      <c r="C447" s="92">
        <v>183.62754821777341</v>
      </c>
    </row>
    <row r="448" ht="14.25">
      <c r="B448" s="91" t="s">
        <v>499</v>
      </c>
      <c r="C448" s="92">
        <v>186.1670837402344</v>
      </c>
    </row>
    <row r="449" ht="14.25">
      <c r="B449" s="91" t="s">
        <v>500</v>
      </c>
      <c r="C449" s="92">
        <v>184.556396484375</v>
      </c>
    </row>
    <row r="450" ht="14.25">
      <c r="B450" s="91" t="s">
        <v>501</v>
      </c>
      <c r="C450" s="92">
        <v>185.64337158203119</v>
      </c>
    </row>
    <row r="451" ht="14.25">
      <c r="B451" s="91" t="s">
        <v>502</v>
      </c>
      <c r="C451" s="92">
        <v>194.5959777832031</v>
      </c>
    </row>
    <row r="452" ht="14.25">
      <c r="B452" s="91" t="s">
        <v>503</v>
      </c>
      <c r="C452" s="92">
        <v>182.58012390136719</v>
      </c>
    </row>
    <row r="453" ht="14.25">
      <c r="B453" s="91" t="s">
        <v>504</v>
      </c>
      <c r="C453" s="92">
        <v>179.11170959472659</v>
      </c>
    </row>
    <row r="454" ht="14.25">
      <c r="B454" s="91" t="s">
        <v>505</v>
      </c>
      <c r="C454" s="92">
        <v>176.8785095214844</v>
      </c>
    </row>
    <row r="455" ht="14.25">
      <c r="B455" s="91" t="s">
        <v>506</v>
      </c>
      <c r="C455" s="92">
        <v>176.7698059082031</v>
      </c>
    </row>
    <row r="456" ht="14.25">
      <c r="B456" s="91" t="s">
        <v>507</v>
      </c>
      <c r="C456" s="92">
        <v>176.81919860839841</v>
      </c>
    </row>
    <row r="457" ht="14.25">
      <c r="B457" s="91" t="s">
        <v>508</v>
      </c>
      <c r="C457" s="92">
        <v>178.23225402832031</v>
      </c>
    </row>
    <row r="458" ht="14.25">
      <c r="B458" s="91" t="s">
        <v>509</v>
      </c>
      <c r="C458" s="92">
        <v>180.40620422363281</v>
      </c>
    </row>
    <row r="459" ht="14.25">
      <c r="B459" s="91" t="s">
        <v>510</v>
      </c>
      <c r="C459" s="92">
        <v>181.8192443847656</v>
      </c>
    </row>
    <row r="460" ht="14.25">
      <c r="B460" s="91" t="s">
        <v>511</v>
      </c>
      <c r="C460" s="92">
        <v>181.93780517578119</v>
      </c>
    </row>
    <row r="461" ht="14.25">
      <c r="B461" s="91" t="s">
        <v>512</v>
      </c>
      <c r="C461" s="92">
        <v>188.0149230957031</v>
      </c>
    </row>
    <row r="462" ht="14.25">
      <c r="B462" s="91" t="s">
        <v>513</v>
      </c>
      <c r="C462" s="92">
        <v>187.00701904296881</v>
      </c>
    </row>
    <row r="463" ht="14.25">
      <c r="B463" s="91" t="s">
        <v>514</v>
      </c>
      <c r="C463" s="92">
        <v>184.8923645019531</v>
      </c>
    </row>
    <row r="464" ht="14.25">
      <c r="B464" s="91" t="s">
        <v>515</v>
      </c>
      <c r="C464" s="92">
        <v>182.55046081542969</v>
      </c>
    </row>
    <row r="465" ht="14.25">
      <c r="B465" s="91" t="s">
        <v>516</v>
      </c>
      <c r="C465" s="92">
        <v>179.29945373535159</v>
      </c>
    </row>
    <row r="466" ht="14.25">
      <c r="B466" s="91" t="s">
        <v>517</v>
      </c>
      <c r="C466" s="92">
        <v>177.42198181152341</v>
      </c>
    </row>
    <row r="467" ht="14.25">
      <c r="B467" s="91" t="s">
        <v>518</v>
      </c>
      <c r="C467" s="92">
        <v>176.6709899902344</v>
      </c>
    </row>
    <row r="468" ht="14.25">
      <c r="B468" s="91" t="s">
        <v>519</v>
      </c>
      <c r="C468" s="92">
        <v>177.65913391113281</v>
      </c>
    </row>
    <row r="469" ht="14.25">
      <c r="B469" s="91" t="s">
        <v>520</v>
      </c>
      <c r="C469" s="92">
        <v>178.9140625</v>
      </c>
    </row>
    <row r="470" ht="14.25">
      <c r="B470" s="91" t="s">
        <v>521</v>
      </c>
      <c r="C470" s="92">
        <v>178.578125</v>
      </c>
    </row>
    <row r="471" ht="14.25">
      <c r="B471" s="91" t="s">
        <v>522</v>
      </c>
      <c r="C471" s="92">
        <v>183.2322692871094</v>
      </c>
    </row>
    <row r="472" ht="14.25">
      <c r="B472" s="91" t="s">
        <v>523</v>
      </c>
      <c r="C472" s="92">
        <v>179.2796936035156</v>
      </c>
    </row>
    <row r="473" ht="14.25">
      <c r="B473" s="91" t="s">
        <v>524</v>
      </c>
      <c r="C473" s="92">
        <v>179.80342102050781</v>
      </c>
    </row>
    <row r="474" ht="14.25">
      <c r="B474" s="91" t="s">
        <v>525</v>
      </c>
      <c r="C474" s="92">
        <v>174.38836669921881</v>
      </c>
    </row>
    <row r="475" ht="14.25">
      <c r="B475" s="91" t="s">
        <v>526</v>
      </c>
      <c r="C475" s="92">
        <v>173.89427185058591</v>
      </c>
    </row>
    <row r="476" ht="14.25">
      <c r="B476" s="91" t="s">
        <v>527</v>
      </c>
      <c r="C476" s="92">
        <v>183.94374084472659</v>
      </c>
    </row>
    <row r="477" ht="14.25">
      <c r="B477" s="91" t="s">
        <v>528</v>
      </c>
      <c r="C477" s="92">
        <v>187.8271789550781</v>
      </c>
    </row>
    <row r="478" ht="14.25">
      <c r="B478" s="91" t="s">
        <v>529</v>
      </c>
      <c r="C478" s="92">
        <v>189.97148132324219</v>
      </c>
    </row>
    <row r="479" ht="14.25">
      <c r="B479" s="91" t="s">
        <v>530</v>
      </c>
      <c r="C479" s="92">
        <v>186.83903503417969</v>
      </c>
    </row>
    <row r="480" ht="14.25">
      <c r="B480" s="91" t="s">
        <v>531</v>
      </c>
      <c r="C480" s="92">
        <v>191.00901794433591</v>
      </c>
    </row>
    <row r="481" ht="14.25">
      <c r="B481" s="91" t="s">
        <v>532</v>
      </c>
      <c r="C481" s="92">
        <v>190.91020202636719</v>
      </c>
    </row>
    <row r="482" ht="14.25">
      <c r="B482" s="91" t="s">
        <v>533</v>
      </c>
      <c r="C482" s="92">
        <v>189.0426025390625</v>
      </c>
    </row>
    <row r="483" ht="14.25">
      <c r="B483" s="91" t="s">
        <v>534</v>
      </c>
      <c r="C483" s="92">
        <v>186.53273010253909</v>
      </c>
    </row>
    <row r="484" ht="14.25">
      <c r="B484" s="91" t="s">
        <v>535</v>
      </c>
      <c r="C484" s="92">
        <v>190.50505065917969</v>
      </c>
    </row>
    <row r="485" ht="14.25">
      <c r="B485" s="91" t="s">
        <v>536</v>
      </c>
      <c r="C485" s="92">
        <v>191.35484313964841</v>
      </c>
    </row>
    <row r="486" ht="14.25">
      <c r="B486" s="91" t="s">
        <v>537</v>
      </c>
      <c r="C486" s="92">
        <v>190.4556579589844</v>
      </c>
    </row>
    <row r="487" ht="14.25">
      <c r="B487" s="91" t="s">
        <v>538</v>
      </c>
      <c r="C487" s="92">
        <v>189.50701904296881</v>
      </c>
    </row>
    <row r="488" ht="14.25">
      <c r="B488" s="91" t="s">
        <v>539</v>
      </c>
      <c r="C488" s="92">
        <v>188.4892272949219</v>
      </c>
    </row>
    <row r="489" ht="14.25">
      <c r="B489" s="91" t="s">
        <v>540</v>
      </c>
      <c r="C489" s="92">
        <v>189.07225036621091</v>
      </c>
    </row>
    <row r="490" ht="14.25">
      <c r="B490" s="91" t="s">
        <v>541</v>
      </c>
      <c r="C490" s="92">
        <v>188.35197448730469</v>
      </c>
    </row>
    <row r="491" ht="14.25">
      <c r="B491" s="91" t="s">
        <v>542</v>
      </c>
      <c r="C491" s="92">
        <v>188.7268981933594</v>
      </c>
    </row>
    <row r="492" ht="14.25">
      <c r="B492" s="91" t="s">
        <v>543</v>
      </c>
      <c r="C492" s="92">
        <v>188.6380920410156</v>
      </c>
    </row>
    <row r="493" ht="14.25">
      <c r="B493" s="91" t="s">
        <v>544</v>
      </c>
      <c r="C493" s="92">
        <v>187.0791015625</v>
      </c>
    </row>
    <row r="494" ht="14.25">
      <c r="B494" s="91" t="s">
        <v>545</v>
      </c>
      <c r="C494" s="92">
        <v>186.29960632324219</v>
      </c>
    </row>
    <row r="495" ht="14.25">
      <c r="B495" s="91" t="s">
        <v>546</v>
      </c>
      <c r="C495" s="92">
        <v>188.7861022949219</v>
      </c>
    </row>
    <row r="496" ht="14.25">
      <c r="B496" s="91" t="s">
        <v>547</v>
      </c>
      <c r="C496" s="92">
        <v>189.53599548339841</v>
      </c>
    </row>
    <row r="497" ht="14.25">
      <c r="B497" s="91" t="s">
        <v>548</v>
      </c>
      <c r="C497" s="92">
        <v>186.74360656738281</v>
      </c>
    </row>
    <row r="498" ht="14.25">
      <c r="B498" s="91" t="s">
        <v>549</v>
      </c>
      <c r="C498" s="92">
        <v>192.55531311035159</v>
      </c>
    </row>
    <row r="499" ht="14.25">
      <c r="B499" s="91" t="s">
        <v>550</v>
      </c>
      <c r="C499" s="92">
        <v>184.49394226074219</v>
      </c>
    </row>
    <row r="500" ht="14.25">
      <c r="B500" s="91" t="s">
        <v>551</v>
      </c>
      <c r="C500" s="92">
        <v>182.05677795410159</v>
      </c>
    </row>
    <row r="501" ht="14.25">
      <c r="B501" s="91" t="s">
        <v>552</v>
      </c>
      <c r="C501" s="92">
        <v>180.69514465332031</v>
      </c>
    </row>
    <row r="502" ht="14.25">
      <c r="B502" s="91" t="s">
        <v>553</v>
      </c>
      <c r="C502" s="92">
        <v>178.9092102050781</v>
      </c>
    </row>
    <row r="503" ht="14.25">
      <c r="B503" s="91" t="s">
        <v>554</v>
      </c>
      <c r="C503" s="92">
        <v>172.16999816894531</v>
      </c>
    </row>
    <row r="504" ht="14.25">
      <c r="B504" s="91" t="s">
        <v>555</v>
      </c>
      <c r="C504" s="92">
        <v>170.21632385253909</v>
      </c>
    </row>
    <row r="505" ht="14.25">
      <c r="B505" s="91" t="s">
        <v>556</v>
      </c>
      <c r="C505" s="92">
        <v>170.31501770019531</v>
      </c>
    </row>
    <row r="506" ht="14.25">
      <c r="B506" s="91" t="s">
        <v>557</v>
      </c>
      <c r="C506" s="92">
        <v>168.65730285644531</v>
      </c>
    </row>
    <row r="507" ht="14.25">
      <c r="B507" s="91" t="s">
        <v>558</v>
      </c>
      <c r="C507" s="92">
        <v>168.62773132324219</v>
      </c>
    </row>
    <row r="508" ht="14.25">
      <c r="B508" s="91" t="s">
        <v>559</v>
      </c>
      <c r="C508" s="92">
        <v>169.34803771972659</v>
      </c>
    </row>
    <row r="509" ht="14.25">
      <c r="B509" s="91" t="s">
        <v>560</v>
      </c>
      <c r="C509" s="92">
        <v>171.36090087890619</v>
      </c>
    </row>
    <row r="510" ht="14.25">
      <c r="B510" s="91" t="s">
        <v>561</v>
      </c>
      <c r="C510" s="92">
        <v>171.7259826660156</v>
      </c>
    </row>
    <row r="511" ht="14.25">
      <c r="B511" s="91" t="s">
        <v>562</v>
      </c>
      <c r="C511" s="92">
        <v>180.6260681152344</v>
      </c>
    </row>
    <row r="512" ht="14.25">
      <c r="B512" s="91" t="s">
        <v>563</v>
      </c>
      <c r="C512" s="92">
        <v>178.84014892578119</v>
      </c>
    </row>
    <row r="513" ht="14.25">
      <c r="B513" s="91" t="s">
        <v>564</v>
      </c>
      <c r="C513" s="92">
        <v>178.41584777832031</v>
      </c>
    </row>
    <row r="514" ht="14.25">
      <c r="B514" s="91" t="s">
        <v>565</v>
      </c>
      <c r="C514" s="92">
        <v>179.12626647949219</v>
      </c>
    </row>
    <row r="515" ht="14.25">
      <c r="B515" s="91" t="s">
        <v>566</v>
      </c>
      <c r="C515" s="92">
        <v>183.635498046875</v>
      </c>
    </row>
    <row r="516" ht="14.25">
      <c r="B516" s="91" t="s">
        <v>567</v>
      </c>
      <c r="C516" s="92">
        <v>183.67497253417969</v>
      </c>
    </row>
    <row r="517" ht="14.25">
      <c r="B517" s="91" t="s">
        <v>568</v>
      </c>
      <c r="C517" s="92">
        <v>175.9885559082031</v>
      </c>
    </row>
    <row r="518" ht="14.25">
      <c r="B518" s="91" t="s">
        <v>569</v>
      </c>
      <c r="C518" s="92">
        <v>177.83367919921881</v>
      </c>
    </row>
    <row r="519" ht="14.25">
      <c r="B519" s="91" t="s">
        <v>570</v>
      </c>
      <c r="C519" s="92">
        <v>174.4789123535156</v>
      </c>
    </row>
    <row r="520" ht="14.25">
      <c r="B520" s="91" t="s">
        <v>571</v>
      </c>
      <c r="C520" s="92">
        <v>176.6299133300781</v>
      </c>
    </row>
    <row r="521" ht="14.25">
      <c r="B521" s="91" t="s">
        <v>572</v>
      </c>
      <c r="C521" s="92">
        <v>174.74530029296881</v>
      </c>
    </row>
    <row r="522" ht="14.25">
      <c r="B522" s="91" t="s">
        <v>573</v>
      </c>
      <c r="C522" s="92">
        <v>173.89674377441409</v>
      </c>
    </row>
    <row r="523" ht="14.25">
      <c r="B523" s="91" t="s">
        <v>574</v>
      </c>
      <c r="C523" s="92">
        <v>172.25880432128909</v>
      </c>
    </row>
    <row r="524" ht="14.25">
      <c r="B524" s="91" t="s">
        <v>575</v>
      </c>
      <c r="C524" s="92">
        <v>171.81480407714841</v>
      </c>
    </row>
    <row r="525" ht="14.25">
      <c r="B525" s="91" t="s">
        <v>576</v>
      </c>
      <c r="C525" s="92">
        <v>169.00267028808591</v>
      </c>
    </row>
    <row r="526" ht="14.25">
      <c r="B526" s="91" t="s">
        <v>577</v>
      </c>
      <c r="C526" s="92">
        <v>172.48573303222659</v>
      </c>
    </row>
    <row r="527" ht="14.25">
      <c r="B527" s="91" t="s">
        <v>578</v>
      </c>
      <c r="C527" s="92">
        <v>173.47247314453119</v>
      </c>
    </row>
    <row r="528" ht="14.25">
      <c r="B528" s="91" t="s">
        <v>579</v>
      </c>
      <c r="C528" s="92">
        <v>172.01214599609381</v>
      </c>
    </row>
    <row r="529" ht="14.25">
      <c r="B529" s="91" t="s">
        <v>580</v>
      </c>
      <c r="C529" s="92">
        <v>174.84394836425781</v>
      </c>
    </row>
    <row r="530" ht="14.25">
      <c r="B530" s="91" t="s">
        <v>581</v>
      </c>
      <c r="C530" s="92">
        <v>171.88385009765619</v>
      </c>
    </row>
    <row r="531" ht="14.25">
      <c r="B531" s="91" t="s">
        <v>582</v>
      </c>
      <c r="C531" s="92">
        <v>176.6398010253906</v>
      </c>
    </row>
    <row r="532" ht="14.25">
      <c r="B532" s="91" t="s">
        <v>583</v>
      </c>
      <c r="C532" s="92">
        <v>182.24424743652341</v>
      </c>
    </row>
    <row r="533" ht="14.25">
      <c r="B533" s="91" t="s">
        <v>584</v>
      </c>
      <c r="C533" s="92">
        <v>189.53599548339841</v>
      </c>
    </row>
    <row r="534" ht="14.25">
      <c r="B534" s="91" t="s">
        <v>585</v>
      </c>
      <c r="C534" s="92">
        <v>189.1906433105469</v>
      </c>
    </row>
    <row r="535" ht="14.25">
      <c r="B535" s="91" t="s">
        <v>586</v>
      </c>
      <c r="C535" s="92">
        <v>188.60847473144531</v>
      </c>
    </row>
    <row r="536" ht="14.25">
      <c r="B536" s="91" t="s">
        <v>587</v>
      </c>
      <c r="C536" s="92">
        <v>189.89122009277341</v>
      </c>
    </row>
    <row r="537" ht="14.25">
      <c r="B537" s="91" t="s">
        <v>588</v>
      </c>
      <c r="C537" s="92">
        <v>182.5106506347656</v>
      </c>
    </row>
    <row r="538" ht="14.25">
      <c r="B538" s="91" t="s">
        <v>589</v>
      </c>
      <c r="C538" s="92">
        <v>175.26826477050781</v>
      </c>
    </row>
    <row r="539" ht="14.25">
      <c r="B539" s="91" t="s">
        <v>590</v>
      </c>
      <c r="C539" s="92">
        <v>176.7483215332031</v>
      </c>
    </row>
    <row r="540" ht="14.25">
      <c r="B540" s="91" t="s">
        <v>591</v>
      </c>
      <c r="C540" s="92">
        <v>178.2579650878906</v>
      </c>
    </row>
    <row r="541" ht="14.25">
      <c r="B541" s="91" t="s">
        <v>592</v>
      </c>
      <c r="C541" s="92">
        <v>178.9190673828125</v>
      </c>
    </row>
    <row r="542" ht="14.25">
      <c r="B542" s="91" t="s">
        <v>593</v>
      </c>
      <c r="C542" s="92">
        <v>180.38926696777341</v>
      </c>
    </row>
    <row r="543" ht="14.25">
      <c r="B543" s="91" t="s">
        <v>594</v>
      </c>
      <c r="C543" s="92">
        <v>181.5042419433594</v>
      </c>
    </row>
    <row r="544" ht="14.25">
      <c r="B544" s="91" t="s">
        <v>595</v>
      </c>
      <c r="C544" s="92">
        <v>187.434326171875</v>
      </c>
    </row>
    <row r="545" ht="14.25">
      <c r="B545" s="91" t="s">
        <v>596</v>
      </c>
      <c r="C545" s="92">
        <v>180.02418518066409</v>
      </c>
    </row>
    <row r="546" ht="14.25">
      <c r="B546" s="91" t="s">
        <v>597</v>
      </c>
      <c r="C546" s="92">
        <v>179.0769348144531</v>
      </c>
    </row>
    <row r="547" ht="14.25">
      <c r="B547" s="91" t="s">
        <v>598</v>
      </c>
      <c r="C547" s="92">
        <v>174.38023376464841</v>
      </c>
    </row>
    <row r="548" ht="14.25">
      <c r="B548" s="91" t="s">
        <v>599</v>
      </c>
      <c r="C548" s="92">
        <v>165.51963806152341</v>
      </c>
    </row>
    <row r="549" ht="14.25">
      <c r="B549" s="91" t="s">
        <v>600</v>
      </c>
      <c r="C549" s="92">
        <v>163.19099426269531</v>
      </c>
    </row>
    <row r="550" ht="14.25">
      <c r="B550" s="91" t="s">
        <v>601</v>
      </c>
      <c r="C550" s="92">
        <v>163.26008605957031</v>
      </c>
    </row>
    <row r="551" ht="14.25">
      <c r="B551" s="91" t="s">
        <v>602</v>
      </c>
      <c r="C551" s="92">
        <v>160.29010009765619</v>
      </c>
    </row>
    <row r="552" ht="14.25">
      <c r="B552" s="91" t="s">
        <v>603</v>
      </c>
      <c r="C552" s="92">
        <v>162.066162109375</v>
      </c>
    </row>
    <row r="553" ht="14.25">
      <c r="B553" s="91" t="s">
        <v>604</v>
      </c>
      <c r="C553" s="92">
        <v>162.52992248535159</v>
      </c>
    </row>
    <row r="554" ht="14.25">
      <c r="B554" s="91" t="s">
        <v>605</v>
      </c>
      <c r="C554" s="92">
        <v>161.4660949707031</v>
      </c>
    </row>
    <row r="555" ht="14.25">
      <c r="B555" s="91" t="s">
        <v>606</v>
      </c>
      <c r="C555" s="92">
        <v>166.0070495605469</v>
      </c>
    </row>
    <row r="556" ht="14.25">
      <c r="B556" s="91" t="s">
        <v>607</v>
      </c>
      <c r="C556" s="92">
        <v>169.13948059082031</v>
      </c>
    </row>
    <row r="557" ht="14.25">
      <c r="B557" s="91" t="s">
        <v>608</v>
      </c>
      <c r="C557" s="92">
        <v>166.53900146484381</v>
      </c>
    </row>
    <row r="558" ht="14.25">
      <c r="B558" s="91" t="s">
        <v>609</v>
      </c>
      <c r="C558" s="92">
        <v>166.0070495605469</v>
      </c>
    </row>
    <row r="559" ht="14.25">
      <c r="B559" s="91" t="s">
        <v>610</v>
      </c>
      <c r="C559" s="92">
        <v>171.32623291015619</v>
      </c>
    </row>
    <row r="560" ht="14.25">
      <c r="B560" s="91" t="s">
        <v>611</v>
      </c>
      <c r="C560" s="92">
        <v>169.0606689453125</v>
      </c>
    </row>
    <row r="561" ht="14.25">
      <c r="B561" s="91" t="s">
        <v>612</v>
      </c>
      <c r="C561" s="92">
        <v>168.36128234863281</v>
      </c>
    </row>
    <row r="562" ht="14.25">
      <c r="B562" s="91" t="s">
        <v>613</v>
      </c>
      <c r="C562" s="92">
        <v>168.58782958984381</v>
      </c>
    </row>
    <row r="563" ht="14.25">
      <c r="B563" s="91" t="s">
        <v>614</v>
      </c>
      <c r="C563" s="92">
        <v>166.15483093261719</v>
      </c>
    </row>
    <row r="564" ht="14.25">
      <c r="B564" s="91" t="s">
        <v>615</v>
      </c>
      <c r="C564" s="92">
        <v>160.06733703613281</v>
      </c>
    </row>
    <row r="565" ht="14.25">
      <c r="B565" s="91" t="s">
        <v>616</v>
      </c>
      <c r="C565" s="92">
        <v>161.85023498535159</v>
      </c>
    </row>
    <row r="566" ht="14.25">
      <c r="B566" s="91" t="s">
        <v>617</v>
      </c>
      <c r="C566" s="92">
        <v>162.7860107421875</v>
      </c>
    </row>
    <row r="567" ht="14.25">
      <c r="B567" s="91" t="s">
        <v>618</v>
      </c>
      <c r="C567" s="92">
        <v>157.8214416503906</v>
      </c>
    </row>
    <row r="568" ht="14.25">
      <c r="B568" s="91" t="s">
        <v>619</v>
      </c>
      <c r="C568" s="92">
        <v>157.772216796875</v>
      </c>
    </row>
    <row r="569" ht="14.25">
      <c r="B569" s="91" t="s">
        <v>620</v>
      </c>
      <c r="C569" s="92">
        <v>158.58979797363281</v>
      </c>
    </row>
    <row r="570" ht="14.25">
      <c r="B570" s="91" t="s">
        <v>621</v>
      </c>
      <c r="C570" s="92">
        <v>158.95423889160159</v>
      </c>
    </row>
    <row r="571" ht="14.25">
      <c r="B571" s="91" t="s">
        <v>622</v>
      </c>
      <c r="C571" s="92">
        <v>161.03265380859381</v>
      </c>
    </row>
    <row r="572" ht="14.25">
      <c r="B572" s="91" t="s">
        <v>623</v>
      </c>
      <c r="C572" s="92">
        <v>159.85063171386719</v>
      </c>
    </row>
    <row r="573" ht="14.25">
      <c r="B573" s="91" t="s">
        <v>624</v>
      </c>
      <c r="C573" s="92">
        <v>161.2296447753906</v>
      </c>
    </row>
    <row r="574" ht="14.25">
      <c r="B574" s="91" t="s">
        <v>625</v>
      </c>
      <c r="C574" s="92">
        <v>163.43614196777341</v>
      </c>
    </row>
    <row r="575" ht="14.25">
      <c r="B575" s="91" t="s">
        <v>626</v>
      </c>
      <c r="C575" s="92">
        <v>165.1796569824219</v>
      </c>
    </row>
    <row r="576" ht="14.25">
      <c r="B576" s="91" t="s">
        <v>627</v>
      </c>
      <c r="C576" s="92">
        <v>163.89909362792969</v>
      </c>
    </row>
    <row r="577" ht="14.25">
      <c r="B577" s="91" t="s">
        <v>628</v>
      </c>
      <c r="C577" s="92">
        <v>166.3616638183594</v>
      </c>
    </row>
    <row r="578" ht="14.25">
      <c r="B578" s="91" t="s">
        <v>629</v>
      </c>
      <c r="C578" s="92">
        <v>170.41998291015619</v>
      </c>
    </row>
    <row r="579" ht="14.25">
      <c r="B579" s="91" t="s">
        <v>630</v>
      </c>
      <c r="C579" s="92">
        <v>168.1347351074219</v>
      </c>
    </row>
    <row r="580" ht="14.25">
      <c r="B580" s="91" t="s">
        <v>631</v>
      </c>
      <c r="C580" s="92">
        <v>169.67138671875</v>
      </c>
    </row>
    <row r="581" ht="14.25">
      <c r="B581" s="91" t="s">
        <v>632</v>
      </c>
      <c r="C581" s="92">
        <v>170.15400695800781</v>
      </c>
    </row>
    <row r="582" ht="14.25">
      <c r="B582" s="91" t="s">
        <v>633</v>
      </c>
      <c r="C582" s="92">
        <v>169.1000671386719</v>
      </c>
    </row>
    <row r="583" ht="14.25">
      <c r="B583" s="91" t="s">
        <v>634</v>
      </c>
      <c r="C583" s="92">
        <v>165.82975769042969</v>
      </c>
    </row>
    <row r="584" ht="14.25">
      <c r="B584" s="91" t="s">
        <v>635</v>
      </c>
      <c r="C584" s="92">
        <v>167.02165222167969</v>
      </c>
    </row>
    <row r="585" ht="14.25">
      <c r="B585" s="91" t="s">
        <v>636</v>
      </c>
      <c r="C585" s="92">
        <v>173.0401916503906</v>
      </c>
    </row>
    <row r="586" ht="14.25">
      <c r="B586" s="91" t="s">
        <v>637</v>
      </c>
      <c r="C586" s="92">
        <v>172.93180847167969</v>
      </c>
    </row>
    <row r="587" ht="14.25">
      <c r="B587" s="91" t="s">
        <v>638</v>
      </c>
      <c r="C587" s="92">
        <v>171.6709899902344</v>
      </c>
    </row>
    <row r="588" ht="14.25">
      <c r="B588" s="91" t="s">
        <v>639</v>
      </c>
      <c r="C588" s="92">
        <v>173.36524963378909</v>
      </c>
    </row>
    <row r="589" ht="14.25">
      <c r="B589" s="91" t="s">
        <v>640</v>
      </c>
      <c r="C589" s="92">
        <v>174.47831726074219</v>
      </c>
    </row>
    <row r="590" ht="14.25">
      <c r="B590" s="91" t="s">
        <v>641</v>
      </c>
      <c r="C590" s="92">
        <v>174.0054931640625</v>
      </c>
    </row>
    <row r="591" ht="14.25">
      <c r="B591" s="91" t="s">
        <v>642</v>
      </c>
      <c r="C591" s="92">
        <v>177.35462951660159</v>
      </c>
    </row>
    <row r="592" ht="14.25">
      <c r="B592" s="91" t="s">
        <v>643</v>
      </c>
      <c r="C592" s="92">
        <v>180.48699951171881</v>
      </c>
    </row>
    <row r="593" ht="14.25">
      <c r="B593" s="91" t="s">
        <v>644</v>
      </c>
      <c r="C593" s="92">
        <v>178.3396301269531</v>
      </c>
    </row>
    <row r="594" ht="14.25">
      <c r="B594" s="91" t="s">
        <v>645</v>
      </c>
      <c r="C594" s="92">
        <v>175.54217529296881</v>
      </c>
    </row>
    <row r="595" ht="14.25">
      <c r="B595" s="91" t="s">
        <v>646</v>
      </c>
      <c r="C595" s="92">
        <v>173.2076416015625</v>
      </c>
    </row>
    <row r="596" ht="14.25">
      <c r="B596" s="91" t="s">
        <v>647</v>
      </c>
      <c r="C596" s="92">
        <v>171.28680419921881</v>
      </c>
    </row>
    <row r="597" ht="14.25">
      <c r="B597" s="91" t="s">
        <v>648</v>
      </c>
      <c r="C597" s="92">
        <v>173.03033447265619</v>
      </c>
    </row>
    <row r="598" ht="14.25">
      <c r="B598" s="91" t="s">
        <v>649</v>
      </c>
      <c r="C598" s="92">
        <v>171.0110168457031</v>
      </c>
    </row>
    <row r="599" ht="14.25">
      <c r="B599" s="91" t="s">
        <v>650</v>
      </c>
      <c r="C599" s="92">
        <v>168.26277160644531</v>
      </c>
    </row>
    <row r="600" ht="14.25">
      <c r="B600" s="91" t="s">
        <v>651</v>
      </c>
      <c r="C600" s="92">
        <v>167.0807189941406</v>
      </c>
    </row>
    <row r="601" ht="14.25">
      <c r="B601" s="91" t="s">
        <v>652</v>
      </c>
      <c r="C601" s="92">
        <v>166.69657897949219</v>
      </c>
    </row>
    <row r="602" ht="14.25">
      <c r="B602" s="91" t="s">
        <v>653</v>
      </c>
      <c r="C602" s="92">
        <v>182.34870910644531</v>
      </c>
    </row>
    <row r="603" ht="14.25">
      <c r="B603" s="91" t="s">
        <v>654</v>
      </c>
      <c r="C603" s="92">
        <v>181.61979675292969</v>
      </c>
    </row>
    <row r="604" ht="14.25">
      <c r="B604" s="91" t="s">
        <v>655</v>
      </c>
      <c r="C604" s="92">
        <v>179.32466125488281</v>
      </c>
    </row>
    <row r="605" ht="14.25">
      <c r="B605" s="91" t="s">
        <v>656</v>
      </c>
      <c r="C605" s="92">
        <v>176.1233215332031</v>
      </c>
    </row>
    <row r="606" ht="14.25">
      <c r="B606" s="91" t="s">
        <v>657</v>
      </c>
      <c r="C606" s="92">
        <v>181.9546813964844</v>
      </c>
    </row>
    <row r="607" ht="14.25">
      <c r="B607" s="91" t="s">
        <v>658</v>
      </c>
      <c r="C607" s="92">
        <v>182.7624206542969</v>
      </c>
    </row>
    <row r="608" ht="14.25">
      <c r="B608" s="91" t="s">
        <v>659</v>
      </c>
      <c r="C608" s="92">
        <v>182.10243225097659</v>
      </c>
    </row>
    <row r="609" ht="14.25">
      <c r="B609" s="91" t="s">
        <v>660</v>
      </c>
      <c r="C609" s="92">
        <v>182.00396728515619</v>
      </c>
    </row>
    <row r="610" ht="14.25">
      <c r="B610" s="91" t="s">
        <v>661</v>
      </c>
      <c r="C610" s="92">
        <v>180.17179870605469</v>
      </c>
    </row>
    <row r="611" ht="14.25">
      <c r="B611" s="91" t="s">
        <v>662</v>
      </c>
      <c r="C611" s="92">
        <v>188.1209716796875</v>
      </c>
    </row>
    <row r="612" ht="14.25">
      <c r="B612" s="91" t="s">
        <v>663</v>
      </c>
      <c r="C612" s="92">
        <v>189.5689697265625</v>
      </c>
    </row>
    <row r="613" ht="14.25">
      <c r="B613" s="91" t="s">
        <v>664</v>
      </c>
      <c r="C613" s="92">
        <v>191.89363098144531</v>
      </c>
    </row>
    <row r="614" ht="14.25">
      <c r="B614" s="91" t="s">
        <v>665</v>
      </c>
      <c r="C614" s="92">
        <v>189.16510009765619</v>
      </c>
    </row>
    <row r="615" ht="14.25">
      <c r="B615" s="91" t="s">
        <v>666</v>
      </c>
      <c r="C615" s="92">
        <v>194.02130126953119</v>
      </c>
    </row>
    <row r="616" ht="14.25">
      <c r="B616" s="91" t="s">
        <v>667</v>
      </c>
      <c r="C616" s="92">
        <v>193.16432189941409</v>
      </c>
    </row>
    <row r="617" ht="14.25">
      <c r="B617" s="91" t="s">
        <v>668</v>
      </c>
      <c r="C617" s="92">
        <v>198.06304931640619</v>
      </c>
    </row>
    <row r="618" ht="14.25">
      <c r="B618" s="91" t="s">
        <v>669</v>
      </c>
      <c r="C618" s="92">
        <v>201.83050537109381</v>
      </c>
    </row>
    <row r="619" ht="14.25">
      <c r="B619" s="91" t="s">
        <v>670</v>
      </c>
      <c r="C619" s="92">
        <v>199.59759521484381</v>
      </c>
    </row>
    <row r="620" ht="14.25">
      <c r="B620" s="91" t="s">
        <v>671</v>
      </c>
      <c r="C620" s="92">
        <v>196.59735107421881</v>
      </c>
    </row>
    <row r="621" ht="14.25">
      <c r="B621" s="91" t="s">
        <v>672</v>
      </c>
      <c r="C621" s="92">
        <v>194.86610412597659</v>
      </c>
    </row>
    <row r="622" ht="14.25">
      <c r="B622" s="91" t="s">
        <v>673</v>
      </c>
      <c r="C622" s="92">
        <v>198.5647277832031</v>
      </c>
    </row>
    <row r="623" ht="14.25">
      <c r="B623" s="91" t="s">
        <v>674</v>
      </c>
      <c r="C623" s="92">
        <v>201.85020446777341</v>
      </c>
    </row>
    <row r="624" ht="14.25">
      <c r="B624" s="91" t="s">
        <v>675</v>
      </c>
      <c r="C624" s="92">
        <v>198.0040283203125</v>
      </c>
    </row>
    <row r="625" ht="14.25">
      <c r="B625" s="91" t="s">
        <v>676</v>
      </c>
      <c r="C625" s="92">
        <v>194.5906677246094</v>
      </c>
    </row>
    <row r="626" ht="14.25">
      <c r="B626" s="91" t="s">
        <v>677</v>
      </c>
      <c r="C626" s="92">
        <v>192.08233642578119</v>
      </c>
    </row>
    <row r="627" ht="14.25">
      <c r="B627" s="91" t="s">
        <v>678</v>
      </c>
      <c r="C627" s="92">
        <v>194.0201416015625</v>
      </c>
    </row>
    <row r="628" ht="14.25">
      <c r="B628" s="91" t="s">
        <v>679</v>
      </c>
      <c r="C628" s="92">
        <v>193.43975830078119</v>
      </c>
    </row>
    <row r="629" ht="14.25">
      <c r="B629" s="91" t="s">
        <v>680</v>
      </c>
      <c r="C629" s="92">
        <v>197.98435974121091</v>
      </c>
    </row>
    <row r="630" ht="14.25">
      <c r="B630" s="91" t="s">
        <v>681</v>
      </c>
      <c r="C630" s="92">
        <v>198.52537536621091</v>
      </c>
    </row>
    <row r="631" ht="14.25">
      <c r="B631" s="91" t="s">
        <v>682</v>
      </c>
      <c r="C631" s="92">
        <v>202.05677795410159</v>
      </c>
    </row>
    <row r="632" ht="14.25">
      <c r="B632" s="91" t="s">
        <v>683</v>
      </c>
      <c r="C632" s="92">
        <v>208.12603759765619</v>
      </c>
    </row>
    <row r="633" ht="14.25">
      <c r="B633" s="91" t="s">
        <v>684</v>
      </c>
      <c r="C633" s="92">
        <v>211.322998046875</v>
      </c>
    </row>
    <row r="634" ht="14.25">
      <c r="B634" s="91" t="s">
        <v>685</v>
      </c>
      <c r="C634" s="92">
        <v>208.79493713378909</v>
      </c>
    </row>
    <row r="635" ht="14.25">
      <c r="B635" s="91" t="s">
        <v>686</v>
      </c>
      <c r="C635" s="92">
        <v>205.68650817871091</v>
      </c>
    </row>
    <row r="636" ht="14.25">
      <c r="B636" s="91" t="s">
        <v>687</v>
      </c>
      <c r="C636" s="92">
        <v>208.72608947753909</v>
      </c>
    </row>
    <row r="637" ht="14.25">
      <c r="B637" s="91" t="s">
        <v>688</v>
      </c>
      <c r="C637" s="92">
        <v>205.88325500488281</v>
      </c>
    </row>
    <row r="638" ht="14.25">
      <c r="B638" s="91" t="s">
        <v>689</v>
      </c>
      <c r="C638" s="92">
        <v>205.27337646484381</v>
      </c>
    </row>
    <row r="639" ht="14.25">
      <c r="B639" s="91" t="s">
        <v>690</v>
      </c>
      <c r="C639" s="92">
        <v>205.43077087402341</v>
      </c>
    </row>
    <row r="640" ht="14.25">
      <c r="B640" s="91" t="s">
        <v>691</v>
      </c>
      <c r="C640" s="92">
        <v>203.86671447753909</v>
      </c>
    </row>
    <row r="641" ht="14.25">
      <c r="B641" s="91" t="s">
        <v>692</v>
      </c>
      <c r="C641" s="92">
        <v>196.3121032714844</v>
      </c>
    </row>
    <row r="642" ht="14.25">
      <c r="B642" s="91" t="s">
        <v>693</v>
      </c>
      <c r="C642" s="92">
        <v>196.69572448730469</v>
      </c>
    </row>
    <row r="643" ht="14.25">
      <c r="B643" s="91" t="s">
        <v>694</v>
      </c>
      <c r="C643" s="92">
        <v>192.0330810546875</v>
      </c>
    </row>
    <row r="644" ht="14.25">
      <c r="B644" s="91" t="s">
        <v>695</v>
      </c>
      <c r="C644" s="92">
        <v>189.86900329589841</v>
      </c>
    </row>
    <row r="645" ht="14.25">
      <c r="B645" s="91" t="s">
        <v>696</v>
      </c>
      <c r="C645" s="92">
        <v>189.7608337402344</v>
      </c>
    </row>
    <row r="646" ht="14.25">
      <c r="B646" s="91" t="s">
        <v>697</v>
      </c>
      <c r="C646" s="92">
        <v>190.62644958496091</v>
      </c>
    </row>
    <row r="647" ht="14.25">
      <c r="B647" s="91" t="s">
        <v>698</v>
      </c>
      <c r="C647" s="92">
        <v>192.80036926269531</v>
      </c>
    </row>
    <row r="648" ht="14.25">
      <c r="B648" s="91" t="s">
        <v>699</v>
      </c>
      <c r="C648" s="92">
        <v>187.65577697753909</v>
      </c>
    </row>
    <row r="649" ht="14.25">
      <c r="B649" s="91" t="s">
        <v>700</v>
      </c>
      <c r="C649" s="92">
        <v>182.97344970703119</v>
      </c>
    </row>
    <row r="650" ht="14.25">
      <c r="B650" s="91" t="s">
        <v>701</v>
      </c>
      <c r="C650" s="92">
        <v>191.63963317871091</v>
      </c>
    </row>
    <row r="651" ht="14.25">
      <c r="B651" s="91" t="s">
        <v>702</v>
      </c>
      <c r="C651" s="92">
        <v>189.2591247558594</v>
      </c>
    </row>
    <row r="652" ht="14.25">
      <c r="B652" s="91" t="s">
        <v>703</v>
      </c>
      <c r="C652" s="92">
        <v>187.31144714355469</v>
      </c>
    </row>
    <row r="653" ht="14.25">
      <c r="B653" s="91" t="s">
        <v>704</v>
      </c>
      <c r="C653" s="92">
        <v>179.7076416015625</v>
      </c>
    </row>
    <row r="654" ht="14.25">
      <c r="B654" s="91" t="s">
        <v>705</v>
      </c>
      <c r="C654" s="92">
        <v>177.74031066894531</v>
      </c>
    </row>
    <row r="655" ht="14.25">
      <c r="B655" s="91" t="s">
        <v>706</v>
      </c>
      <c r="C655" s="92">
        <v>180.75035095214841</v>
      </c>
    </row>
    <row r="656" ht="14.25">
      <c r="B656" s="91" t="s">
        <v>707</v>
      </c>
      <c r="C656" s="92">
        <v>184.13420104980469</v>
      </c>
    </row>
    <row r="657" ht="14.25">
      <c r="B657" s="91" t="s">
        <v>708</v>
      </c>
      <c r="C657" s="92">
        <v>182.76689147949219</v>
      </c>
    </row>
    <row r="658" ht="14.25">
      <c r="B658" s="91" t="s">
        <v>709</v>
      </c>
      <c r="C658" s="92">
        <v>178.0354309082031</v>
      </c>
    </row>
    <row r="659" ht="14.25">
      <c r="B659" s="91" t="s">
        <v>710</v>
      </c>
      <c r="C659" s="92">
        <v>185.3244323730469</v>
      </c>
    </row>
    <row r="660" ht="14.25">
      <c r="B660" s="91" t="s">
        <v>711</v>
      </c>
      <c r="C660" s="92">
        <v>183.8292541503906</v>
      </c>
    </row>
    <row r="661" ht="14.25">
      <c r="B661" s="91" t="s">
        <v>712</v>
      </c>
      <c r="C661" s="92">
        <v>179.37321472167969</v>
      </c>
    </row>
    <row r="662" ht="14.25">
      <c r="B662" s="91" t="s">
        <v>713</v>
      </c>
      <c r="C662" s="92">
        <v>179.40272521972659</v>
      </c>
    </row>
    <row r="663" ht="14.25">
      <c r="B663" s="91" t="s">
        <v>714</v>
      </c>
      <c r="C663" s="92">
        <v>176.95335388183591</v>
      </c>
    </row>
    <row r="664" ht="14.25">
      <c r="B664" s="91" t="s">
        <v>715</v>
      </c>
      <c r="C664" s="92">
        <v>178.7829895019531</v>
      </c>
    </row>
    <row r="665" ht="14.25">
      <c r="B665" s="91" t="s">
        <v>716</v>
      </c>
      <c r="C665" s="92">
        <v>183.0521545410156</v>
      </c>
    </row>
    <row r="666" ht="14.25">
      <c r="B666" s="91" t="s">
        <v>717</v>
      </c>
      <c r="C666" s="92">
        <v>179.353515625</v>
      </c>
    </row>
    <row r="667" ht="14.25">
      <c r="B667" s="91" t="s">
        <v>718</v>
      </c>
      <c r="C667" s="92">
        <v>180.70115661621091</v>
      </c>
    </row>
    <row r="668" ht="14.25">
      <c r="B668" s="91" t="s">
        <v>719</v>
      </c>
      <c r="C668" s="92">
        <v>178.1731262207031</v>
      </c>
    </row>
    <row r="669" ht="14.25">
      <c r="B669" s="91" t="s">
        <v>720</v>
      </c>
      <c r="C669" s="92">
        <v>177.88786315917969</v>
      </c>
    </row>
    <row r="670" ht="14.25">
      <c r="B670" s="91" t="s">
        <v>721</v>
      </c>
      <c r="C670" s="92">
        <v>179.2158508300781</v>
      </c>
    </row>
    <row r="671" ht="14.25">
      <c r="B671" s="91" t="s">
        <v>722</v>
      </c>
      <c r="C671" s="92">
        <v>181.2126770019531</v>
      </c>
    </row>
    <row r="672" ht="14.25">
      <c r="B672" s="91" t="s">
        <v>723</v>
      </c>
      <c r="C672" s="92">
        <v>180.6028137207031</v>
      </c>
    </row>
    <row r="673" ht="14.25">
      <c r="B673" s="91" t="s">
        <v>724</v>
      </c>
      <c r="C673" s="92">
        <v>180.9175720214844</v>
      </c>
    </row>
    <row r="674" ht="14.25">
      <c r="B674" s="91" t="s">
        <v>725</v>
      </c>
      <c r="C674" s="92">
        <v>184.03582763671881</v>
      </c>
    </row>
    <row r="675" ht="14.25">
      <c r="B675" s="91" t="s">
        <v>726</v>
      </c>
      <c r="C675" s="92">
        <v>180.76017761230469</v>
      </c>
    </row>
    <row r="676" ht="14.25">
      <c r="B676" s="91" t="s">
        <v>727</v>
      </c>
      <c r="C676" s="92">
        <v>182.75703430175781</v>
      </c>
    </row>
    <row r="677" ht="14.25">
      <c r="B677" s="91" t="s">
        <v>728</v>
      </c>
      <c r="C677" s="92">
        <v>183.70140075683591</v>
      </c>
    </row>
    <row r="678" ht="14.25">
      <c r="B678" s="91" t="s">
        <v>729</v>
      </c>
      <c r="C678" s="92">
        <v>190.25263977050781</v>
      </c>
    </row>
    <row r="679" ht="14.25">
      <c r="B679" s="91" t="s">
        <v>730</v>
      </c>
      <c r="C679" s="92">
        <v>194.4765625</v>
      </c>
    </row>
    <row r="680" ht="14.25">
      <c r="B680" s="91" t="s">
        <v>731</v>
      </c>
      <c r="C680" s="92">
        <v>197.35475158691409</v>
      </c>
    </row>
    <row r="681" ht="14.25">
      <c r="B681" s="91" t="s">
        <v>732</v>
      </c>
      <c r="C681" s="92">
        <v>197.11895751953119</v>
      </c>
    </row>
    <row r="682" ht="14.25">
      <c r="B682" s="91" t="s">
        <v>733</v>
      </c>
      <c r="C682" s="92">
        <v>195.7928466796875</v>
      </c>
    </row>
    <row r="683" ht="14.25">
      <c r="B683" s="91" t="s">
        <v>734</v>
      </c>
      <c r="C683" s="92">
        <v>194.1033020019531</v>
      </c>
    </row>
    <row r="684" ht="14.25">
      <c r="B684" s="91" t="s">
        <v>735</v>
      </c>
      <c r="C684" s="92">
        <v>192.1092529296875</v>
      </c>
    </row>
    <row r="685" ht="14.25">
      <c r="B685" s="91" t="s">
        <v>736</v>
      </c>
      <c r="C685" s="92">
        <v>189.22123718261719</v>
      </c>
    </row>
    <row r="686" ht="14.25">
      <c r="B686" s="91" t="s">
        <v>737</v>
      </c>
      <c r="C686" s="92">
        <v>192.806640625</v>
      </c>
    </row>
    <row r="687" ht="14.25">
      <c r="B687" s="91" t="s">
        <v>738</v>
      </c>
      <c r="C687" s="92">
        <v>185.9796447753906</v>
      </c>
    </row>
    <row r="688" ht="14.25">
      <c r="B688" s="91" t="s">
        <v>739</v>
      </c>
      <c r="C688" s="92">
        <v>188.91673278808591</v>
      </c>
    </row>
    <row r="689" ht="14.25">
      <c r="B689" s="91" t="s">
        <v>740</v>
      </c>
      <c r="C689" s="92">
        <v>191.43141174316409</v>
      </c>
    </row>
    <row r="690" ht="14.25">
      <c r="B690" s="91" t="s">
        <v>741</v>
      </c>
      <c r="C690" s="92">
        <v>183.1407775878906</v>
      </c>
    </row>
    <row r="691" ht="14.25">
      <c r="B691" s="91" t="s">
        <v>742</v>
      </c>
      <c r="C691" s="92">
        <v>180.2528076171875</v>
      </c>
    </row>
    <row r="692" ht="14.25">
      <c r="B692" s="91" t="s">
        <v>743</v>
      </c>
      <c r="C692" s="92">
        <v>178.53376770019531</v>
      </c>
    </row>
    <row r="693" ht="14.25">
      <c r="B693" s="91" t="s">
        <v>744</v>
      </c>
      <c r="C693" s="92">
        <v>178.95616149902341</v>
      </c>
    </row>
    <row r="694" ht="14.25">
      <c r="B694" s="91" t="s">
        <v>745</v>
      </c>
      <c r="C694" s="92">
        <v>176.00921630859381</v>
      </c>
    </row>
    <row r="695" ht="14.25">
      <c r="B695" s="91" t="s">
        <v>746</v>
      </c>
      <c r="C695" s="92">
        <v>175.02693176269531</v>
      </c>
    </row>
    <row r="696" ht="14.25">
      <c r="B696" s="91" t="s">
        <v>747</v>
      </c>
      <c r="C696" s="92">
        <v>172.35508728027341</v>
      </c>
    </row>
    <row r="697" ht="14.25">
      <c r="B697" s="91" t="s">
        <v>748</v>
      </c>
      <c r="C697" s="92">
        <v>172.050537109375</v>
      </c>
    </row>
    <row r="698" ht="14.25">
      <c r="B698" s="91" t="s">
        <v>749</v>
      </c>
      <c r="C698" s="92">
        <v>169.43766784667969</v>
      </c>
    </row>
    <row r="699" ht="14.25">
      <c r="B699" s="91" t="s">
        <v>750</v>
      </c>
      <c r="C699" s="92">
        <v>164.01530456542969</v>
      </c>
    </row>
    <row r="700" ht="14.25">
      <c r="B700" s="91" t="s">
        <v>751</v>
      </c>
      <c r="C700" s="92">
        <v>163.0821533203125</v>
      </c>
    </row>
    <row r="701" ht="14.25">
      <c r="B701" s="91" t="s">
        <v>752</v>
      </c>
      <c r="C701" s="92">
        <v>158.5929870605469</v>
      </c>
    </row>
    <row r="702" ht="14.25">
      <c r="B702" s="91" t="s">
        <v>753</v>
      </c>
      <c r="C702" s="92">
        <v>161.38275146484381</v>
      </c>
    </row>
    <row r="703" ht="14.25">
      <c r="B703" s="91" t="s">
        <v>754</v>
      </c>
      <c r="C703" s="92">
        <v>160.44953918457031</v>
      </c>
    </row>
    <row r="704" ht="14.25">
      <c r="B704" s="91" t="s">
        <v>755</v>
      </c>
      <c r="C704" s="92">
        <v>159.60478210449219</v>
      </c>
    </row>
    <row r="705" ht="14.25">
      <c r="B705" s="91" t="s">
        <v>756</v>
      </c>
      <c r="C705" s="92">
        <v>157.345458984375</v>
      </c>
    </row>
    <row r="706" ht="14.25">
      <c r="B706" s="91" t="s">
        <v>757</v>
      </c>
      <c r="C706" s="92">
        <v>155.72465515136719</v>
      </c>
    </row>
    <row r="707" ht="14.25">
      <c r="B707" s="91" t="s">
        <v>758</v>
      </c>
      <c r="C707" s="92">
        <v>154.16278076171881</v>
      </c>
    </row>
    <row r="708" ht="14.25">
      <c r="B708" s="91" t="s">
        <v>759</v>
      </c>
      <c r="C708" s="92">
        <v>152.1785583496094</v>
      </c>
    </row>
    <row r="709" ht="14.25">
      <c r="B709" s="91" t="s">
        <v>760</v>
      </c>
      <c r="C709" s="92">
        <v>152.90547180175781</v>
      </c>
    </row>
    <row r="710" ht="14.25">
      <c r="B710" s="91" t="s">
        <v>761</v>
      </c>
      <c r="C710" s="92">
        <v>153.83863830566409</v>
      </c>
    </row>
    <row r="711" ht="14.25">
      <c r="B711" s="91" t="s">
        <v>762</v>
      </c>
      <c r="C711" s="92">
        <v>142.93507385253909</v>
      </c>
    </row>
    <row r="712" ht="14.25">
      <c r="B712" s="91" t="s">
        <v>763</v>
      </c>
      <c r="C712" s="92">
        <v>142.79754638671881</v>
      </c>
    </row>
    <row r="713" ht="14.25">
      <c r="B713" s="91" t="s">
        <v>764</v>
      </c>
      <c r="C713" s="92">
        <v>138.966552734375</v>
      </c>
    </row>
    <row r="714" ht="14.25">
      <c r="B714" s="91" t="s">
        <v>765</v>
      </c>
      <c r="C714" s="92">
        <v>139.85064697265619</v>
      </c>
    </row>
    <row r="715" ht="14.25">
      <c r="B715" s="91" t="s">
        <v>766</v>
      </c>
      <c r="C715" s="92">
        <v>141.3634033203125</v>
      </c>
    </row>
    <row r="716" ht="14.25">
      <c r="B716" s="91" t="s">
        <v>767</v>
      </c>
      <c r="C716" s="92">
        <v>142.6993103027344</v>
      </c>
    </row>
    <row r="717" ht="14.25">
      <c r="B717" s="91" t="s">
        <v>768</v>
      </c>
      <c r="C717" s="92">
        <v>140.91151428222659</v>
      </c>
    </row>
    <row r="718" ht="14.25">
      <c r="B718" s="91" t="s">
        <v>769</v>
      </c>
      <c r="C718" s="92">
        <v>138.01371765136719</v>
      </c>
    </row>
    <row r="719" ht="14.25">
      <c r="B719" s="91" t="s">
        <v>770</v>
      </c>
      <c r="C719" s="92">
        <v>134.35954284667969</v>
      </c>
    </row>
    <row r="720" ht="14.25">
      <c r="B720" s="91" t="s">
        <v>771</v>
      </c>
      <c r="C720" s="92">
        <v>130.8232421875</v>
      </c>
    </row>
    <row r="721" ht="14.25">
      <c r="B721" s="91" t="s">
        <v>772</v>
      </c>
      <c r="C721" s="92">
        <v>129.41856384277341</v>
      </c>
    </row>
    <row r="722" ht="14.25">
      <c r="B722" s="91" t="s">
        <v>773</v>
      </c>
      <c r="C722" s="92">
        <v>126.3439559936523</v>
      </c>
    </row>
    <row r="723" ht="14.25">
      <c r="B723" s="91" t="s">
        <v>774</v>
      </c>
      <c r="C723" s="92">
        <v>126.2850036621094</v>
      </c>
    </row>
    <row r="724" ht="14.25">
      <c r="B724" s="91" t="s">
        <v>775</v>
      </c>
      <c r="C724" s="92">
        <v>125.21429443359381</v>
      </c>
    </row>
    <row r="725" ht="14.25">
      <c r="B725" s="91" t="s">
        <v>776</v>
      </c>
      <c r="C725" s="92">
        <v>123.6917343139648</v>
      </c>
    </row>
    <row r="726" ht="14.25">
      <c r="B726" s="91" t="s">
        <v>777</v>
      </c>
      <c r="C726" s="92">
        <v>130.194580078125</v>
      </c>
    </row>
    <row r="727" ht="14.25">
      <c r="B727" s="91" t="s">
        <v>778</v>
      </c>
      <c r="C727" s="92">
        <v>129.56591796875</v>
      </c>
    </row>
    <row r="728" ht="14.25">
      <c r="B728" s="91" t="s">
        <v>779</v>
      </c>
      <c r="C728" s="92">
        <v>130.72503662109381</v>
      </c>
    </row>
    <row r="729" ht="14.25">
      <c r="B729" s="91" t="s">
        <v>780</v>
      </c>
      <c r="C729" s="92">
        <v>131.99220275878909</v>
      </c>
    </row>
    <row r="730" ht="14.25">
      <c r="B730" s="91" t="s">
        <v>781</v>
      </c>
      <c r="C730" s="92">
        <v>135.83299255371091</v>
      </c>
    </row>
    <row r="731" ht="14.25">
      <c r="B731" s="91" t="s">
        <v>782</v>
      </c>
      <c r="C731" s="92">
        <v>136.34381103515619</v>
      </c>
    </row>
    <row r="732" ht="14.25">
      <c r="B732" s="91" t="s">
        <v>783</v>
      </c>
      <c r="C732" s="92">
        <v>132.70928955078119</v>
      </c>
    </row>
    <row r="733" ht="14.25">
      <c r="B733" s="91" t="s">
        <v>784</v>
      </c>
      <c r="C733" s="92">
        <v>134.9783935546875</v>
      </c>
    </row>
    <row r="734" ht="14.25">
      <c r="B734" s="91" t="s">
        <v>785</v>
      </c>
      <c r="C734" s="92">
        <v>138.83885192871091</v>
      </c>
    </row>
    <row r="735" ht="14.25">
      <c r="B735" s="91" t="s">
        <v>786</v>
      </c>
      <c r="C735" s="92">
        <v>140.5284118652344</v>
      </c>
    </row>
    <row r="736" ht="14.25">
      <c r="B736" s="91" t="s">
        <v>787</v>
      </c>
      <c r="C736" s="92">
        <v>136.6581726074219</v>
      </c>
    </row>
    <row r="737" ht="14.25">
      <c r="B737" s="91" t="s">
        <v>788</v>
      </c>
      <c r="C737" s="92">
        <v>138.29856872558591</v>
      </c>
    </row>
    <row r="738" ht="14.25">
      <c r="B738" s="91" t="s">
        <v>789</v>
      </c>
      <c r="C738" s="92">
        <v>143.4753723144531</v>
      </c>
    </row>
    <row r="739" ht="14.25">
      <c r="B739" s="91" t="s">
        <v>790</v>
      </c>
      <c r="C739" s="92">
        <v>144.02543640136719</v>
      </c>
    </row>
    <row r="740" ht="14.25">
      <c r="B740" s="91" t="s">
        <v>791</v>
      </c>
      <c r="C740" s="92">
        <v>143.00382995605469</v>
      </c>
    </row>
    <row r="741" ht="14.25">
      <c r="B741" s="91" t="s">
        <v>792</v>
      </c>
      <c r="C741" s="92">
        <v>145.83746337890619</v>
      </c>
    </row>
    <row r="742" ht="14.25">
      <c r="B742" s="91" t="s">
        <v>793</v>
      </c>
      <c r="C742" s="92">
        <v>146.8865661621094</v>
      </c>
    </row>
    <row r="743" ht="14.25">
      <c r="B743" s="91" t="s">
        <v>794</v>
      </c>
      <c r="C743" s="92">
        <v>147.7493591308594</v>
      </c>
    </row>
    <row r="744" ht="14.25">
      <c r="B744" s="91" t="s">
        <v>795</v>
      </c>
      <c r="C744" s="92">
        <v>146.24922180175781</v>
      </c>
    </row>
    <row r="745" ht="14.25">
      <c r="B745" s="91" t="s">
        <v>796</v>
      </c>
      <c r="C745" s="92">
        <v>143.4842834472656</v>
      </c>
    </row>
    <row r="746" ht="14.25">
      <c r="B746" s="91" t="s">
        <v>797</v>
      </c>
      <c r="C746" s="92">
        <v>145.08247375488281</v>
      </c>
    </row>
    <row r="747" ht="14.25">
      <c r="B747" s="91" t="s">
        <v>798</v>
      </c>
      <c r="C747" s="92">
        <v>143.9647216796875</v>
      </c>
    </row>
    <row r="748" ht="14.25">
      <c r="B748" s="91" t="s">
        <v>799</v>
      </c>
      <c r="C748" s="92">
        <v>143.63136291503909</v>
      </c>
    </row>
    <row r="749" ht="14.25">
      <c r="B749" s="91" t="s">
        <v>800</v>
      </c>
      <c r="C749" s="92">
        <v>147.965087890625</v>
      </c>
    </row>
    <row r="750" ht="14.25">
      <c r="B750" s="91" t="s">
        <v>801</v>
      </c>
      <c r="C750" s="92">
        <v>149.53387451171881</v>
      </c>
    </row>
    <row r="751" ht="14.25">
      <c r="B751" s="91" t="s">
        <v>802</v>
      </c>
      <c r="C751" s="92">
        <v>149.43580627441409</v>
      </c>
    </row>
    <row r="752" ht="14.25">
      <c r="B752" s="91" t="s">
        <v>803</v>
      </c>
      <c r="C752" s="92">
        <v>149.03382873535159</v>
      </c>
    </row>
    <row r="753" ht="14.25">
      <c r="B753" s="91" t="s">
        <v>804</v>
      </c>
      <c r="C753" s="92">
        <v>153.74012756347659</v>
      </c>
    </row>
    <row r="754" ht="14.25">
      <c r="B754" s="91" t="s">
        <v>805</v>
      </c>
      <c r="C754" s="92">
        <v>150.3378601074219</v>
      </c>
    </row>
    <row r="755" ht="14.25">
      <c r="B755" s="91" t="s">
        <v>806</v>
      </c>
      <c r="C755" s="92">
        <v>154.0049133300781</v>
      </c>
    </row>
    <row r="756" ht="14.25">
      <c r="B756" s="91" t="s">
        <v>807</v>
      </c>
      <c r="C756" s="92">
        <v>155.6226806640625</v>
      </c>
    </row>
    <row r="757" ht="14.25">
      <c r="B757" s="91" t="s">
        <v>808</v>
      </c>
      <c r="C757" s="92">
        <v>151.27912902832031</v>
      </c>
    </row>
    <row r="758" ht="14.25">
      <c r="B758" s="91" t="s">
        <v>809</v>
      </c>
      <c r="C758" s="92">
        <v>152.38710021972659</v>
      </c>
    </row>
    <row r="759" ht="14.25">
      <c r="B759" s="91" t="s">
        <v>810</v>
      </c>
      <c r="C759" s="92">
        <v>153.5048522949219</v>
      </c>
    </row>
    <row r="760" ht="14.25">
      <c r="B760" s="91" t="s">
        <v>811</v>
      </c>
      <c r="C760" s="92">
        <v>153.7303161621094</v>
      </c>
    </row>
    <row r="761" ht="14.25">
      <c r="B761" s="91" t="s">
        <v>812</v>
      </c>
      <c r="C761" s="92">
        <v>159.99565124511719</v>
      </c>
    </row>
    <row r="762" ht="14.25">
      <c r="B762" s="91" t="s">
        <v>813</v>
      </c>
      <c r="C762" s="92">
        <v>156.64237976074219</v>
      </c>
    </row>
    <row r="763" ht="14.25">
      <c r="B763" s="91" t="s">
        <v>814</v>
      </c>
      <c r="C763" s="92">
        <v>155.59327697753909</v>
      </c>
    </row>
    <row r="764" ht="14.25">
      <c r="B764" s="91" t="s">
        <v>815</v>
      </c>
      <c r="C764" s="92">
        <v>155.06379699707031</v>
      </c>
    </row>
    <row r="765" ht="14.25">
      <c r="B765" s="91" t="s">
        <v>816</v>
      </c>
      <c r="C765" s="92">
        <v>151.60267639160159</v>
      </c>
    </row>
    <row r="766" ht="14.25">
      <c r="B766" s="91" t="s">
        <v>817</v>
      </c>
      <c r="C766" s="92">
        <v>151.04380798339841</v>
      </c>
    </row>
    <row r="767" ht="14.25">
      <c r="B767" s="91" t="s">
        <v>818</v>
      </c>
      <c r="C767" s="92">
        <v>150.27903747558591</v>
      </c>
    </row>
    <row r="768" ht="14.25">
      <c r="B768" s="91" t="s">
        <v>819</v>
      </c>
      <c r="C768" s="92">
        <v>153.29893493652341</v>
      </c>
    </row>
    <row r="769" ht="14.25">
      <c r="B769" s="91" t="s">
        <v>820</v>
      </c>
      <c r="C769" s="92">
        <v>150.32804870605469</v>
      </c>
    </row>
    <row r="770" ht="14.25">
      <c r="B770" s="91" t="s">
        <v>821</v>
      </c>
      <c r="C770" s="92">
        <v>149.5142517089844</v>
      </c>
    </row>
    <row r="771" ht="14.25">
      <c r="B771" s="91" t="s">
        <v>822</v>
      </c>
      <c r="C771" s="92">
        <v>149.8083801269531</v>
      </c>
    </row>
    <row r="772" ht="14.25">
      <c r="B772" s="91" t="s">
        <v>823</v>
      </c>
      <c r="C772" s="92">
        <v>147.89646911621091</v>
      </c>
    </row>
    <row r="773" ht="14.25">
      <c r="B773" s="91" t="s">
        <v>824</v>
      </c>
      <c r="C773" s="92">
        <v>153.5244445800781</v>
      </c>
    </row>
    <row r="774" ht="14.25">
      <c r="B774" s="91" t="s">
        <v>825</v>
      </c>
      <c r="C774" s="92">
        <v>153.58329772949219</v>
      </c>
    </row>
    <row r="775" ht="14.25">
      <c r="B775" s="91" t="s">
        <v>826</v>
      </c>
      <c r="C775" s="92">
        <v>153.4852294921875</v>
      </c>
    </row>
    <row r="776" ht="14.25">
      <c r="B776" s="91" t="s">
        <v>827</v>
      </c>
      <c r="C776" s="92">
        <v>153.63227844238281</v>
      </c>
    </row>
    <row r="777" ht="14.25">
      <c r="B777" s="91" t="s">
        <v>828</v>
      </c>
      <c r="C777" s="92">
        <v>151.994873046875</v>
      </c>
    </row>
    <row r="778" ht="14.25">
      <c r="B778" s="91" t="s">
        <v>829</v>
      </c>
      <c r="C778" s="92">
        <v>152.85771179199219</v>
      </c>
    </row>
    <row r="779" ht="14.25">
      <c r="B779" s="91" t="s">
        <v>830</v>
      </c>
      <c r="C779" s="92">
        <v>152.55377197265619</v>
      </c>
    </row>
    <row r="780" ht="14.25">
      <c r="B780" s="91" t="s">
        <v>831</v>
      </c>
      <c r="C780" s="92">
        <v>153.98527526855469</v>
      </c>
    </row>
    <row r="781" ht="14.25">
      <c r="B781" s="91" t="s">
        <v>832</v>
      </c>
      <c r="C781" s="92">
        <v>152.24981689453119</v>
      </c>
    </row>
    <row r="782" ht="14.25">
      <c r="B782" s="96"/>
      <c r="C782" s="77"/>
    </row>
    <row r="783" ht="14.25">
      <c r="B783" s="19"/>
      <c r="C783" s="19"/>
    </row>
    <row r="784" ht="14.25">
      <c r="A784" s="25" t="s">
        <v>10</v>
      </c>
      <c r="B784" s="21" t="s">
        <v>35</v>
      </c>
      <c r="C784" s="21"/>
      <c r="D784" s="21"/>
      <c r="E784" s="21"/>
      <c r="F784" s="21"/>
    </row>
    <row r="786" ht="14.25">
      <c r="A786" s="25"/>
      <c r="B786" s="19"/>
    </row>
  </sheetData>
  <sortState ref="B30:C280" columnSort="0">
    <sortCondition sortBy="value" descending="0" ref="B30:B280"/>
  </sortState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G17" zoomScale="100" workbookViewId="0">
      <selection activeCell="A1" activeCellId="0" sqref="A1"/>
    </sheetView>
  </sheetViews>
  <sheetFormatPr defaultRowHeight="14.25"/>
  <cols>
    <col customWidth="1" min="1" max="1" style="25" width="7.7109375"/>
    <col customWidth="1" min="2" max="7" style="19" width="14.7109375"/>
    <col customWidth="1" min="8" max="8" style="19" width="7.7109375"/>
    <col customWidth="1" min="9" max="12" style="19" width="14.7109375"/>
    <col customWidth="1" min="13" max="13" style="19" width="7.7109375"/>
    <col customWidth="1" min="14" max="19" style="19" width="14.7109375"/>
    <col customWidth="1" min="20" max="20" style="19" width="7.7109375"/>
    <col customWidth="1" min="21" max="16384" style="19" width="14.7109375"/>
  </cols>
  <sheetData>
    <row r="1" s="21" customFormat="1" ht="15">
      <c r="A1" s="22"/>
      <c r="H1" s="21"/>
      <c r="M1" s="21"/>
      <c r="T1" s="21"/>
    </row>
    <row r="2" s="21" customFormat="1" ht="15">
      <c r="A2" s="22"/>
      <c r="B2" s="23" t="s">
        <v>833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="21" customFormat="1" ht="15">
      <c r="A3" s="22"/>
      <c r="H3" s="21"/>
      <c r="M3" s="21"/>
      <c r="T3" s="21"/>
    </row>
    <row r="5" ht="14.25">
      <c r="A5" s="25" t="s">
        <v>10</v>
      </c>
      <c r="B5" s="21" t="s">
        <v>11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 ht="14.25">
      <c r="A6" s="25"/>
      <c r="B6" s="19"/>
      <c r="C6" s="19"/>
      <c r="D6" s="19"/>
      <c r="E6" s="19"/>
    </row>
    <row r="7" ht="14.25">
      <c r="A7" s="25"/>
      <c r="B7" s="26" t="s">
        <v>2</v>
      </c>
      <c r="C7" s="27" t="str">
        <f>Cover!D8</f>
        <v xml:space="preserve">Simpson Manufacturing</v>
      </c>
      <c r="D7" s="19"/>
    </row>
    <row r="8" ht="14.25">
      <c r="A8" s="25"/>
      <c r="B8" s="26" t="s">
        <v>3</v>
      </c>
      <c r="C8" s="27" t="str">
        <f>Cover!D9</f>
        <v>SSD</v>
      </c>
      <c r="D8" s="19"/>
      <c r="E8" s="19"/>
      <c r="F8" s="19"/>
      <c r="G8" s="19"/>
      <c r="H8" s="19"/>
    </row>
    <row r="9" ht="14.25">
      <c r="A9" s="25"/>
      <c r="B9" s="26" t="s">
        <v>5</v>
      </c>
      <c r="C9" s="19" t="str">
        <f>Cover!D10</f>
        <v>Industrials</v>
      </c>
      <c r="D9" s="19"/>
      <c r="F9" s="19"/>
      <c r="G9" s="19"/>
      <c r="H9" s="19"/>
    </row>
    <row r="10" ht="14.25">
      <c r="A10" s="25"/>
      <c r="B10" s="26" t="s">
        <v>7</v>
      </c>
      <c r="C10" s="28">
        <f>Cover!D11</f>
        <v>46235</v>
      </c>
      <c r="D10" s="19"/>
      <c r="F10" s="19"/>
      <c r="G10" s="19"/>
      <c r="H10" s="19"/>
    </row>
    <row r="11" ht="14.25">
      <c r="B11" s="26" t="s">
        <v>8</v>
      </c>
      <c r="C11" s="27">
        <f>Cover!D12</f>
        <v>187.74000000000001</v>
      </c>
      <c r="D11" s="19"/>
      <c r="F11" s="19"/>
      <c r="G11" s="19"/>
      <c r="H11" s="19"/>
    </row>
    <row r="12" ht="14.25">
      <c r="B12" s="19"/>
      <c r="C12" s="27"/>
      <c r="F12" s="19"/>
      <c r="G12" s="19"/>
      <c r="H12" s="19"/>
    </row>
    <row r="13" ht="14.25">
      <c r="A13" s="25" t="s">
        <v>10</v>
      </c>
      <c r="B13" s="21" t="s">
        <v>67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ht="28.5"/>
    <row r="15" ht="14.25">
      <c r="B15" s="47" t="s">
        <v>46</v>
      </c>
      <c r="C15" s="48" t="s">
        <v>68</v>
      </c>
      <c r="D15" s="48" t="s">
        <v>48</v>
      </c>
      <c r="E15" s="48" t="s">
        <v>49</v>
      </c>
      <c r="AA15" s="19"/>
    </row>
    <row r="16" ht="14.25">
      <c r="B16" s="19" t="s">
        <v>52</v>
      </c>
      <c r="C16" s="84">
        <f t="shared" ref="C16:C19" si="5">D16*0.95</f>
        <v>173.15315701513333</v>
      </c>
      <c r="D16" s="97">
        <f>N46</f>
        <v>182.2664810685614</v>
      </c>
      <c r="E16" s="84">
        <f t="shared" ref="E16:E19" si="6">D16*1.05</f>
        <v>191.37980512198948</v>
      </c>
      <c r="AA16" s="19"/>
    </row>
    <row r="17" ht="14.25">
      <c r="B17" s="19" t="s">
        <v>53</v>
      </c>
      <c r="C17" s="84">
        <f t="shared" si="5"/>
        <v>190.39787397144471</v>
      </c>
      <c r="D17" s="97">
        <f>O46</f>
        <v>200.41881470678391</v>
      </c>
      <c r="E17" s="84">
        <f t="shared" si="6"/>
        <v>210.4397554421231</v>
      </c>
      <c r="AA17" s="19"/>
    </row>
    <row r="18" ht="14.25">
      <c r="B18" s="19" t="s">
        <v>54</v>
      </c>
      <c r="C18" s="84">
        <f t="shared" si="5"/>
        <v>154.05473544731171</v>
      </c>
      <c r="D18" s="97">
        <f>P46</f>
        <v>162.16287941822287</v>
      </c>
      <c r="E18" s="84">
        <f t="shared" si="6"/>
        <v>170.27102338913403</v>
      </c>
    </row>
    <row r="19" ht="14.25">
      <c r="B19" s="19" t="s">
        <v>55</v>
      </c>
      <c r="C19" s="84">
        <f t="shared" si="5"/>
        <v>232.13563783040141</v>
      </c>
      <c r="D19" s="85">
        <f>Q46</f>
        <v>244.35330297936991</v>
      </c>
      <c r="E19" s="84">
        <f t="shared" si="6"/>
        <v>256.57096812833839</v>
      </c>
      <c r="I19" s="19"/>
      <c r="L19" s="19"/>
      <c r="Q19" s="98"/>
      <c r="V19" s="19"/>
      <c r="W19" s="19"/>
      <c r="X19" s="19"/>
      <c r="Y19" s="19"/>
      <c r="AA19" s="19"/>
      <c r="AB19" s="19"/>
      <c r="AC19" s="19"/>
      <c r="AD19" s="19"/>
    </row>
    <row r="21" ht="14.25">
      <c r="A21" s="25" t="s">
        <v>10</v>
      </c>
      <c r="B21" s="21" t="s">
        <v>834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9"/>
      <c r="Z21" s="76"/>
    </row>
    <row r="22" ht="14.25">
      <c r="L22" s="19"/>
      <c r="T22" s="19"/>
      <c r="U22" s="99"/>
      <c r="V22" s="99"/>
      <c r="W22" s="99"/>
      <c r="X22" s="99"/>
      <c r="Y22" s="99"/>
      <c r="Z22" s="76"/>
      <c r="AA22" s="19"/>
      <c r="AB22" s="19"/>
      <c r="AC22" s="19"/>
      <c r="AD22" s="19"/>
    </row>
    <row r="23" ht="14.25">
      <c r="B23" s="19"/>
      <c r="C23" s="54"/>
      <c r="D23" s="54"/>
      <c r="E23" s="55" t="s">
        <v>835</v>
      </c>
      <c r="F23" s="54"/>
      <c r="G23" s="54"/>
      <c r="H23" s="37"/>
      <c r="I23" s="54"/>
      <c r="J23" s="55" t="s">
        <v>836</v>
      </c>
      <c r="K23" s="55"/>
      <c r="L23" s="100"/>
      <c r="N23" s="54"/>
      <c r="O23" s="54"/>
      <c r="P23" s="55" t="s">
        <v>837</v>
      </c>
      <c r="Q23" s="55"/>
      <c r="R23" s="100"/>
      <c r="S23" s="100"/>
      <c r="U23" s="54"/>
      <c r="V23" s="55" t="s">
        <v>838</v>
      </c>
      <c r="W23" s="55"/>
      <c r="X23" s="100"/>
      <c r="Y23" s="19"/>
      <c r="Z23" s="19"/>
      <c r="AA23" s="19"/>
      <c r="AB23" s="19"/>
      <c r="AC23" s="19"/>
      <c r="AD23" s="19"/>
    </row>
    <row r="24" ht="14.25">
      <c r="B24" s="101" t="s">
        <v>839</v>
      </c>
      <c r="C24" s="102" t="s">
        <v>840</v>
      </c>
      <c r="D24" s="103" t="s">
        <v>841</v>
      </c>
      <c r="E24" s="103"/>
      <c r="F24" s="104" t="s">
        <v>842</v>
      </c>
      <c r="G24" s="104" t="s">
        <v>843</v>
      </c>
      <c r="H24" s="105"/>
      <c r="I24" s="106" t="s">
        <v>844</v>
      </c>
      <c r="J24" s="106" t="s">
        <v>845</v>
      </c>
      <c r="K24" s="107" t="s">
        <v>844</v>
      </c>
      <c r="L24" s="107" t="s">
        <v>846</v>
      </c>
      <c r="M24" s="108"/>
      <c r="N24" s="106" t="s">
        <v>39</v>
      </c>
      <c r="O24" s="106" t="s">
        <v>847</v>
      </c>
      <c r="P24" s="106" t="s">
        <v>848</v>
      </c>
      <c r="Q24" s="106" t="s">
        <v>849</v>
      </c>
      <c r="R24" s="106" t="s">
        <v>850</v>
      </c>
      <c r="S24" s="106" t="s">
        <v>851</v>
      </c>
      <c r="T24" s="108"/>
      <c r="U24" s="106" t="s">
        <v>852</v>
      </c>
      <c r="V24" s="106" t="s">
        <v>853</v>
      </c>
      <c r="W24" s="106" t="s">
        <v>54</v>
      </c>
      <c r="X24" s="106" t="s">
        <v>55</v>
      </c>
      <c r="Y24" s="19"/>
      <c r="Z24" s="19"/>
      <c r="AA24" s="19"/>
      <c r="AB24" s="19"/>
      <c r="AC24" s="19"/>
      <c r="AD24" s="19"/>
    </row>
    <row r="25" ht="14.25">
      <c r="C25" s="43"/>
      <c r="D25" s="19"/>
      <c r="E25" s="19"/>
      <c r="G25" s="27"/>
      <c r="I25" s="19"/>
      <c r="J25" s="19"/>
      <c r="L25" s="19"/>
      <c r="O25" s="19"/>
      <c r="Q25" s="19"/>
      <c r="R25" s="19"/>
      <c r="S25" s="19"/>
      <c r="U25" s="19"/>
      <c r="V25" s="19"/>
      <c r="W25" s="19"/>
      <c r="X25" s="19"/>
      <c r="Y25" s="19"/>
      <c r="AA25" s="19"/>
      <c r="AB25" s="19"/>
      <c r="AC25" s="19"/>
      <c r="AD25" s="19"/>
    </row>
    <row r="26" ht="14.25">
      <c r="B26" s="109"/>
      <c r="C26" s="110" t="s">
        <v>4</v>
      </c>
      <c r="D26" s="111" t="s">
        <v>0</v>
      </c>
      <c r="E26" s="111"/>
      <c r="F26" s="111" t="s">
        <v>6</v>
      </c>
      <c r="G26" s="111" t="s">
        <v>854</v>
      </c>
      <c r="H26" s="112"/>
      <c r="I26" s="113">
        <f>Data!D16</f>
        <v>2421.8979840000002</v>
      </c>
      <c r="J26" s="113">
        <f>Data!D18</f>
        <v>579.36902399999997</v>
      </c>
      <c r="K26" s="114">
        <f>I26</f>
        <v>2421.8979840000002</v>
      </c>
      <c r="L26" s="113">
        <f>Data!D20</f>
        <v>378.916</v>
      </c>
      <c r="M26" s="112"/>
      <c r="N26" s="115">
        <f>Data!D29</f>
        <v>187.74000000000001</v>
      </c>
      <c r="O26" s="116">
        <f>Data!D30</f>
        <v>41.138325000000002</v>
      </c>
      <c r="P26" s="116">
        <f>Data!D31</f>
        <v>7905.551872</v>
      </c>
      <c r="Q26" s="116">
        <f>Data!D26</f>
        <v>481.73900800000001</v>
      </c>
      <c r="R26" s="116">
        <f>Data!D27</f>
        <v>341.00499200000002</v>
      </c>
      <c r="S26" s="117">
        <f>P26+Q26-R26</f>
        <v>8046.2858880000003</v>
      </c>
      <c r="T26" s="112"/>
      <c r="U26" s="118">
        <f>S26/I26</f>
        <v>3.3223058696761356</v>
      </c>
      <c r="V26" s="118">
        <f>S26/J26</f>
        <v>13.888015331658464</v>
      </c>
      <c r="W26" s="118">
        <f>P26/K26</f>
        <v>3.2641968919529845</v>
      </c>
      <c r="X26" s="119">
        <f>P26/L26</f>
        <v>20.863600038003145</v>
      </c>
      <c r="Y26" s="19"/>
      <c r="AA26" s="19"/>
      <c r="AB26" s="19"/>
      <c r="AC26" s="19"/>
      <c r="AD26" s="19"/>
    </row>
    <row r="27" ht="14.25">
      <c r="C27" s="43"/>
      <c r="D27" s="19"/>
      <c r="I27" s="120"/>
      <c r="J27" s="120"/>
      <c r="K27" s="121"/>
      <c r="L27" s="120"/>
      <c r="N27" s="120"/>
      <c r="O27" s="120"/>
      <c r="P27" s="120"/>
      <c r="Q27" s="120"/>
      <c r="R27" s="120"/>
      <c r="S27" s="94"/>
      <c r="U27" s="19"/>
      <c r="V27" s="19"/>
      <c r="W27" s="19"/>
      <c r="X27" s="19"/>
      <c r="Y27" s="19"/>
      <c r="AA27" s="19"/>
      <c r="AB27" s="19"/>
      <c r="AC27" s="19"/>
      <c r="AD27" s="19"/>
    </row>
    <row r="28" ht="14.25">
      <c r="B28" s="122"/>
      <c r="C28" s="43" t="s">
        <v>855</v>
      </c>
      <c r="D28" s="19" t="s">
        <v>855</v>
      </c>
      <c r="E28" s="19"/>
      <c r="F28" s="123" t="s">
        <v>6</v>
      </c>
      <c r="G28" s="94" t="s">
        <v>854</v>
      </c>
      <c r="H28" s="124"/>
      <c r="I28" s="125">
        <v>1616.957952</v>
      </c>
      <c r="J28" s="125">
        <v>251.051008</v>
      </c>
      <c r="K28" s="126">
        <f t="shared" ref="K28:K35" si="7">I28</f>
        <v>1616.957952</v>
      </c>
      <c r="L28" s="125">
        <v>118.116</v>
      </c>
      <c r="N28" s="127">
        <v>89.060000000000002</v>
      </c>
      <c r="O28" s="125">
        <v>81.911709999999999</v>
      </c>
      <c r="P28" s="125">
        <v>7581.7477120000003</v>
      </c>
      <c r="Q28" s="125">
        <v>443.33199999999999</v>
      </c>
      <c r="R28" s="125">
        <v>0.012999999999999999</v>
      </c>
      <c r="S28" s="123">
        <f t="shared" ref="S28:S35" si="8">P28+Q28-R28</f>
        <v>8025.0667120000007</v>
      </c>
      <c r="U28" s="128">
        <f t="shared" ref="U28:U35" si="9">S28/I28</f>
        <v>4.9630645633511197</v>
      </c>
      <c r="V28" s="128">
        <f t="shared" ref="V28:V35" si="10">S28/J28</f>
        <v>31.965881260273612</v>
      </c>
      <c r="W28" s="128">
        <f t="shared" ref="W28:W35" si="11">P28/K28</f>
        <v>4.6888960239332187</v>
      </c>
      <c r="X28" s="128">
        <f t="shared" ref="X28:X29" si="12">P28/L28</f>
        <v>64.188998205154263</v>
      </c>
      <c r="Y28" s="19"/>
    </row>
    <row r="29" ht="14.25">
      <c r="A29" s="25"/>
      <c r="B29" s="122" t="s">
        <v>856</v>
      </c>
      <c r="C29" s="43" t="s">
        <v>857</v>
      </c>
      <c r="D29" s="19" t="s">
        <v>858</v>
      </c>
      <c r="E29" s="19"/>
      <c r="F29" s="123" t="s">
        <v>6</v>
      </c>
      <c r="G29" s="94" t="s">
        <v>854</v>
      </c>
      <c r="H29" s="129"/>
      <c r="I29" s="125">
        <v>4441.3998080000001</v>
      </c>
      <c r="J29" s="125">
        <v>811.29996800000004</v>
      </c>
      <c r="K29" s="126">
        <f t="shared" si="7"/>
        <v>4441.3998080000001</v>
      </c>
      <c r="L29" s="125">
        <v>271.60000000000002</v>
      </c>
      <c r="N29" s="127">
        <v>49.259999999999998</v>
      </c>
      <c r="O29" s="125">
        <v>119.29341700000001</v>
      </c>
      <c r="P29" s="125">
        <v>6223.5371519999999</v>
      </c>
      <c r="Q29" s="125">
        <v>2962.8999680000002</v>
      </c>
      <c r="R29" s="125">
        <v>223.09999999999999</v>
      </c>
      <c r="S29" s="123">
        <f t="shared" si="8"/>
        <v>8963.3371200000001</v>
      </c>
      <c r="U29" s="128">
        <f t="shared" si="9"/>
        <v>2.018133360535328</v>
      </c>
      <c r="V29" s="128">
        <f t="shared" si="10"/>
        <v>11.048117186663072</v>
      </c>
      <c r="W29" s="128">
        <f t="shared" si="11"/>
        <v>1.401255779943511</v>
      </c>
      <c r="X29" s="128">
        <f t="shared" si="12"/>
        <v>22.914348865979377</v>
      </c>
      <c r="Y29" s="19"/>
    </row>
    <row r="30" ht="14.25">
      <c r="B30" s="122" t="s">
        <v>856</v>
      </c>
      <c r="C30" s="43" t="s">
        <v>859</v>
      </c>
      <c r="D30" s="19" t="s">
        <v>860</v>
      </c>
      <c r="E30" s="19"/>
      <c r="F30" s="123" t="s">
        <v>6</v>
      </c>
      <c r="G30" s="94" t="s">
        <v>854</v>
      </c>
      <c r="H30" s="129"/>
      <c r="I30" s="125">
        <v>2558.0001280000001</v>
      </c>
      <c r="J30" s="125">
        <v>318</v>
      </c>
      <c r="K30" s="126">
        <f t="shared" si="7"/>
        <v>2558.0001280000001</v>
      </c>
      <c r="L30" s="125">
        <v>82</v>
      </c>
      <c r="M30" s="19"/>
      <c r="N30" s="127">
        <v>72.430000000000007</v>
      </c>
      <c r="O30" s="125">
        <v>69.864879999999999</v>
      </c>
      <c r="P30" s="125">
        <v>5153.2339199999997</v>
      </c>
      <c r="Q30" s="125">
        <v>378</v>
      </c>
      <c r="R30" s="125">
        <v>164</v>
      </c>
      <c r="S30" s="123">
        <f t="shared" si="8"/>
        <v>5367.2339199999997</v>
      </c>
      <c r="T30" s="19"/>
      <c r="U30" s="128">
        <f t="shared" si="9"/>
        <v>2.0982148754607097</v>
      </c>
      <c r="V30" s="128">
        <f t="shared" si="10"/>
        <v>16.878094088050315</v>
      </c>
      <c r="W30" s="128">
        <f t="shared" si="11"/>
        <v>2.01455577096828</v>
      </c>
      <c r="X30" s="130">
        <f>P30/L30-30</f>
        <v>32.84431609756097</v>
      </c>
      <c r="Y30" s="19"/>
      <c r="AA30" s="19"/>
      <c r="AB30" s="19"/>
      <c r="AC30" s="19"/>
      <c r="AD30" s="19"/>
    </row>
    <row r="31" ht="14.25">
      <c r="B31" s="122"/>
      <c r="C31" s="43" t="s">
        <v>861</v>
      </c>
      <c r="D31" s="19" t="s">
        <v>862</v>
      </c>
      <c r="E31" s="19"/>
      <c r="F31" s="123" t="s">
        <v>6</v>
      </c>
      <c r="G31" s="94" t="s">
        <v>854</v>
      </c>
      <c r="H31" s="129"/>
      <c r="I31" s="125">
        <v>9838.0001279999997</v>
      </c>
      <c r="J31" s="125">
        <v>2035.0000640000001</v>
      </c>
      <c r="K31" s="126">
        <f t="shared" si="7"/>
        <v>9838.0001279999997</v>
      </c>
      <c r="L31" s="125">
        <v>-405</v>
      </c>
      <c r="M31" s="19"/>
      <c r="N31" s="127">
        <v>138.90000000000001</v>
      </c>
      <c r="O31" s="125">
        <v>80.528318999999996</v>
      </c>
      <c r="P31" s="125">
        <v>11532.461056</v>
      </c>
      <c r="Q31" s="125">
        <v>6023.0000639999998</v>
      </c>
      <c r="R31" s="125">
        <v>272</v>
      </c>
      <c r="S31" s="123">
        <f t="shared" si="8"/>
        <v>17283.46112</v>
      </c>
      <c r="T31" s="19"/>
      <c r="U31" s="128">
        <f t="shared" si="9"/>
        <v>1.7568063524221171</v>
      </c>
      <c r="V31" s="128">
        <f t="shared" si="10"/>
        <v>8.4931010203643904</v>
      </c>
      <c r="W31" s="128">
        <f t="shared" si="11"/>
        <v>1.1722363189625689</v>
      </c>
      <c r="X31" s="128">
        <f t="shared" ref="X31:X35" si="13">P31/L31</f>
        <v>-28.475212483950617</v>
      </c>
      <c r="Y31" s="19"/>
      <c r="AA31" s="19"/>
      <c r="AB31" s="19"/>
      <c r="AC31" s="19"/>
      <c r="AD31" s="19"/>
    </row>
    <row r="32" ht="14.25">
      <c r="B32" s="122" t="s">
        <v>856</v>
      </c>
      <c r="C32" s="43" t="s">
        <v>863</v>
      </c>
      <c r="D32" s="19" t="s">
        <v>864</v>
      </c>
      <c r="E32" s="19"/>
      <c r="F32" s="123" t="s">
        <v>6</v>
      </c>
      <c r="G32" s="94" t="s">
        <v>854</v>
      </c>
      <c r="H32" s="129"/>
      <c r="I32" s="125">
        <v>1177.677056</v>
      </c>
      <c r="J32" s="125">
        <v>325.98201599999999</v>
      </c>
      <c r="K32" s="126">
        <f t="shared" si="7"/>
        <v>1177.677056</v>
      </c>
      <c r="L32" s="125">
        <v>191.38399999999999</v>
      </c>
      <c r="M32" s="19"/>
      <c r="N32" s="127">
        <v>43.359999999999999</v>
      </c>
      <c r="O32" s="125">
        <v>103.898729</v>
      </c>
      <c r="P32" s="125">
        <v>4657.7802240000001</v>
      </c>
      <c r="Q32" s="125">
        <v>435.198016</v>
      </c>
      <c r="R32" s="125">
        <v>4.492</v>
      </c>
      <c r="S32" s="123">
        <f t="shared" si="8"/>
        <v>5088.4862400000002</v>
      </c>
      <c r="T32" s="19"/>
      <c r="U32" s="128">
        <f t="shared" si="9"/>
        <v>4.3207823520678321</v>
      </c>
      <c r="V32" s="128">
        <f t="shared" si="10"/>
        <v>15.609714616894696</v>
      </c>
      <c r="W32" s="128">
        <f t="shared" si="11"/>
        <v>3.9550572886426347</v>
      </c>
      <c r="X32" s="128">
        <f t="shared" si="13"/>
        <v>24.337354345190821</v>
      </c>
      <c r="Y32" s="19"/>
      <c r="AA32" s="19"/>
      <c r="AB32" s="19"/>
      <c r="AC32" s="19"/>
      <c r="AD32" s="19"/>
    </row>
    <row r="33" ht="14.25">
      <c r="B33" s="122"/>
      <c r="C33" s="43" t="s">
        <v>865</v>
      </c>
      <c r="D33" s="19" t="s">
        <v>866</v>
      </c>
      <c r="E33" s="19"/>
      <c r="F33" s="123" t="s">
        <v>6</v>
      </c>
      <c r="G33" s="94" t="s">
        <v>854</v>
      </c>
      <c r="H33" s="129"/>
      <c r="I33" s="125">
        <v>6233.6537600000001</v>
      </c>
      <c r="J33" s="125">
        <v>478.66300799999999</v>
      </c>
      <c r="K33" s="126">
        <f t="shared" si="7"/>
        <v>6233.6537600000001</v>
      </c>
      <c r="L33" s="125">
        <v>237.858</v>
      </c>
      <c r="M33" s="19"/>
      <c r="N33" s="127">
        <v>86.739999999999995</v>
      </c>
      <c r="O33" s="125">
        <v>56.480229999999999</v>
      </c>
      <c r="P33" s="125">
        <v>5178.1079040000004</v>
      </c>
      <c r="Q33" s="125">
        <v>234.25100800000001</v>
      </c>
      <c r="R33" s="125">
        <v>643.59302400000001</v>
      </c>
      <c r="S33" s="123">
        <f t="shared" si="8"/>
        <v>4768.7658880000008</v>
      </c>
      <c r="T33" s="19"/>
      <c r="U33" s="128">
        <f t="shared" si="9"/>
        <v>0.76500333056675907</v>
      </c>
      <c r="V33" s="128">
        <f t="shared" si="10"/>
        <v>9.9626789793624511</v>
      </c>
      <c r="W33" s="128">
        <f t="shared" si="11"/>
        <v>0.83066979709825917</v>
      </c>
      <c r="X33" s="128">
        <f t="shared" si="13"/>
        <v>21.769744570289838</v>
      </c>
      <c r="Y33" s="19"/>
      <c r="AA33" s="19"/>
      <c r="AB33" s="19"/>
      <c r="AC33" s="19"/>
      <c r="AD33" s="19"/>
    </row>
    <row r="34" ht="14.25">
      <c r="B34" s="122" t="s">
        <v>856</v>
      </c>
      <c r="C34" s="43" t="s">
        <v>867</v>
      </c>
      <c r="D34" s="19" t="s">
        <v>868</v>
      </c>
      <c r="E34" s="19"/>
      <c r="F34" s="123" t="s">
        <v>6</v>
      </c>
      <c r="G34" s="94" t="s">
        <v>854</v>
      </c>
      <c r="H34" s="129"/>
      <c r="I34" s="125">
        <v>3050.3759359999999</v>
      </c>
      <c r="J34" s="125">
        <v>887.81798400000002</v>
      </c>
      <c r="K34" s="126">
        <f t="shared" si="7"/>
        <v>3050.3759359999999</v>
      </c>
      <c r="L34" s="125">
        <v>427.55500799999999</v>
      </c>
      <c r="N34" s="127">
        <v>138.47999999999999</v>
      </c>
      <c r="O34" s="125">
        <v>76.645381999999998</v>
      </c>
      <c r="P34" s="125">
        <v>11125.076992</v>
      </c>
      <c r="Q34" s="125">
        <v>1846.0930559999999</v>
      </c>
      <c r="R34" s="125">
        <v>223.012</v>
      </c>
      <c r="S34" s="123">
        <f t="shared" si="8"/>
        <v>12748.158047999999</v>
      </c>
      <c r="U34" s="128">
        <f t="shared" si="9"/>
        <v>4.1792088304751172</v>
      </c>
      <c r="V34" s="128">
        <f t="shared" si="10"/>
        <v>14.358977040050586</v>
      </c>
      <c r="W34" s="128">
        <f t="shared" si="11"/>
        <v>3.6471166916522648</v>
      </c>
      <c r="X34" s="128">
        <f t="shared" si="13"/>
        <v>26.020223793051677</v>
      </c>
      <c r="Y34" s="19"/>
    </row>
    <row r="35" ht="14.25">
      <c r="B35" s="122"/>
      <c r="C35" s="43" t="s">
        <v>869</v>
      </c>
      <c r="D35" s="19" t="s">
        <v>870</v>
      </c>
      <c r="E35" s="19"/>
      <c r="F35" s="123" t="s">
        <v>6</v>
      </c>
      <c r="G35" s="94" t="s">
        <v>854</v>
      </c>
      <c r="H35" s="124"/>
      <c r="I35" s="125">
        <v>2557.7999359999999</v>
      </c>
      <c r="J35" s="125">
        <v>558.49996799999997</v>
      </c>
      <c r="K35" s="126">
        <f t="shared" si="7"/>
        <v>2557.7999359999999</v>
      </c>
      <c r="L35" s="125">
        <v>366.39999999999998</v>
      </c>
      <c r="N35" s="127">
        <v>345.79000000000002</v>
      </c>
      <c r="O35" s="125">
        <v>27.474599999999999</v>
      </c>
      <c r="P35" s="125">
        <v>11704.174591999999</v>
      </c>
      <c r="Q35" s="125">
        <v>305</v>
      </c>
      <c r="R35" s="125">
        <v>374.69999999999999</v>
      </c>
      <c r="S35" s="123">
        <f t="shared" si="8"/>
        <v>11634.474591999999</v>
      </c>
      <c r="U35" s="128">
        <f t="shared" si="9"/>
        <v>4.54862572644931</v>
      </c>
      <c r="V35" s="128">
        <f t="shared" si="10"/>
        <v>20.831647732520548</v>
      </c>
      <c r="W35" s="128">
        <f t="shared" si="11"/>
        <v>4.5758757075830969</v>
      </c>
      <c r="X35" s="128">
        <f t="shared" si="13"/>
        <v>31.943707947598252</v>
      </c>
      <c r="Y35" s="19"/>
    </row>
    <row r="36" ht="14.25">
      <c r="B36" s="19"/>
      <c r="D36" s="19"/>
      <c r="I36" s="120"/>
      <c r="J36" s="120"/>
      <c r="K36" s="121"/>
      <c r="L36" s="120"/>
      <c r="N36" s="120"/>
      <c r="O36" s="120"/>
      <c r="P36" s="120"/>
      <c r="Q36" s="120"/>
      <c r="R36" s="120"/>
      <c r="S36" s="94"/>
      <c r="U36" s="19"/>
      <c r="V36" s="19"/>
      <c r="W36" s="19"/>
    </row>
    <row r="37" ht="14.25">
      <c r="B37" s="62" t="s">
        <v>57</v>
      </c>
      <c r="C37" s="131"/>
      <c r="D37" s="132"/>
      <c r="E37" s="131"/>
      <c r="F37" s="131"/>
      <c r="G37" s="131"/>
      <c r="H37" s="133"/>
      <c r="I37" s="133">
        <f>AVERAGE(_xlfn._xlws.FILTER(I$28:I$35,$B$28:$B$35="X"))</f>
        <v>2806.8632320000002</v>
      </c>
      <c r="J37" s="133">
        <f>AVERAGE(_xlfn._xlws.FILTER(J$28:J$35,$B$28:$B$35="X"))</f>
        <v>585.774992</v>
      </c>
      <c r="K37" s="133">
        <f>AVERAGE(_xlfn._xlws.FILTER(K$28:K$35,$B$28:$B$35="X"))</f>
        <v>2806.8632320000002</v>
      </c>
      <c r="L37" s="133">
        <f>AVERAGE(_xlfn._xlws.FILTER(L$28:L$35,$B$28:$B$35="X"))</f>
        <v>243.13475199999999</v>
      </c>
      <c r="M37" s="133"/>
      <c r="N37" s="134"/>
      <c r="O37" s="133">
        <f>AVERAGE(_xlfn._xlws.FILTER(O$28:O$35,$B$28:$B$35="X"))</f>
        <v>92.425601999999998</v>
      </c>
      <c r="P37" s="133">
        <f>AVERAGE(_xlfn._xlws.FILTER(P$28:P$35,$B$28:$B$35="X"))</f>
        <v>6789.907072</v>
      </c>
      <c r="Q37" s="133">
        <f>AVERAGE(_xlfn._xlws.FILTER(Q$28:Q$35,$B$28:$B$35="X"))</f>
        <v>1405.5477599999999</v>
      </c>
      <c r="R37" s="133">
        <f>AVERAGE(_xlfn._xlws.FILTER(R$28:R$35,$B$28:$B$35="X"))</f>
        <v>153.65100000000001</v>
      </c>
      <c r="S37" s="133">
        <f>AVERAGE(_xlfn._xlws.FILTER(S$28:S$35,$B$28:$B$35="X"))</f>
        <v>8041.8038319999996</v>
      </c>
      <c r="T37" s="133"/>
      <c r="U37" s="132">
        <f>AVERAGE(_xlfn._xlws.FILTER(U$28:U$35,$B$28:$B$35="X"))</f>
        <v>3.1540848546347466</v>
      </c>
      <c r="V37" s="132">
        <f>AVERAGE(_xlfn._xlws.FILTER(V$28:V$35,$B$28:$B$35="X"))</f>
        <v>14.473725732914669</v>
      </c>
      <c r="W37" s="132">
        <f>AVERAGE(_xlfn._xlws.FILTER(W$28:W$35,$B$28:$B$35="X"))</f>
        <v>2.7544963828016726</v>
      </c>
      <c r="X37" s="135">
        <f>AVERAGE(_xlfn._xlws.FILTER(X$28:X$35,$B$28:$B$35="X"))</f>
        <v>26.529060775445714</v>
      </c>
      <c r="Y37" s="19"/>
    </row>
    <row r="38" ht="14.25">
      <c r="B38" s="66" t="s">
        <v>75</v>
      </c>
      <c r="C38" s="19"/>
      <c r="D38" s="19"/>
      <c r="E38" s="19"/>
      <c r="F38" s="19"/>
      <c r="G38" s="19"/>
      <c r="H38" s="98"/>
      <c r="I38" s="98">
        <f>QUARTILE(_xlfn._xlws.FILTER(I$28:I$35,$B$28:$B$35="X"),3)</f>
        <v>3398.1319039999998</v>
      </c>
      <c r="J38" s="98">
        <f>QUARTILE(_xlfn._xlws.FILTER(J$28:J$35,$B$28:$B$35="X"),3)</f>
        <v>830.42947200000003</v>
      </c>
      <c r="K38" s="98">
        <f>QUARTILE(_xlfn._xlws.FILTER(K$28:K$35,$B$28:$B$35="X"),3)</f>
        <v>3398.1319039999998</v>
      </c>
      <c r="L38" s="98">
        <f>QUARTILE(_xlfn._xlws.FILTER(L$28:L$35,$B$28:$B$35="X"),3)</f>
        <v>310.588752</v>
      </c>
      <c r="M38" s="98"/>
      <c r="N38" s="77"/>
      <c r="O38" s="98">
        <f>QUARTILE(_xlfn._xlws.FILTER(O$28:O$35,$B$28:$B$35="X"),3)</f>
        <v>107.747401</v>
      </c>
      <c r="P38" s="98">
        <f>QUARTILE(_xlfn._xlws.FILTER(P$28:P$35,$B$28:$B$35="X"),3)</f>
        <v>7448.9221120000002</v>
      </c>
      <c r="Q38" s="98">
        <f>QUARTILE(_xlfn._xlws.FILTER(Q$28:Q$35,$B$28:$B$35="X"),3)</f>
        <v>2125.2947840000002</v>
      </c>
      <c r="R38" s="98">
        <f>QUARTILE(_xlfn._xlws.FILTER(R$28:R$35,$B$28:$B$35="X"),3)</f>
        <v>223.03399999999999</v>
      </c>
      <c r="S38" s="98">
        <f>QUARTILE(_xlfn._xlws.FILTER(S$28:S$35,$B$28:$B$35="X"),3)</f>
        <v>9909.5423520000004</v>
      </c>
      <c r="T38" s="98"/>
      <c r="U38" s="128">
        <f>QUARTILE(_xlfn._xlws.FILTER(U$28:U$35,$B$28:$B$35="X"),3)</f>
        <v>4.2146022108732959</v>
      </c>
      <c r="V38" s="128">
        <f>QUARTILE(_xlfn._xlws.FILTER(V$28:V$35,$B$28:$B$35="X"),3)</f>
        <v>15.9268094846836</v>
      </c>
      <c r="W38" s="128">
        <f>QUARTILE(_xlfn._xlws.FILTER(W$28:W$35,$B$28:$B$35="X"),3)</f>
        <v>3.7241018408998574</v>
      </c>
      <c r="X38" s="136">
        <f>QUARTILE(_xlfn._xlws.FILTER(X$28:X$35,$B$28:$B$35="X"),3)</f>
        <v>27.726246869179</v>
      </c>
      <c r="Y38" s="19"/>
    </row>
    <row r="39" ht="14.25">
      <c r="B39" s="66" t="s">
        <v>76</v>
      </c>
      <c r="C39" s="19"/>
      <c r="D39" s="19"/>
      <c r="E39" s="19"/>
      <c r="F39" s="19"/>
      <c r="G39" s="19"/>
      <c r="H39" s="98"/>
      <c r="I39" s="98">
        <f>MEDIAN(_xlfn._xlws.FILTER(I$28:I$35,$B$28:$B$35="X"))</f>
        <v>2804.188032</v>
      </c>
      <c r="J39" s="98">
        <f>MEDIAN(_xlfn._xlws.FILTER(J$28:J$35,$B$28:$B$35="X"))</f>
        <v>568.64099199999998</v>
      </c>
      <c r="K39" s="98">
        <f>MEDIAN(_xlfn._xlws.FILTER(K$28:K$35,$B$28:$B$35="X"))</f>
        <v>2804.188032</v>
      </c>
      <c r="L39" s="98">
        <f>MEDIAN(_xlfn._xlws.FILTER(L$28:L$35,$B$28:$B$35="X"))</f>
        <v>231.49200000000002</v>
      </c>
      <c r="M39" s="98"/>
      <c r="N39" s="77"/>
      <c r="O39" s="98">
        <f>MEDIAN(_xlfn._xlws.FILTER(O$28:O$35,$B$28:$B$35="X"))</f>
        <v>90.272055499999993</v>
      </c>
      <c r="P39" s="98">
        <f>MEDIAN(_xlfn._xlws.FILTER(P$28:P$35,$B$28:$B$35="X"))</f>
        <v>5688.3855359999998</v>
      </c>
      <c r="Q39" s="98">
        <f>MEDIAN(_xlfn._xlws.FILTER(Q$28:Q$35,$B$28:$B$35="X"))</f>
        <v>1140.645536</v>
      </c>
      <c r="R39" s="98">
        <f>MEDIAN(_xlfn._xlws.FILTER(R$28:R$35,$B$28:$B$35="X"))</f>
        <v>193.506</v>
      </c>
      <c r="S39" s="98">
        <f>MEDIAN(_xlfn._xlws.FILTER(S$28:S$35,$B$28:$B$35="X"))</f>
        <v>7165.2855199999995</v>
      </c>
      <c r="T39" s="98"/>
      <c r="U39" s="128">
        <f>MEDIAN(_xlfn._xlws.FILTER(U$28:U$35,$B$28:$B$35="X"))</f>
        <v>3.1387118529679134</v>
      </c>
      <c r="V39" s="128">
        <f>MEDIAN(_xlfn._xlws.FILTER(V$28:V$35,$B$28:$B$35="X"))</f>
        <v>14.984345828472641</v>
      </c>
      <c r="W39" s="128">
        <f>MEDIAN(_xlfn._xlws.FILTER(W$28:W$35,$B$28:$B$35="X"))</f>
        <v>2.8308362313102724</v>
      </c>
      <c r="X39" s="136">
        <f>MEDIAN(_xlfn._xlws.FILTER(X$28:X$35,$B$28:$B$35="X"))</f>
        <v>25.178789069121251</v>
      </c>
      <c r="Y39" s="19"/>
    </row>
    <row r="40" ht="14.25">
      <c r="B40" s="70" t="s">
        <v>77</v>
      </c>
      <c r="C40" s="137"/>
      <c r="D40" s="137"/>
      <c r="E40" s="137"/>
      <c r="F40" s="137"/>
      <c r="G40" s="137"/>
      <c r="H40" s="138"/>
      <c r="I40" s="138">
        <f>QUARTILE(_xlfn._xlws.FILTER(I$28:I$35,$B$28:$B$35="X"),1)</f>
        <v>2212.9193599999999</v>
      </c>
      <c r="J40" s="138">
        <f>QUARTILE(_xlfn._xlws.FILTER(J$28:J$35,$B$28:$B$35="X"),1)</f>
        <v>323.986512</v>
      </c>
      <c r="K40" s="138">
        <f>QUARTILE(_xlfn._xlws.FILTER(K$28:K$35,$B$28:$B$35="X"),1)</f>
        <v>2212.9193599999999</v>
      </c>
      <c r="L40" s="138">
        <f>QUARTILE(_xlfn._xlws.FILTER(L$28:L$35,$B$28:$B$35="X"),1)</f>
        <v>164.03799999999998</v>
      </c>
      <c r="M40" s="138"/>
      <c r="N40" s="139"/>
      <c r="O40" s="138">
        <f>QUARTILE(_xlfn._xlws.FILTER(O$28:O$35,$B$28:$B$35="X"),1)</f>
        <v>74.950256499999995</v>
      </c>
      <c r="P40" s="138">
        <f>QUARTILE(_xlfn._xlws.FILTER(P$28:P$35,$B$28:$B$35="X"),1)</f>
        <v>5029.3704959999995</v>
      </c>
      <c r="Q40" s="138">
        <f>QUARTILE(_xlfn._xlws.FILTER(Q$28:Q$35,$B$28:$B$35="X"),1)</f>
        <v>420.89851199999998</v>
      </c>
      <c r="R40" s="138">
        <f>QUARTILE(_xlfn._xlws.FILTER(R$28:R$35,$B$28:$B$35="X"),1)</f>
        <v>124.123</v>
      </c>
      <c r="S40" s="138">
        <f>QUARTILE(_xlfn._xlws.FILTER(S$28:S$35,$B$28:$B$35="X"),1)</f>
        <v>5297.5469999999996</v>
      </c>
      <c r="T40" s="138"/>
      <c r="U40" s="140">
        <f>QUARTILE(_xlfn._xlws.FILTER(U$28:U$35,$B$28:$B$35="X"),1)</f>
        <v>2.0781944967293642</v>
      </c>
      <c r="V40" s="140">
        <f>QUARTILE(_xlfn._xlws.FILTER(V$28:V$35,$B$28:$B$35="X"),1)</f>
        <v>13.531262076703708</v>
      </c>
      <c r="W40" s="140">
        <f>QUARTILE(_xlfn._xlws.FILTER(W$28:W$35,$B$28:$B$35="X"),1)</f>
        <v>1.8612307732120876</v>
      </c>
      <c r="X40" s="141">
        <f>QUARTILE(_xlfn._xlws.FILTER(X$28:X$35,$B$28:$B$35="X"),1)</f>
        <v>23.981602975387961</v>
      </c>
      <c r="Y40" s="19"/>
    </row>
    <row r="41" ht="14.25">
      <c r="D41" s="19"/>
      <c r="E41" s="19"/>
      <c r="F41" s="19"/>
      <c r="G41" s="19"/>
      <c r="H41" s="19"/>
      <c r="J41" s="19"/>
      <c r="K41" s="19"/>
      <c r="L41" s="19"/>
      <c r="M41" s="19"/>
      <c r="N41" s="19"/>
      <c r="O41" s="19"/>
      <c r="P41" s="19"/>
      <c r="Q41" s="19"/>
      <c r="R41" s="19"/>
      <c r="U41" s="19"/>
    </row>
    <row r="42" ht="14.25">
      <c r="A42" s="25" t="s">
        <v>10</v>
      </c>
      <c r="B42" s="21" t="s">
        <v>871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19"/>
    </row>
    <row r="43" ht="14.25">
      <c r="E43" s="19"/>
      <c r="F43" s="19"/>
      <c r="G43" s="19"/>
      <c r="H43" s="19"/>
      <c r="J43" s="19"/>
      <c r="K43" s="19"/>
      <c r="L43" s="19"/>
      <c r="M43" s="19"/>
      <c r="O43" s="19"/>
      <c r="P43" s="19"/>
      <c r="Q43" s="19"/>
      <c r="R43" s="19"/>
      <c r="V43" s="19"/>
      <c r="W43" s="19"/>
      <c r="X43" s="19"/>
      <c r="Y43" s="19"/>
    </row>
    <row r="44" ht="14.25">
      <c r="D44" s="54"/>
      <c r="E44" s="55" t="s">
        <v>838</v>
      </c>
      <c r="F44" s="55"/>
      <c r="G44" s="100"/>
      <c r="I44" s="54"/>
      <c r="J44" s="55" t="s">
        <v>872</v>
      </c>
      <c r="K44" s="55"/>
      <c r="L44" s="100"/>
      <c r="N44" s="54"/>
      <c r="O44" s="55" t="s">
        <v>873</v>
      </c>
      <c r="P44" s="55"/>
      <c r="V44" s="19"/>
      <c r="W44" s="19"/>
      <c r="X44" s="19"/>
      <c r="Y44" s="19"/>
    </row>
    <row r="45" ht="14.25">
      <c r="B45" s="103" t="s">
        <v>70</v>
      </c>
      <c r="C45" s="103"/>
      <c r="D45" s="106" t="s">
        <v>852</v>
      </c>
      <c r="E45" s="106" t="s">
        <v>853</v>
      </c>
      <c r="F45" s="106" t="s">
        <v>54</v>
      </c>
      <c r="G45" s="106" t="s">
        <v>55</v>
      </c>
      <c r="H45" s="108"/>
      <c r="I45" s="106" t="s">
        <v>52</v>
      </c>
      <c r="J45" s="106" t="s">
        <v>853</v>
      </c>
      <c r="K45" s="106" t="s">
        <v>54</v>
      </c>
      <c r="L45" s="106" t="s">
        <v>55</v>
      </c>
      <c r="M45" s="108"/>
      <c r="N45" s="106" t="s">
        <v>852</v>
      </c>
      <c r="O45" s="106" t="s">
        <v>853</v>
      </c>
      <c r="P45" s="106" t="s">
        <v>54</v>
      </c>
      <c r="Q45" s="106" t="s">
        <v>55</v>
      </c>
      <c r="V45" s="19"/>
      <c r="W45" s="19"/>
      <c r="X45" s="19"/>
      <c r="Y45" s="19"/>
    </row>
    <row r="46" ht="14.25">
      <c r="B46" s="19" t="s">
        <v>57</v>
      </c>
      <c r="C46" s="19"/>
      <c r="D46" s="142">
        <f t="shared" ref="D46:D49" si="14">U37</f>
        <v>3.1540848546347466</v>
      </c>
      <c r="E46" s="142">
        <f t="shared" ref="E46:E49" si="15">V37</f>
        <v>14.473725732914669</v>
      </c>
      <c r="F46" s="142">
        <f t="shared" ref="F46:F49" si="16">W37</f>
        <v>2.7544963828016726</v>
      </c>
      <c r="G46" s="142">
        <f t="shared" ref="G46:G49" si="17">X37</f>
        <v>26.529060775445714</v>
      </c>
      <c r="I46" s="98">
        <f t="shared" ref="I46:I49" si="18">I$26*D46-($Q$26-$R$26)</f>
        <v>7498.1377348048263</v>
      </c>
      <c r="J46" s="98">
        <f t="shared" ref="J46:J49" si="19">J$26*E46-($Q$26-$R$26)</f>
        <v>8244.8943355224565</v>
      </c>
      <c r="K46" s="98">
        <f t="shared" ref="K46:K49" si="20">K$26*F46</f>
        <v>6671.109236442664</v>
      </c>
      <c r="L46" s="98">
        <f t="shared" ref="L46:L49" si="21">L$26*G46</f>
        <v>10052.285592788789</v>
      </c>
      <c r="N46" s="61">
        <f t="shared" ref="N46:N49" si="22">I46/$O$26</f>
        <v>182.2664810685614</v>
      </c>
      <c r="O46" s="61">
        <f t="shared" ref="O46:O49" si="23">J46/$O$26</f>
        <v>200.41881470678391</v>
      </c>
      <c r="P46" s="61">
        <f t="shared" ref="P46:P49" si="24">K46/$O$26</f>
        <v>162.16287941822287</v>
      </c>
      <c r="Q46" s="61">
        <f t="shared" ref="Q46:Q49" si="25">L46/$O$26</f>
        <v>244.35330297936991</v>
      </c>
      <c r="V46" s="19"/>
      <c r="W46" s="19"/>
      <c r="X46" s="19"/>
      <c r="Y46" s="19"/>
    </row>
    <row r="47" ht="14.25">
      <c r="B47" s="19" t="s">
        <v>75</v>
      </c>
      <c r="C47" s="19"/>
      <c r="D47" s="142">
        <f t="shared" si="14"/>
        <v>4.2146022108732959</v>
      </c>
      <c r="E47" s="142">
        <f t="shared" si="15"/>
        <v>15.9268094846836</v>
      </c>
      <c r="F47" s="142">
        <f t="shared" si="16"/>
        <v>3.7241018408998574</v>
      </c>
      <c r="G47" s="142">
        <f t="shared" si="17"/>
        <v>27.726246869179</v>
      </c>
      <c r="H47" s="19"/>
      <c r="I47" s="98">
        <f t="shared" si="18"/>
        <v>10066.602581875979</v>
      </c>
      <c r="J47" s="98">
        <f t="shared" si="19"/>
        <v>9086.7660505750791</v>
      </c>
      <c r="K47" s="98">
        <f t="shared" si="20"/>
        <v>9019.3947406860534</v>
      </c>
      <c r="L47" s="98">
        <f t="shared" si="21"/>
        <v>10505.918558681829</v>
      </c>
      <c r="M47" s="19"/>
      <c r="N47" s="61">
        <f t="shared" si="22"/>
        <v>244.70132368967327</v>
      </c>
      <c r="O47" s="61">
        <f t="shared" si="23"/>
        <v>220.88322873075359</v>
      </c>
      <c r="P47" s="61">
        <f t="shared" si="24"/>
        <v>219.24555121498148</v>
      </c>
      <c r="Q47" s="61">
        <f t="shared" si="25"/>
        <v>255.38031892844029</v>
      </c>
      <c r="R47" s="19"/>
      <c r="U47" s="19"/>
      <c r="V47" s="19"/>
      <c r="W47" s="19"/>
      <c r="X47" s="19"/>
      <c r="Y47" s="19"/>
    </row>
    <row r="48" ht="14.25">
      <c r="B48" s="50" t="s">
        <v>76</v>
      </c>
      <c r="C48" s="143"/>
      <c r="D48" s="144">
        <f t="shared" si="14"/>
        <v>3.1387118529679134</v>
      </c>
      <c r="E48" s="144">
        <f t="shared" si="15"/>
        <v>14.984345828472641</v>
      </c>
      <c r="F48" s="144">
        <f t="shared" si="16"/>
        <v>2.8308362313102724</v>
      </c>
      <c r="G48" s="144">
        <f t="shared" si="17"/>
        <v>25.178789069121251</v>
      </c>
      <c r="H48" s="145"/>
      <c r="I48" s="146">
        <f t="shared" si="18"/>
        <v>7460.905893059894</v>
      </c>
      <c r="J48" s="146">
        <f t="shared" si="19"/>
        <v>8540.731801920665</v>
      </c>
      <c r="K48" s="146">
        <f t="shared" si="20"/>
        <v>6855.996561644507</v>
      </c>
      <c r="L48" s="146">
        <f t="shared" si="21"/>
        <v>9540.6460389151471</v>
      </c>
      <c r="M48" s="146"/>
      <c r="N48" s="147">
        <f t="shared" si="22"/>
        <v>181.36144077474941</v>
      </c>
      <c r="O48" s="147">
        <f t="shared" si="23"/>
        <v>207.61010084685424</v>
      </c>
      <c r="P48" s="147">
        <f t="shared" si="24"/>
        <v>166.65716364593129</v>
      </c>
      <c r="Q48" s="88">
        <f t="shared" si="25"/>
        <v>231.91624935908661</v>
      </c>
      <c r="R48" s="19"/>
      <c r="V48" s="19"/>
      <c r="W48" s="19"/>
      <c r="X48" s="19"/>
      <c r="Y48" s="19"/>
    </row>
    <row r="49" ht="14.25">
      <c r="B49" s="19" t="s">
        <v>77</v>
      </c>
      <c r="C49" s="19"/>
      <c r="D49" s="142">
        <f t="shared" si="14"/>
        <v>2.0781944967293642</v>
      </c>
      <c r="E49" s="142">
        <f t="shared" si="15"/>
        <v>13.531262076703708</v>
      </c>
      <c r="F49" s="142">
        <f t="shared" si="16"/>
        <v>1.8612307732120876</v>
      </c>
      <c r="G49" s="142">
        <f t="shared" si="17"/>
        <v>23.981602975387961</v>
      </c>
      <c r="H49" s="19"/>
      <c r="I49" s="98">
        <f t="shared" si="18"/>
        <v>4892.4410459887422</v>
      </c>
      <c r="J49" s="98">
        <f t="shared" si="19"/>
        <v>7698.8600868680396</v>
      </c>
      <c r="K49" s="98">
        <f t="shared" si="20"/>
        <v>4507.7110574011167</v>
      </c>
      <c r="L49" s="98">
        <f t="shared" si="21"/>
        <v>9087.0130730221044</v>
      </c>
      <c r="M49" s="19"/>
      <c r="N49" s="61">
        <f t="shared" si="22"/>
        <v>118.92659815363756</v>
      </c>
      <c r="O49" s="61">
        <f t="shared" si="23"/>
        <v>187.14568682288447</v>
      </c>
      <c r="P49" s="61">
        <f t="shared" si="24"/>
        <v>109.57449184917267</v>
      </c>
      <c r="Q49" s="61">
        <f t="shared" si="25"/>
        <v>220.88923341001617</v>
      </c>
      <c r="R49" s="19"/>
      <c r="V49" s="19"/>
      <c r="W49" s="19"/>
      <c r="X49" s="19"/>
      <c r="Y49" s="19"/>
    </row>
    <row r="50" ht="14.25"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</row>
    <row r="51" ht="14.25">
      <c r="A51" s="25" t="s">
        <v>10</v>
      </c>
      <c r="B51" s="21" t="s">
        <v>35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9"/>
    </row>
    <row r="52" ht="14.25">
      <c r="Y52" s="19"/>
    </row>
    <row r="53" ht="14.25">
      <c r="H53" s="19"/>
      <c r="J53" s="19"/>
      <c r="K53" s="19"/>
      <c r="L53" s="19"/>
      <c r="M53" s="19"/>
      <c r="N53" s="148"/>
      <c r="O53" s="148"/>
      <c r="P53" s="148"/>
      <c r="Q53" s="148"/>
      <c r="R53" s="19"/>
      <c r="S53" s="19"/>
      <c r="T53" s="19"/>
      <c r="V53" s="19"/>
      <c r="W53" s="19"/>
      <c r="X53" s="19"/>
      <c r="Y53" s="19"/>
    </row>
    <row r="54" ht="14.25">
      <c r="H54" s="19"/>
      <c r="J54" s="19"/>
      <c r="K54" s="19"/>
      <c r="L54" s="19"/>
      <c r="M54" s="19"/>
      <c r="O54" s="19"/>
      <c r="P54" s="19"/>
      <c r="Q54" s="19"/>
      <c r="R54" s="19"/>
      <c r="S54" s="19"/>
      <c r="T54" s="19"/>
      <c r="V54" s="19"/>
      <c r="W54" s="19"/>
      <c r="X54" s="19"/>
      <c r="Y54" s="19"/>
    </row>
    <row r="55" ht="14.25">
      <c r="I55" s="98"/>
      <c r="J55" s="98"/>
      <c r="K55" s="98"/>
      <c r="L55" s="98"/>
      <c r="N55" s="98"/>
      <c r="O55" s="98"/>
      <c r="P55" s="98"/>
      <c r="Q55" s="98"/>
    </row>
    <row r="56" ht="14.25">
      <c r="N56" s="148"/>
      <c r="O56" s="148"/>
      <c r="P56" s="148"/>
      <c r="Q56" s="148"/>
    </row>
    <row r="57" ht="14.25">
      <c r="I57" s="78"/>
      <c r="J57" s="78"/>
      <c r="K57" s="78"/>
      <c r="L57" s="78"/>
    </row>
    <row r="61" ht="14.25">
      <c r="E61" s="19"/>
      <c r="F61" s="19"/>
      <c r="G61" s="19"/>
      <c r="H61" s="19"/>
      <c r="J61" s="19"/>
      <c r="K61" s="19"/>
      <c r="L61" s="19"/>
      <c r="M61" s="19"/>
      <c r="O61" s="19"/>
      <c r="P61" s="19"/>
      <c r="Q61" s="19"/>
      <c r="R61" s="19"/>
    </row>
    <row r="62" ht="14.25">
      <c r="E62" s="19"/>
      <c r="F62" s="19"/>
      <c r="G62" s="19"/>
      <c r="H62" s="19"/>
      <c r="J62" s="19"/>
      <c r="K62" s="19"/>
      <c r="L62" s="19"/>
      <c r="M62" s="19"/>
      <c r="O62" s="19"/>
      <c r="P62" s="19"/>
      <c r="Q62" s="19"/>
      <c r="R62" s="19"/>
    </row>
    <row r="63" ht="14.25">
      <c r="E63" s="19"/>
      <c r="F63" s="19"/>
      <c r="G63" s="19"/>
      <c r="H63" s="19"/>
      <c r="J63" s="19"/>
      <c r="K63" s="19"/>
      <c r="L63" s="19"/>
      <c r="M63" s="19"/>
      <c r="O63" s="19"/>
      <c r="P63" s="19"/>
      <c r="Q63" s="19"/>
      <c r="R63" s="19"/>
    </row>
    <row r="64" ht="14.25">
      <c r="E64" s="19"/>
      <c r="F64" s="19"/>
      <c r="G64" s="19"/>
      <c r="H64" s="19"/>
      <c r="J64" s="19"/>
      <c r="K64" s="19"/>
      <c r="L64" s="19"/>
      <c r="M64" s="19"/>
      <c r="O64" s="19"/>
      <c r="P64" s="19"/>
      <c r="Q64" s="19"/>
      <c r="R64" s="19"/>
    </row>
  </sheetData>
  <mergeCells count="6">
    <mergeCell ref="J23:K23"/>
    <mergeCell ref="P23:Q23"/>
    <mergeCell ref="V23:W23"/>
    <mergeCell ref="E44:F44"/>
    <mergeCell ref="J44:K44"/>
    <mergeCell ref="O44:P44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75" zoomScale="100" workbookViewId="0">
      <selection activeCell="A1" activeCellId="0" sqref="A1"/>
    </sheetView>
  </sheetViews>
  <sheetFormatPr defaultRowHeight="14.25"/>
  <cols>
    <col customWidth="1" min="1" max="1" style="25" width="7.7109375"/>
    <col customWidth="1" min="2" max="8" style="19" width="14.7109375"/>
    <col customWidth="1" min="9" max="9" style="19" width="7.7109375"/>
    <col customWidth="1" min="10" max="16384" style="19" width="14.7109375"/>
  </cols>
  <sheetData>
    <row r="1" s="21" customFormat="1" ht="15">
      <c r="A1" s="22"/>
      <c r="I1" s="21"/>
    </row>
    <row r="2" s="21" customFormat="1" ht="16.5">
      <c r="A2" s="22"/>
      <c r="B2" s="23" t="s">
        <v>874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="21" customFormat="1" ht="15">
      <c r="A3" s="22"/>
      <c r="I3" s="21"/>
    </row>
    <row r="5" ht="14.25">
      <c r="A5" s="25" t="s">
        <v>10</v>
      </c>
      <c r="B5" s="21" t="s">
        <v>11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ht="14.25">
      <c r="A6" s="25"/>
      <c r="B6" s="19"/>
      <c r="C6" s="19"/>
      <c r="D6" s="19"/>
    </row>
    <row r="7" ht="14.25">
      <c r="A7" s="25"/>
      <c r="B7" s="26" t="s">
        <v>2</v>
      </c>
      <c r="C7" s="27" t="str">
        <f>Cover!D8</f>
        <v xml:space="preserve">Simpson Manufacturing</v>
      </c>
      <c r="D7" s="19"/>
    </row>
    <row r="8" ht="14.25">
      <c r="A8" s="25"/>
      <c r="B8" s="26" t="s">
        <v>3</v>
      </c>
      <c r="C8" s="27" t="str">
        <f>Cover!D9</f>
        <v>SSD</v>
      </c>
      <c r="D8" s="19"/>
    </row>
    <row r="9" ht="14.25">
      <c r="A9" s="25"/>
      <c r="B9" s="26" t="s">
        <v>5</v>
      </c>
      <c r="C9" s="19" t="str">
        <f>Cover!D10</f>
        <v>Industrials</v>
      </c>
      <c r="D9" s="19"/>
      <c r="F9" s="19"/>
      <c r="H9" s="19"/>
    </row>
    <row r="10" ht="14.25">
      <c r="A10" s="25"/>
      <c r="B10" s="26" t="s">
        <v>7</v>
      </c>
      <c r="C10" s="28">
        <f>Cover!D11</f>
        <v>46235</v>
      </c>
      <c r="D10" s="19"/>
      <c r="F10" s="29"/>
      <c r="G10" s="46"/>
      <c r="H10" s="29"/>
    </row>
    <row r="11" ht="14.25">
      <c r="B11" s="26" t="s">
        <v>8</v>
      </c>
      <c r="C11" s="27">
        <f>Cover!D12</f>
        <v>187.74000000000001</v>
      </c>
      <c r="E11" s="19"/>
      <c r="F11" s="30"/>
      <c r="G11" s="82"/>
      <c r="H11" s="53"/>
    </row>
    <row r="12" ht="14.25">
      <c r="B12" s="26"/>
      <c r="C12" s="27"/>
      <c r="F12" s="29"/>
      <c r="G12" s="83"/>
    </row>
    <row r="13" ht="14.25">
      <c r="A13" s="25" t="s">
        <v>10</v>
      </c>
      <c r="B13" s="21" t="s">
        <v>67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5" ht="14.25">
      <c r="B15" s="149" t="s">
        <v>46</v>
      </c>
      <c r="C15" s="56" t="s">
        <v>68</v>
      </c>
      <c r="D15" s="56" t="s">
        <v>48</v>
      </c>
      <c r="E15" s="56" t="s">
        <v>49</v>
      </c>
    </row>
    <row r="16" ht="14.25">
      <c r="B16" s="19" t="s">
        <v>56</v>
      </c>
      <c r="C16" s="84">
        <f>D16*0.95</f>
        <v>171.66344772508975</v>
      </c>
      <c r="D16" s="85">
        <f>D192</f>
        <v>180.69836602641027</v>
      </c>
      <c r="E16" s="84">
        <f>D16*1.05</f>
        <v>189.73328432773079</v>
      </c>
    </row>
    <row r="17" ht="14.25">
      <c r="B17" s="19"/>
    </row>
    <row r="18" ht="14.25">
      <c r="A18" s="25" t="s">
        <v>10</v>
      </c>
      <c r="B18" s="21" t="s">
        <v>875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ht="14.25">
      <c r="B19" s="19"/>
      <c r="C19" s="19"/>
      <c r="D19" s="19"/>
      <c r="E19" s="19"/>
      <c r="F19" s="19"/>
      <c r="G19" s="19"/>
      <c r="J19" s="19"/>
      <c r="K19" s="19"/>
      <c r="L19" s="19"/>
      <c r="M19" s="19"/>
      <c r="N19" s="19"/>
    </row>
    <row r="20" ht="14.25">
      <c r="B20" s="31" t="s">
        <v>876</v>
      </c>
      <c r="C20" s="56" t="s">
        <v>38</v>
      </c>
      <c r="D20" s="150" t="s">
        <v>877</v>
      </c>
      <c r="G20" s="19"/>
      <c r="H20" s="151"/>
    </row>
    <row r="21" ht="14.25">
      <c r="B21" s="27" t="s">
        <v>878</v>
      </c>
      <c r="C21" s="86" t="s">
        <v>41</v>
      </c>
      <c r="D21" s="152">
        <f>_xlfn.SWITCH(C21,"Base",WACC!D16,"Bear",WACC!C16,"Bull",WACC!E16)</f>
        <v>0.094396401340295005</v>
      </c>
      <c r="E21" s="19"/>
    </row>
    <row r="22" ht="14.25">
      <c r="B22" s="27" t="s">
        <v>879</v>
      </c>
      <c r="C22" s="60">
        <v>0.029999999999999999</v>
      </c>
      <c r="D22" s="153">
        <f>C22</f>
        <v>0.029999999999999999</v>
      </c>
      <c r="E22" s="19"/>
      <c r="F22" s="19"/>
      <c r="G22" s="19"/>
      <c r="H22" s="19"/>
      <c r="J22" s="19"/>
      <c r="K22" s="19"/>
      <c r="L22" s="19"/>
      <c r="M22" s="19"/>
      <c r="N22" s="19"/>
    </row>
    <row r="23" ht="14.25">
      <c r="B23" s="19"/>
      <c r="C23" s="19"/>
      <c r="D23" s="19"/>
      <c r="E23" s="19"/>
    </row>
    <row r="24" ht="14.25">
      <c r="A24" s="25" t="s">
        <v>10</v>
      </c>
      <c r="B24" s="21" t="s">
        <v>880</v>
      </c>
      <c r="C24" s="21"/>
      <c r="D24" s="21"/>
      <c r="E24" s="154"/>
      <c r="F24" s="21"/>
      <c r="G24" s="21"/>
      <c r="H24" s="21"/>
      <c r="I24" s="21"/>
      <c r="J24" s="21"/>
      <c r="K24" s="21"/>
      <c r="L24" s="21"/>
      <c r="M24" s="21"/>
      <c r="N24" s="21"/>
    </row>
    <row r="25" ht="14.25">
      <c r="A25" s="25"/>
      <c r="B25" s="19"/>
      <c r="D25" s="19"/>
      <c r="E25" s="155"/>
      <c r="F25" s="19"/>
      <c r="G25" s="19"/>
      <c r="H25" s="19"/>
      <c r="J25" s="19"/>
      <c r="K25" s="19"/>
      <c r="L25" s="19"/>
      <c r="M25" s="19"/>
      <c r="N25" s="19"/>
    </row>
    <row r="26" ht="14.25">
      <c r="B26" s="19"/>
      <c r="D26" s="54"/>
      <c r="E26" s="156"/>
      <c r="F26" s="157" t="s">
        <v>881</v>
      </c>
      <c r="G26" s="100"/>
      <c r="H26" s="100"/>
      <c r="J26" s="54"/>
      <c r="K26" s="54"/>
      <c r="L26" s="157" t="s">
        <v>882</v>
      </c>
      <c r="M26" s="100"/>
      <c r="N26" s="100"/>
    </row>
    <row r="27" ht="14.25">
      <c r="B27" s="149" t="s">
        <v>883</v>
      </c>
      <c r="C27" s="149"/>
      <c r="D27" s="158">
        <f>E27-1</f>
        <v>2021</v>
      </c>
      <c r="E27" s="159">
        <f>F27-1</f>
        <v>2022</v>
      </c>
      <c r="F27" s="158">
        <f>G27-1</f>
        <v>2023</v>
      </c>
      <c r="G27" s="158">
        <f>H27-1</f>
        <v>2024</v>
      </c>
      <c r="H27" s="158">
        <v>2025</v>
      </c>
      <c r="I27" s="149"/>
      <c r="J27" s="158">
        <f>H27+1</f>
        <v>2026</v>
      </c>
      <c r="K27" s="158">
        <f>J27+1</f>
        <v>2027</v>
      </c>
      <c r="L27" s="158">
        <f>K27+1</f>
        <v>2028</v>
      </c>
      <c r="M27" s="158">
        <f>L27+1</f>
        <v>2029</v>
      </c>
      <c r="N27" s="158">
        <f>M27+1</f>
        <v>2030</v>
      </c>
    </row>
    <row r="28" ht="14.25">
      <c r="B28" s="19"/>
      <c r="E28" s="19"/>
      <c r="F28" s="19"/>
      <c r="G28" s="19"/>
      <c r="H28" s="19"/>
      <c r="J28" s="19"/>
      <c r="K28" s="19"/>
      <c r="L28" s="19"/>
      <c r="M28" s="19"/>
      <c r="N28" s="19"/>
    </row>
    <row r="29" ht="14.25">
      <c r="B29" s="95" t="s">
        <v>844</v>
      </c>
      <c r="C29" s="95"/>
      <c r="D29" s="160">
        <f>D32+D42</f>
        <v>1571893</v>
      </c>
      <c r="E29" s="160">
        <f>E32+E42</f>
        <v>2113785</v>
      </c>
      <c r="F29" s="160">
        <f>F32+F42</f>
        <v>2211949</v>
      </c>
      <c r="G29" s="160">
        <f>G32+G42</f>
        <v>2230081</v>
      </c>
      <c r="H29" s="160">
        <f>H32+H42</f>
        <v>2328354</v>
      </c>
      <c r="I29" s="160"/>
      <c r="J29" s="160">
        <f>J32+J42</f>
        <v>2422348.9919999996</v>
      </c>
      <c r="K29" s="160">
        <f>K32+K42</f>
        <v>2518608.6458300003</v>
      </c>
      <c r="L29" s="160">
        <f>L32+L42</f>
        <v>2606436.0452422323</v>
      </c>
      <c r="M29" s="160">
        <f>M32+M42</f>
        <v>2689818.70309941</v>
      </c>
      <c r="N29" s="160">
        <f>N32+N42</f>
        <v>2761682.4374661278</v>
      </c>
      <c r="P29" s="78"/>
      <c r="Q29" s="78"/>
      <c r="R29" s="78"/>
      <c r="S29" s="78"/>
      <c r="T29" s="78"/>
      <c r="U29" s="78"/>
    </row>
    <row r="30" ht="14.25">
      <c r="B30" s="161" t="s">
        <v>18</v>
      </c>
      <c r="C30" s="162"/>
      <c r="D30" s="163"/>
      <c r="E30" s="163">
        <f>E29/D29-1</f>
        <v>0.34473847774625876</v>
      </c>
      <c r="F30" s="163">
        <f>F29/E29-1</f>
        <v>0.046439917020889121</v>
      </c>
      <c r="G30" s="163">
        <f>G29/F29-1</f>
        <v>0.008197295688101347</v>
      </c>
      <c r="H30" s="163">
        <f>H29/G29-1</f>
        <v>0.044067009225225551</v>
      </c>
      <c r="I30" s="163"/>
      <c r="J30" s="163">
        <f>J29/H29-1</f>
        <v>0.040369716976026648</v>
      </c>
      <c r="K30" s="163">
        <f>K29/J29-1</f>
        <v>0.039738144316903146</v>
      </c>
      <c r="L30" s="163">
        <f>L29/K29-1</f>
        <v>0.034871395981922682</v>
      </c>
      <c r="M30" s="163">
        <f>M29/L29-1</f>
        <v>0.03199106228191706</v>
      </c>
      <c r="N30" s="164">
        <f>N29/M29-1</f>
        <v>0.026716943518873881</v>
      </c>
    </row>
    <row r="31" ht="14.25">
      <c r="B31" s="165"/>
      <c r="C31" s="19"/>
      <c r="D31" s="76"/>
      <c r="E31" s="76"/>
      <c r="F31" s="166"/>
      <c r="G31" s="166"/>
      <c r="H31" s="166"/>
      <c r="I31" s="76"/>
      <c r="J31" s="76"/>
      <c r="K31" s="76"/>
      <c r="L31" s="76"/>
      <c r="M31" s="76"/>
      <c r="N31" s="167"/>
    </row>
    <row r="32" ht="14.25">
      <c r="B32" s="168" t="s">
        <v>884</v>
      </c>
      <c r="C32" s="26"/>
      <c r="D32" s="160">
        <f>D35+D37+D39</f>
        <v>1361113</v>
      </c>
      <c r="E32" s="160">
        <f>E35+E37+E39</f>
        <v>1831580</v>
      </c>
      <c r="F32" s="160">
        <f>F35+F37+F39</f>
        <v>1891449</v>
      </c>
      <c r="G32" s="160">
        <f>G35+G37+G39</f>
        <v>1899524</v>
      </c>
      <c r="H32" s="160">
        <f>H35+H37+H39</f>
        <v>1967741</v>
      </c>
      <c r="I32" s="169"/>
      <c r="J32" s="160">
        <f>J35+J37+J39</f>
        <v>2032297.3239999998</v>
      </c>
      <c r="K32" s="160">
        <f>K35+K37+K39</f>
        <v>2101734.888518</v>
      </c>
      <c r="L32" s="160">
        <f>L35+L37+L39</f>
        <v>2166792.055477656</v>
      </c>
      <c r="M32" s="160">
        <f>M35+M37+M39</f>
        <v>2228621.9026456135</v>
      </c>
      <c r="N32" s="170">
        <f>N35+N37+N39</f>
        <v>2279814.6677307091</v>
      </c>
    </row>
    <row r="33" ht="14.25">
      <c r="B33" s="171" t="s">
        <v>18</v>
      </c>
      <c r="C33" s="172"/>
      <c r="D33" s="173"/>
      <c r="E33" s="173">
        <f>E32/D32-1</f>
        <v>0.34564874481398689</v>
      </c>
      <c r="F33" s="173">
        <f>F32/E32-1</f>
        <v>0.032687078915471846</v>
      </c>
      <c r="G33" s="173">
        <f>G32/F32-1</f>
        <v>0.0042692137086435267</v>
      </c>
      <c r="H33" s="173">
        <f>H32/G32-1</f>
        <v>0.035912681282258108</v>
      </c>
      <c r="I33" s="173"/>
      <c r="J33" s="173">
        <f>J32/H32-1</f>
        <v>0.032807327793647589</v>
      </c>
      <c r="K33" s="173">
        <f>K32/J32-1</f>
        <v>0.034167030432993961</v>
      </c>
      <c r="L33" s="173">
        <f>L32/K32-1</f>
        <v>0.03095403103173</v>
      </c>
      <c r="M33" s="173">
        <f>M32/L32-1</f>
        <v>0.028535201156775214</v>
      </c>
      <c r="N33" s="174">
        <f>N32/M32-1</f>
        <v>0.022970592285898483</v>
      </c>
    </row>
    <row r="34" ht="14.25">
      <c r="B34" s="165"/>
      <c r="C34" s="19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167"/>
    </row>
    <row r="35" ht="14.25">
      <c r="B35" s="175" t="s">
        <v>885</v>
      </c>
      <c r="C35" s="172"/>
      <c r="D35" s="176">
        <v>1189264</v>
      </c>
      <c r="E35" s="176">
        <v>1496062</v>
      </c>
      <c r="F35" s="176">
        <v>1491848</v>
      </c>
      <c r="G35" s="176">
        <v>1499889</v>
      </c>
      <c r="H35" s="176">
        <v>1555515</v>
      </c>
      <c r="I35" s="173"/>
      <c r="J35" s="177">
        <f>H35*(1+J36)</f>
        <v>1605291.48</v>
      </c>
      <c r="K35" s="177">
        <f>J35*(1+K36)</f>
        <v>1658266.0988399999</v>
      </c>
      <c r="L35" s="177">
        <f>K35*(1+L36)</f>
        <v>1708014.0818051999</v>
      </c>
      <c r="M35" s="177">
        <f>L35*(1+M36)</f>
        <v>1755838.4760957456</v>
      </c>
      <c r="N35" s="178">
        <f>M35*(1+N36)</f>
        <v>1794466.9225698521</v>
      </c>
    </row>
    <row r="36" ht="14.25">
      <c r="B36" s="179" t="s">
        <v>18</v>
      </c>
      <c r="C36" s="19"/>
      <c r="D36" s="180"/>
      <c r="E36" s="180">
        <f>E35/D35-1</f>
        <v>0.25797299842591714</v>
      </c>
      <c r="F36" s="180">
        <f>F35/E35-1</f>
        <v>-0.0028167281837250258</v>
      </c>
      <c r="G36" s="180">
        <f>G35/F35-1</f>
        <v>0.0053899592988024825</v>
      </c>
      <c r="H36" s="180">
        <f>H35/G35-1</f>
        <v>0.037086744419086992</v>
      </c>
      <c r="I36" s="181"/>
      <c r="J36" s="182">
        <v>0.032000000000000001</v>
      </c>
      <c r="K36" s="182">
        <v>0.033000000000000002</v>
      </c>
      <c r="L36" s="182">
        <v>0.029999999999999999</v>
      </c>
      <c r="M36" s="182">
        <v>0.027999999999999997</v>
      </c>
      <c r="N36" s="182">
        <v>0.022000000000000002</v>
      </c>
    </row>
    <row r="37" ht="14.25">
      <c r="B37" s="175" t="s">
        <v>886</v>
      </c>
      <c r="C37" s="19"/>
      <c r="D37" s="176">
        <v>160657</v>
      </c>
      <c r="E37" s="176">
        <v>323065</v>
      </c>
      <c r="F37" s="176">
        <v>385134</v>
      </c>
      <c r="G37" s="176">
        <v>384494</v>
      </c>
      <c r="H37" s="176">
        <v>396229</v>
      </c>
      <c r="I37" s="173"/>
      <c r="J37" s="177">
        <f>H37*(1+J38)</f>
        <v>410097.01499999996</v>
      </c>
      <c r="K37" s="177">
        <f>J37*(1+K38)</f>
        <v>425680.70156999998</v>
      </c>
      <c r="L37" s="177">
        <f>K37*(1+L38)</f>
        <v>440153.84542337997</v>
      </c>
      <c r="M37" s="177">
        <f>L37*(1+M38)</f>
        <v>453358.46078608138</v>
      </c>
      <c r="N37" s="178">
        <f>M37*(1+N38)</f>
        <v>465145.78076651949</v>
      </c>
    </row>
    <row r="38" ht="14.25">
      <c r="B38" s="179" t="s">
        <v>18</v>
      </c>
      <c r="C38" s="19"/>
      <c r="D38" s="180"/>
      <c r="E38" s="180">
        <f>E37/D37-1</f>
        <v>1.0108989959976844</v>
      </c>
      <c r="F38" s="180">
        <f>F37/E37-1</f>
        <v>0.19212542367634988</v>
      </c>
      <c r="G38" s="180">
        <f>G37/F37-1</f>
        <v>-0.0016617592837817607</v>
      </c>
      <c r="H38" s="180">
        <f>H37/G37-1</f>
        <v>0.030520632311557438</v>
      </c>
      <c r="I38" s="181"/>
      <c r="J38" s="182">
        <v>0.035000000000000003</v>
      </c>
      <c r="K38" s="182">
        <v>0.037999999999999999</v>
      </c>
      <c r="L38" s="182">
        <v>0.034000000000000002</v>
      </c>
      <c r="M38" s="182">
        <v>0.029999999999999999</v>
      </c>
      <c r="N38" s="182">
        <v>0.026000000000000002</v>
      </c>
    </row>
    <row r="39" ht="14.25">
      <c r="B39" s="175" t="s">
        <v>887</v>
      </c>
      <c r="C39" s="19"/>
      <c r="D39" s="176">
        <v>11192</v>
      </c>
      <c r="E39" s="176">
        <v>12453</v>
      </c>
      <c r="F39" s="176">
        <v>14467</v>
      </c>
      <c r="G39" s="176">
        <v>15141</v>
      </c>
      <c r="H39" s="176">
        <v>15997</v>
      </c>
      <c r="I39" s="173"/>
      <c r="J39" s="177">
        <f>H39*(1+J40)</f>
        <v>16908.828999999998</v>
      </c>
      <c r="K39" s="177">
        <f>J39*(1+K40)</f>
        <v>17788.088108</v>
      </c>
      <c r="L39" s="177">
        <f>K39*(1+L40)</f>
        <v>18624.128249075999</v>
      </c>
      <c r="M39" s="177">
        <f>L39*(1+M40)</f>
        <v>19424.965763786266</v>
      </c>
      <c r="N39" s="178">
        <f>M39*(1+N40)</f>
        <v>20201.964394337716</v>
      </c>
    </row>
    <row r="40" ht="14.25">
      <c r="B40" s="179" t="s">
        <v>18</v>
      </c>
      <c r="C40" s="37"/>
      <c r="D40" s="180"/>
      <c r="E40" s="180">
        <f>E39/D39-1</f>
        <v>0.11266976411722651</v>
      </c>
      <c r="F40" s="180">
        <f>F39/E39-1</f>
        <v>0.16172809764715335</v>
      </c>
      <c r="G40" s="180">
        <f>G39/F39-1</f>
        <v>0.046588788276767712</v>
      </c>
      <c r="H40" s="180">
        <f>H39/G39-1</f>
        <v>0.056535235453404553</v>
      </c>
      <c r="I40" s="181"/>
      <c r="J40" s="182">
        <v>0.057000000000000002</v>
      </c>
      <c r="K40" s="182">
        <v>0.052000000000000005</v>
      </c>
      <c r="L40" s="182">
        <v>0.047</v>
      </c>
      <c r="M40" s="182">
        <v>0.042999999999999997</v>
      </c>
      <c r="N40" s="182">
        <v>0.040000000000000001</v>
      </c>
    </row>
    <row r="41" ht="14.25">
      <c r="B41" s="165"/>
      <c r="C41" s="19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167"/>
    </row>
    <row r="42" ht="14.25">
      <c r="B42" s="168" t="s">
        <v>888</v>
      </c>
      <c r="C42" s="26"/>
      <c r="D42" s="160">
        <f>D45+D47+D49</f>
        <v>210780</v>
      </c>
      <c r="E42" s="160">
        <f>E45+E47+E49</f>
        <v>282205</v>
      </c>
      <c r="F42" s="160">
        <f>F45+F47+F49</f>
        <v>320500</v>
      </c>
      <c r="G42" s="160">
        <f>G45+G47+G49</f>
        <v>330557</v>
      </c>
      <c r="H42" s="160">
        <f>H45+H47+H49</f>
        <v>360613</v>
      </c>
      <c r="I42" s="160"/>
      <c r="J42" s="160">
        <f>J45+J47+J49</f>
        <v>390051.66800000001</v>
      </c>
      <c r="K42" s="160">
        <f>K45+K47+K49</f>
        <v>416873.75731200009</v>
      </c>
      <c r="L42" s="160">
        <f>L45+L47+L49</f>
        <v>439643.98976457608</v>
      </c>
      <c r="M42" s="160">
        <f>M45+M47+M49</f>
        <v>461196.80045379634</v>
      </c>
      <c r="N42" s="170">
        <f>N45+N47+N49</f>
        <v>481867.7697354189</v>
      </c>
    </row>
    <row r="43" ht="14.25">
      <c r="B43" s="171" t="s">
        <v>18</v>
      </c>
      <c r="C43" s="172"/>
      <c r="D43" s="173"/>
      <c r="E43" s="173">
        <f>E42/D42-1</f>
        <v>0.33886042319005605</v>
      </c>
      <c r="F43" s="173">
        <f>F42/E42-1</f>
        <v>0.13569922574015347</v>
      </c>
      <c r="G43" s="173">
        <f>G42/F42-1</f>
        <v>0.031379095163806658</v>
      </c>
      <c r="H43" s="173">
        <f>H42/G42-1</f>
        <v>0.090925316965001501</v>
      </c>
      <c r="I43" s="173"/>
      <c r="J43" s="173">
        <f>J42/H42-1</f>
        <v>0.081635071392323733</v>
      </c>
      <c r="K43" s="173">
        <f>K42/J42-1</f>
        <v>0.068765477787932738</v>
      </c>
      <c r="L43" s="173">
        <f>L42/K42-1</f>
        <v>0.05462141008682897</v>
      </c>
      <c r="M43" s="173">
        <f>M42/L42-1</f>
        <v>0.049023326125216649</v>
      </c>
      <c r="N43" s="174">
        <f>N42/M42-1</f>
        <v>0.044820279024666343</v>
      </c>
    </row>
    <row r="44" ht="14.25">
      <c r="B44" s="183"/>
      <c r="C44" s="19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167"/>
    </row>
    <row r="45" ht="14.25">
      <c r="B45" s="175" t="s">
        <v>885</v>
      </c>
      <c r="C45" s="172"/>
      <c r="D45" s="176">
        <v>172353</v>
      </c>
      <c r="E45" s="176">
        <v>202687</v>
      </c>
      <c r="F45" s="176">
        <v>222720</v>
      </c>
      <c r="G45" s="176">
        <v>233936</v>
      </c>
      <c r="H45" s="176">
        <v>254061</v>
      </c>
      <c r="I45" s="173"/>
      <c r="J45" s="177">
        <f>H45*(1+J46)</f>
        <v>273877.75800000003</v>
      </c>
      <c r="K45" s="177">
        <f>J45*(1+K46)</f>
        <v>291405.93451200007</v>
      </c>
      <c r="L45" s="177">
        <f>K45*(1+L46)</f>
        <v>305393.41936857608</v>
      </c>
      <c r="M45" s="177">
        <f>L45*(1+M46)</f>
        <v>318219.94298205629</v>
      </c>
      <c r="N45" s="178">
        <f>M45*(1+N46)</f>
        <v>330312.30081537442</v>
      </c>
    </row>
    <row r="46" ht="14.25">
      <c r="B46" s="179" t="s">
        <v>18</v>
      </c>
      <c r="C46" s="19"/>
      <c r="D46" s="180"/>
      <c r="E46" s="180">
        <f>E45/D45-1</f>
        <v>0.17599925733813748</v>
      </c>
      <c r="F46" s="180">
        <f>F45/E45-1</f>
        <v>0.098837123249147618</v>
      </c>
      <c r="G46" s="180">
        <f>G45/F45-1</f>
        <v>0.050359195402298829</v>
      </c>
      <c r="H46" s="180">
        <f>H45/G45-1</f>
        <v>0.086027802475890924</v>
      </c>
      <c r="I46" s="181"/>
      <c r="J46" s="182">
        <v>0.078</v>
      </c>
      <c r="K46" s="182">
        <v>0.064000000000000001</v>
      </c>
      <c r="L46" s="182">
        <v>0.048000000000000001</v>
      </c>
      <c r="M46" s="182">
        <v>0.042000000000000003</v>
      </c>
      <c r="N46" s="182">
        <v>0.037999999999999999</v>
      </c>
    </row>
    <row r="47" ht="14.25">
      <c r="B47" s="175" t="s">
        <v>886</v>
      </c>
      <c r="C47" s="19"/>
      <c r="D47" s="176">
        <v>36339</v>
      </c>
      <c r="E47" s="176">
        <v>77228</v>
      </c>
      <c r="F47" s="176">
        <v>95621</v>
      </c>
      <c r="G47" s="176">
        <v>94561</v>
      </c>
      <c r="H47" s="176">
        <v>103329</v>
      </c>
      <c r="I47" s="173"/>
      <c r="J47" s="177">
        <f>H47*(1+J48)</f>
        <v>112628.61000000002</v>
      </c>
      <c r="K47" s="177">
        <f>J47*(1+K48)</f>
        <v>121638.89880000002</v>
      </c>
      <c r="L47" s="177">
        <f>K47*(1+L48)</f>
        <v>130153.62171600004</v>
      </c>
      <c r="M47" s="177">
        <f>L47*(1+M48)</f>
        <v>138613.60712754005</v>
      </c>
      <c r="N47" s="178">
        <f>M47*(1+N48)</f>
        <v>146930.42355519245</v>
      </c>
    </row>
    <row r="48" ht="14.25">
      <c r="B48" s="179" t="s">
        <v>18</v>
      </c>
      <c r="C48" s="19"/>
      <c r="D48" s="180"/>
      <c r="E48" s="180">
        <f>E47/D47-1</f>
        <v>1.1252098296595943</v>
      </c>
      <c r="F48" s="180">
        <f>F47/E47-1</f>
        <v>0.2381649142797948</v>
      </c>
      <c r="G48" s="180">
        <f>G47/F47-1</f>
        <v>-0.011085431024565717</v>
      </c>
      <c r="H48" s="180">
        <f>H47/G47-1</f>
        <v>0.092723215702033679</v>
      </c>
      <c r="I48" s="181"/>
      <c r="J48" s="182">
        <v>0.089999999999999997</v>
      </c>
      <c r="K48" s="182">
        <v>0.080000000000000002</v>
      </c>
      <c r="L48" s="182">
        <v>0.070000000000000007</v>
      </c>
      <c r="M48" s="182">
        <v>0.065000000000000002</v>
      </c>
      <c r="N48" s="182">
        <v>0.059999999999999998</v>
      </c>
    </row>
    <row r="49" ht="14.25">
      <c r="B49" s="175" t="s">
        <v>887</v>
      </c>
      <c r="C49" s="184"/>
      <c r="D49" s="176">
        <v>2088</v>
      </c>
      <c r="E49" s="176">
        <v>2290</v>
      </c>
      <c r="F49" s="176">
        <v>2159</v>
      </c>
      <c r="G49" s="176">
        <v>2060</v>
      </c>
      <c r="H49" s="176">
        <v>3223</v>
      </c>
      <c r="I49" s="173"/>
      <c r="J49" s="177">
        <f>H49*(1+J50)</f>
        <v>3545.3000000000002</v>
      </c>
      <c r="K49" s="177">
        <f>J49*(1+K50)</f>
        <v>3828.9240000000004</v>
      </c>
      <c r="L49" s="177">
        <f>K49*(1+L50)</f>
        <v>4096.9486800000004</v>
      </c>
      <c r="M49" s="177">
        <f>L49*(1+M50)</f>
        <v>4363.2503442000007</v>
      </c>
      <c r="N49" s="178">
        <f>M49*(1+N50)</f>
        <v>4625.0453648520006</v>
      </c>
    </row>
    <row r="50" ht="14.25">
      <c r="B50" s="185" t="s">
        <v>18</v>
      </c>
      <c r="C50" s="186"/>
      <c r="D50" s="187"/>
      <c r="E50" s="187">
        <f>E49/D49-1</f>
        <v>0.096743295019157127</v>
      </c>
      <c r="F50" s="187">
        <f>F49/E49-1</f>
        <v>-0.057205240174672434</v>
      </c>
      <c r="G50" s="187">
        <f>G49/F49-1</f>
        <v>-0.045854562297359847</v>
      </c>
      <c r="H50" s="187">
        <f>H49/G49-1</f>
        <v>0.56456310679611654</v>
      </c>
      <c r="I50" s="188"/>
      <c r="J50" s="182">
        <v>0.10000000000000001</v>
      </c>
      <c r="K50" s="182">
        <v>0.080000000000000002</v>
      </c>
      <c r="L50" s="182">
        <v>0.070000000000000007</v>
      </c>
      <c r="M50" s="182">
        <v>0.065000000000000002</v>
      </c>
      <c r="N50" s="182">
        <v>0.059999999999999998</v>
      </c>
    </row>
    <row r="51" ht="14.25">
      <c r="B51" s="184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ht="14.25">
      <c r="B52" s="26" t="s">
        <v>889</v>
      </c>
      <c r="C52" s="26"/>
      <c r="D52" s="189"/>
      <c r="E52" s="189"/>
      <c r="F52" s="190">
        <f>F55+F57+F59</f>
        <v>1170673</v>
      </c>
      <c r="G52" s="190">
        <f>G55+G57+G59</f>
        <v>1208818</v>
      </c>
      <c r="H52" s="190">
        <f>H55+H57+H59</f>
        <v>1262398</v>
      </c>
      <c r="I52" s="190"/>
      <c r="J52" s="190">
        <f>J55+J57+J59</f>
        <v>1302866.6393339999</v>
      </c>
      <c r="K52" s="190">
        <f>K55+K57+K59</f>
        <v>1346507.6361295299</v>
      </c>
      <c r="L52" s="190">
        <f>L55+L57+L59</f>
        <v>1385020.1806602352</v>
      </c>
      <c r="M52" s="190">
        <f>M55+M57+M59</f>
        <v>1422593.0335356453</v>
      </c>
      <c r="N52" s="190">
        <f>N55+N57+N59</f>
        <v>1453764.8562687773</v>
      </c>
    </row>
    <row r="53" ht="14.25">
      <c r="B53" s="191" t="s">
        <v>890</v>
      </c>
      <c r="C53" s="192"/>
      <c r="D53" s="193"/>
      <c r="E53" s="193"/>
      <c r="F53" s="194">
        <f>F52/F$29</f>
        <v>0.52924954418026815</v>
      </c>
      <c r="G53" s="194">
        <f>G52/G$29</f>
        <v>0.54205116316402857</v>
      </c>
      <c r="H53" s="194">
        <f>H52/H$29</f>
        <v>0.54218473651343391</v>
      </c>
      <c r="I53" s="194"/>
      <c r="J53" s="194">
        <f ca="1">J52/J$29</f>
        <v>0.53785257352958671</v>
      </c>
      <c r="K53" s="194">
        <f ca="1">K52/K$29</f>
        <v>0.53462360591785874</v>
      </c>
      <c r="L53" s="194">
        <f ca="1">L52/L$29</f>
        <v>0.5313846787794545</v>
      </c>
      <c r="M53" s="194">
        <f ca="1">M52/M$29</f>
        <v>0.52888063864543267</v>
      </c>
      <c r="N53" s="195">
        <f ca="1">N52/N$29</f>
        <v>0.52640551156295201</v>
      </c>
    </row>
    <row r="54" ht="14.25">
      <c r="B54" s="165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6"/>
    </row>
    <row r="55" ht="14.25">
      <c r="B55" s="197" t="s">
        <v>885</v>
      </c>
      <c r="C55" s="198"/>
      <c r="D55" s="199"/>
      <c r="E55" s="200"/>
      <c r="F55" s="176">
        <v>856019</v>
      </c>
      <c r="G55" s="176">
        <v>887338</v>
      </c>
      <c r="H55" s="176">
        <v>928828</v>
      </c>
      <c r="I55" s="180"/>
      <c r="J55" s="177">
        <f>(J$35+J$45)*J56</f>
        <v>954617.97290399997</v>
      </c>
      <c r="K55" s="177">
        <f>(K$35+K$45)*K56</f>
        <v>984584.37684276002</v>
      </c>
      <c r="L55" s="177">
        <f>(L$35+L$45)*L56</f>
        <v>1010730.5655892355</v>
      </c>
      <c r="M55" s="177">
        <f>(M$35+M$45)*M56</f>
        <v>1037029.209538901</v>
      </c>
      <c r="N55" s="178">
        <f>(N$35+N$45)*N56</f>
        <v>1058140.0532458427</v>
      </c>
    </row>
    <row r="56" ht="14.25">
      <c r="B56" s="201" t="s">
        <v>890</v>
      </c>
      <c r="C56" s="19"/>
      <c r="D56" s="202"/>
      <c r="E56" s="202"/>
      <c r="F56" s="180">
        <f>F55/(F$35+F$45)</f>
        <v>0.49926220482360573</v>
      </c>
      <c r="G56" s="180">
        <f>G55/(G$35+G$45)</f>
        <v>0.5117806006949952</v>
      </c>
      <c r="H56" s="180">
        <f>H55/(H$35+H$45)</f>
        <v>0.51328487999398753</v>
      </c>
      <c r="I56" s="181"/>
      <c r="J56" s="182">
        <v>0.50800000000000001</v>
      </c>
      <c r="K56" s="182">
        <v>0.505</v>
      </c>
      <c r="L56" s="182">
        <v>0.502</v>
      </c>
      <c r="M56" s="182">
        <v>0.5</v>
      </c>
      <c r="N56" s="182">
        <v>0.498</v>
      </c>
    </row>
    <row r="57" ht="14.25">
      <c r="B57" s="171" t="s">
        <v>886</v>
      </c>
      <c r="C57" s="172"/>
      <c r="D57" s="199"/>
      <c r="E57" s="199"/>
      <c r="F57" s="176">
        <v>303708</v>
      </c>
      <c r="G57" s="176">
        <v>310073</v>
      </c>
      <c r="H57" s="176">
        <v>320626</v>
      </c>
      <c r="I57" s="180"/>
      <c r="J57" s="177">
        <f>(J$37+J$47)*J58</f>
        <v>334544.40000000002</v>
      </c>
      <c r="K57" s="177">
        <f>(K$37+K$47)*K58</f>
        <v>347547.94623494998</v>
      </c>
      <c r="L57" s="177">
        <f>(L$37+L$47)*L58</f>
        <v>359293.70429780945</v>
      </c>
      <c r="M57" s="177">
        <f>(M$37+M$47)*M58</f>
        <v>369982.54244601342</v>
      </c>
      <c r="N57" s="178">
        <f>(N$37+N$47)*N58</f>
        <v>379487.24667946139</v>
      </c>
    </row>
    <row r="58" ht="14.25">
      <c r="B58" s="201" t="s">
        <v>890</v>
      </c>
      <c r="C58" s="19"/>
      <c r="D58" s="202"/>
      <c r="E58" s="202"/>
      <c r="F58" s="180">
        <f>F57/(F$37+F$47)</f>
        <v>0.63173133924764169</v>
      </c>
      <c r="G58" s="180">
        <f>G57/(G$37+G$47)</f>
        <v>0.64725970921919196</v>
      </c>
      <c r="H58" s="180">
        <f>H57/(H$37+H$47)</f>
        <v>0.64181936832159625</v>
      </c>
      <c r="I58" s="181"/>
      <c r="J58" s="182">
        <v>0.64000000000000001</v>
      </c>
      <c r="K58" s="182">
        <v>0.63500000000000001</v>
      </c>
      <c r="L58" s="182">
        <v>0.63</v>
      </c>
      <c r="M58" s="182">
        <v>0.625</v>
      </c>
      <c r="N58" s="182">
        <v>0.62</v>
      </c>
    </row>
    <row r="59" ht="14.25">
      <c r="B59" s="171" t="s">
        <v>887</v>
      </c>
      <c r="C59" s="172"/>
      <c r="D59" s="199"/>
      <c r="E59" s="199"/>
      <c r="F59" s="176">
        <v>10946</v>
      </c>
      <c r="G59" s="176">
        <v>11407</v>
      </c>
      <c r="H59" s="176">
        <v>12944</v>
      </c>
      <c r="I59" s="180"/>
      <c r="J59" s="177">
        <f>(J$39+J$49)*J60</f>
        <v>13704.26643</v>
      </c>
      <c r="K59" s="177">
        <f>(K$39+K$49)*K60</f>
        <v>14375.31305182</v>
      </c>
      <c r="L59" s="177">
        <f>(L$39+L$49)*L60</f>
        <v>14995.91077319016</v>
      </c>
      <c r="M59" s="177">
        <f>(M$39+M$49)*M60</f>
        <v>15581.281550731006</v>
      </c>
      <c r="N59" s="178">
        <f>(N$39+N$49)*N60</f>
        <v>16137.556343473318</v>
      </c>
    </row>
    <row r="60" ht="14.25">
      <c r="B60" s="203" t="s">
        <v>890</v>
      </c>
      <c r="C60" s="100"/>
      <c r="D60" s="204"/>
      <c r="E60" s="204"/>
      <c r="F60" s="187">
        <f>F59/(F$39+F$49)</f>
        <v>0.65836641405028273</v>
      </c>
      <c r="G60" s="187">
        <f>G59/(G$39+G$49)</f>
        <v>0.66315911865589205</v>
      </c>
      <c r="H60" s="187">
        <f>H59/(H$39+H$49)</f>
        <v>0.67346514047866801</v>
      </c>
      <c r="I60" s="188"/>
      <c r="J60" s="182">
        <v>0.67000000000000004</v>
      </c>
      <c r="K60" s="182">
        <v>0.66500000000000004</v>
      </c>
      <c r="L60" s="182">
        <v>0.66000000000000003</v>
      </c>
      <c r="M60" s="182">
        <v>0.65500000000000003</v>
      </c>
      <c r="N60" s="182">
        <v>0.65000000000000002</v>
      </c>
    </row>
    <row r="61" ht="14.25">
      <c r="B61" s="19"/>
      <c r="D61" s="19"/>
      <c r="E61" s="19"/>
      <c r="F61" s="19"/>
      <c r="G61" s="19"/>
      <c r="H61" s="19"/>
      <c r="J61" s="19"/>
      <c r="K61" s="19"/>
      <c r="L61" s="19"/>
      <c r="M61" s="19"/>
      <c r="N61" s="19"/>
    </row>
    <row r="62" ht="14.25">
      <c r="B62" s="205" t="s">
        <v>891</v>
      </c>
      <c r="C62" s="206"/>
      <c r="D62" s="207">
        <f>D29-D52</f>
        <v>1571893</v>
      </c>
      <c r="E62" s="207">
        <f>E29-E52</f>
        <v>2113785</v>
      </c>
      <c r="F62" s="207">
        <f>F29-F52</f>
        <v>1041276</v>
      </c>
      <c r="G62" s="207">
        <f>G29-G52</f>
        <v>1021263</v>
      </c>
      <c r="H62" s="207">
        <f>H29-H52</f>
        <v>1065956</v>
      </c>
      <c r="I62" s="207"/>
      <c r="J62" s="207">
        <f>J29-J52</f>
        <v>1119482.3526659997</v>
      </c>
      <c r="K62" s="207">
        <f>K29-K52</f>
        <v>1172101.0097004704</v>
      </c>
      <c r="L62" s="207">
        <f>L29-L52</f>
        <v>1221415.864581997</v>
      </c>
      <c r="M62" s="207">
        <f>M29-M52</f>
        <v>1267225.6695637647</v>
      </c>
      <c r="N62" s="208">
        <f>N29-N52</f>
        <v>1307917.5811973505</v>
      </c>
    </row>
    <row r="63" ht="14.25">
      <c r="B63" s="209" t="s">
        <v>890</v>
      </c>
      <c r="C63" s="210"/>
      <c r="D63" s="211">
        <f>D62/D$29</f>
        <v>1</v>
      </c>
      <c r="E63" s="211">
        <f>E62/E$29</f>
        <v>1</v>
      </c>
      <c r="F63" s="211">
        <f>F62/F$29</f>
        <v>0.47075045581973185</v>
      </c>
      <c r="G63" s="211">
        <f>G62/G$29</f>
        <v>0.45794883683597143</v>
      </c>
      <c r="H63" s="211">
        <f>H62/H$29</f>
        <v>0.45781526348656604</v>
      </c>
      <c r="I63" s="211"/>
      <c r="J63" s="211">
        <f>J62/J$29</f>
        <v>0.46214742647041335</v>
      </c>
      <c r="K63" s="211">
        <f>K62/K$29</f>
        <v>0.46537639408214126</v>
      </c>
      <c r="L63" s="211">
        <f>L62/L$29</f>
        <v>0.46861532122054556</v>
      </c>
      <c r="M63" s="211">
        <f>M62/M$29</f>
        <v>0.47111936135456739</v>
      </c>
      <c r="N63" s="212">
        <f>N62/N$29</f>
        <v>0.47359448843704799</v>
      </c>
    </row>
    <row r="64" ht="14.25">
      <c r="B64" s="213" t="s">
        <v>18</v>
      </c>
      <c r="C64" s="214"/>
      <c r="D64" s="214"/>
      <c r="E64" s="215">
        <f>E62/D62-1</f>
        <v>0.34473847774625876</v>
      </c>
      <c r="F64" s="215">
        <f>F62/E62-1</f>
        <v>-0.5073879320744541</v>
      </c>
      <c r="G64" s="215">
        <f>G62/F62-1</f>
        <v>-0.019219688151844494</v>
      </c>
      <c r="H64" s="215">
        <f>H62/G62-1</f>
        <v>0.0437624784213273</v>
      </c>
      <c r="I64" s="215"/>
      <c r="J64" s="215">
        <f>J62/H62-1</f>
        <v>0.05021441097568724</v>
      </c>
      <c r="K64" s="215">
        <f>K62/J62-1</f>
        <v>0.047002667714378443</v>
      </c>
      <c r="L64" s="215">
        <f>L62/K62-1</f>
        <v>0.042073895059717703</v>
      </c>
      <c r="M64" s="215">
        <f>M62/L62-1</f>
        <v>0.037505493673479551</v>
      </c>
      <c r="N64" s="216">
        <f>N62/M62-1</f>
        <v>0.032111022220370433</v>
      </c>
    </row>
    <row r="65" ht="14.25">
      <c r="D65" s="19"/>
      <c r="E65" s="19"/>
      <c r="F65" s="19"/>
      <c r="G65" s="19"/>
      <c r="J65" s="19"/>
      <c r="K65" s="19"/>
      <c r="L65" s="19"/>
      <c r="M65" s="19"/>
      <c r="N65" s="19"/>
    </row>
    <row r="66" ht="14.25">
      <c r="B66" s="217" t="s">
        <v>892</v>
      </c>
      <c r="C66" s="217"/>
      <c r="D66" s="218"/>
      <c r="E66" s="218"/>
      <c r="F66" s="219">
        <f>F69+F71+F73</f>
        <v>433077</v>
      </c>
      <c r="G66" s="219">
        <f>G69+G71+G73</f>
        <v>465089</v>
      </c>
      <c r="H66" s="219">
        <f>H69+H71+H73</f>
        <v>498505</v>
      </c>
      <c r="I66" s="219"/>
      <c r="J66" s="219">
        <f>J69+J71+J73</f>
        <v>509628.78184499999</v>
      </c>
      <c r="K66" s="219">
        <f>K69+K71+K73</f>
        <v>517487.42892214004</v>
      </c>
      <c r="L66" s="219">
        <f>L69+L71+L73</f>
        <v>528442.10817538796</v>
      </c>
      <c r="M66" s="219">
        <f>M69+M71+M73</f>
        <v>539559.77750142373</v>
      </c>
      <c r="N66" s="219">
        <f>N69+N71+N73</f>
        <v>548651.40718956664</v>
      </c>
    </row>
    <row r="67" ht="14.25">
      <c r="B67" s="191" t="s">
        <v>890</v>
      </c>
      <c r="C67" s="192"/>
      <c r="D67" s="193"/>
      <c r="E67" s="193"/>
      <c r="F67" s="194">
        <f>F66/F$29</f>
        <v>0.19578977634656133</v>
      </c>
      <c r="G67" s="194">
        <f>G66/G$29</f>
        <v>0.20855251446023709</v>
      </c>
      <c r="H67" s="194">
        <f>H66/H$29</f>
        <v>0.21410189344060224</v>
      </c>
      <c r="I67" s="194"/>
      <c r="J67" s="194">
        <f>J66/J$29</f>
        <v>0.21038619271132675</v>
      </c>
      <c r="K67" s="194">
        <f>K66/K$29</f>
        <v>0.20546559695923045</v>
      </c>
      <c r="L67" s="194">
        <f>L66/L$29</f>
        <v>0.20274508908054814</v>
      </c>
      <c r="M67" s="194">
        <f>M66/M$29</f>
        <v>0.20059336225140476</v>
      </c>
      <c r="N67" s="195">
        <f>N66/N$29</f>
        <v>0.19866563937487322</v>
      </c>
    </row>
    <row r="68" ht="14.25">
      <c r="B68" s="165"/>
      <c r="D68" s="19"/>
      <c r="E68" s="19"/>
      <c r="F68" s="19"/>
      <c r="G68" s="19"/>
      <c r="H68" s="19"/>
      <c r="J68" s="19"/>
      <c r="K68" s="19"/>
      <c r="L68" s="19"/>
      <c r="M68" s="19"/>
      <c r="N68" s="196"/>
    </row>
    <row r="69" ht="14.25">
      <c r="B69" s="197" t="s">
        <v>885</v>
      </c>
      <c r="C69" s="198"/>
      <c r="D69" s="199"/>
      <c r="E69" s="199"/>
      <c r="F69" s="220">
        <f>150616+158290</f>
        <v>308906</v>
      </c>
      <c r="G69" s="220">
        <f>159077+177525</f>
        <v>336602</v>
      </c>
      <c r="H69" s="220">
        <f>167899+200656</f>
        <v>368555</v>
      </c>
      <c r="I69" s="180"/>
      <c r="J69" s="177">
        <f>(J$35+J$45)*J70</f>
        <v>375833.84759999998</v>
      </c>
      <c r="K69" s="177">
        <f>(K$35+K$45)*K70</f>
        <v>380186.04650364001</v>
      </c>
      <c r="L69" s="177">
        <f>(L$35+L$45)*L70</f>
        <v>386574.24022536498</v>
      </c>
      <c r="M69" s="177">
        <f>(M$35+M$45)*M70</f>
        <v>394071.09962478239</v>
      </c>
      <c r="N69" s="178">
        <f>(N$35+N$45)*N70</f>
        <v>399458.49399642256</v>
      </c>
    </row>
    <row r="70" ht="14.25">
      <c r="B70" s="201" t="s">
        <v>890</v>
      </c>
      <c r="D70" s="202"/>
      <c r="E70" s="202"/>
      <c r="F70" s="180">
        <f>F69/(F$35+F$45)</f>
        <v>0.18016549941442975</v>
      </c>
      <c r="G70" s="180">
        <f>G69/(G$35+G$45)</f>
        <v>0.19413839343647715</v>
      </c>
      <c r="H70" s="180">
        <f>H69/(H$35+H$45)</f>
        <v>0.20366925732878863</v>
      </c>
      <c r="I70" s="181"/>
      <c r="J70" s="182">
        <v>0.20000000000000001</v>
      </c>
      <c r="K70" s="182">
        <v>0.19500000000000001</v>
      </c>
      <c r="L70" s="182">
        <v>0.192</v>
      </c>
      <c r="M70" s="182">
        <v>0.19</v>
      </c>
      <c r="N70" s="182">
        <v>0.188</v>
      </c>
    </row>
    <row r="71" ht="14.25">
      <c r="B71" s="171" t="s">
        <v>886</v>
      </c>
      <c r="C71" s="172"/>
      <c r="D71" s="199"/>
      <c r="E71" s="199"/>
      <c r="F71" s="220">
        <f>50553+68578</f>
        <v>119131</v>
      </c>
      <c r="G71" s="220">
        <f>51005+72181</f>
        <v>123186</v>
      </c>
      <c r="H71" s="220">
        <f>51252+73483</f>
        <v>124735</v>
      </c>
      <c r="I71" s="180"/>
      <c r="J71" s="177">
        <f>(J$37+J$47)*J72</f>
        <v>128067.778125</v>
      </c>
      <c r="K71" s="177">
        <f>(K$37+K$47)*K72</f>
        <v>131356.7040888</v>
      </c>
      <c r="L71" s="177">
        <f>(L$37+L$47)*L72</f>
        <v>135733.17717917246</v>
      </c>
      <c r="M71" s="177">
        <f>(M$37+M$47)*M72</f>
        <v>139113.43595970102</v>
      </c>
      <c r="N71" s="178">
        <f>(N$37+N$47)*N72</f>
        <v>142613.75560695888</v>
      </c>
    </row>
    <row r="72" ht="14.25">
      <c r="B72" s="201" t="s">
        <v>890</v>
      </c>
      <c r="D72" s="202"/>
      <c r="E72" s="202"/>
      <c r="F72" s="180">
        <f>F71/(F$37+F$47)</f>
        <v>0.2477998148745203</v>
      </c>
      <c r="G72" s="180">
        <f>G71/(G$37+G$47)</f>
        <v>0.25714375176128001</v>
      </c>
      <c r="H72" s="180">
        <f>H71/(H$37+H$47)</f>
        <v>0.24969072660231645</v>
      </c>
      <c r="I72" s="181"/>
      <c r="J72" s="182">
        <v>0.245</v>
      </c>
      <c r="K72" s="182">
        <v>0.23999999999999999</v>
      </c>
      <c r="L72" s="182">
        <v>0.23800000000000002</v>
      </c>
      <c r="M72" s="182">
        <v>0.23499999999999999</v>
      </c>
      <c r="N72" s="182">
        <v>0.23300000000000001</v>
      </c>
    </row>
    <row r="73" ht="14.25">
      <c r="B73" s="171" t="s">
        <v>887</v>
      </c>
      <c r="C73" s="172"/>
      <c r="D73" s="199"/>
      <c r="E73" s="199"/>
      <c r="F73" s="220">
        <f>2811+2229</f>
        <v>5040</v>
      </c>
      <c r="G73" s="220">
        <f>3450+1851</f>
        <v>5301</v>
      </c>
      <c r="H73" s="220">
        <f>3657+1558</f>
        <v>5215</v>
      </c>
      <c r="I73" s="180"/>
      <c r="J73" s="177">
        <f>(J$39+J$49)*J74</f>
        <v>5727.1561199999996</v>
      </c>
      <c r="K73" s="177">
        <f>(K$39+K$49)*K74</f>
        <v>5944.6783297000002</v>
      </c>
      <c r="L73" s="177">
        <f>(L$39+L$49)*L74</f>
        <v>6134.6907708505205</v>
      </c>
      <c r="M73" s="177">
        <f>(M$39+M$49)*M74</f>
        <v>6375.2419169403202</v>
      </c>
      <c r="N73" s="178">
        <f>(N$39+N$49)*N74</f>
        <v>6579.1575861852752</v>
      </c>
    </row>
    <row r="74" ht="14.25">
      <c r="B74" s="203" t="s">
        <v>890</v>
      </c>
      <c r="C74" s="100"/>
      <c r="D74" s="204"/>
      <c r="E74" s="204"/>
      <c r="F74" s="187">
        <f>F73/(F$39+F$49)</f>
        <v>0.30313966077228438</v>
      </c>
      <c r="G74" s="187">
        <f>G73/(G$39+G$49)</f>
        <v>0.30817975699087263</v>
      </c>
      <c r="H74" s="187">
        <f>H73/(H$39+H$49)</f>
        <v>0.27133194588969822</v>
      </c>
      <c r="I74" s="188"/>
      <c r="J74" s="182">
        <v>0.28000000000000003</v>
      </c>
      <c r="K74" s="182">
        <v>0.27500000000000002</v>
      </c>
      <c r="L74" s="182">
        <v>0.27000000000000002</v>
      </c>
      <c r="M74" s="182">
        <v>0.26800000000000002</v>
      </c>
      <c r="N74" s="182">
        <v>0.26500000000000001</v>
      </c>
    </row>
    <row r="75" ht="14.25">
      <c r="B75" s="221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</row>
    <row r="76" ht="14.25">
      <c r="B76" s="222" t="s">
        <v>893</v>
      </c>
      <c r="C76" s="217"/>
      <c r="D76" s="223"/>
      <c r="E76" s="223"/>
      <c r="F76" s="224">
        <f>78335+7523+105+1530+43055</f>
        <v>130548</v>
      </c>
      <c r="G76" s="224">
        <f>72586+8514+816+41542-567</f>
        <v>122891</v>
      </c>
      <c r="H76" s="224">
        <f>72063+9573+847+45989+805</f>
        <v>129277</v>
      </c>
      <c r="I76" s="219"/>
      <c r="J76" s="190">
        <f>J$29*J77</f>
        <v>135651.54355199996</v>
      </c>
      <c r="K76" s="190">
        <f>K$29*K77</f>
        <v>138523.47552065001</v>
      </c>
      <c r="L76" s="190">
        <f>L$29*L77</f>
        <v>143353.98248832277</v>
      </c>
      <c r="M76" s="190">
        <f>M$29*M77</f>
        <v>145250.20996736817</v>
      </c>
      <c r="N76" s="190">
        <f>N$29*N77</f>
        <v>149130.85162317092</v>
      </c>
    </row>
    <row r="77" ht="14.25">
      <c r="B77" s="225" t="s">
        <v>890</v>
      </c>
      <c r="C77" s="226"/>
      <c r="D77" s="227"/>
      <c r="E77" s="227"/>
      <c r="F77" s="228">
        <f>F76/F$29</f>
        <v>0.059019443938354815</v>
      </c>
      <c r="G77" s="228">
        <f>G76/G$29</f>
        <v>0.05510607013825955</v>
      </c>
      <c r="H77" s="228">
        <f>H76/H$29</f>
        <v>0.055522914470909492</v>
      </c>
      <c r="I77" s="228"/>
      <c r="J77" s="182">
        <v>0.055999999999999994</v>
      </c>
      <c r="K77" s="182">
        <v>0.055</v>
      </c>
      <c r="L77" s="182">
        <v>0.055</v>
      </c>
      <c r="M77" s="182">
        <v>0.054000000000000006</v>
      </c>
      <c r="N77" s="182">
        <v>0.054000000000000006</v>
      </c>
    </row>
    <row r="78" ht="14.25">
      <c r="D78" s="19"/>
      <c r="E78" s="19"/>
      <c r="F78" s="19"/>
      <c r="G78" s="19"/>
      <c r="H78" s="19"/>
      <c r="J78" s="19"/>
      <c r="K78" s="19"/>
      <c r="L78" s="19"/>
      <c r="M78" s="19"/>
      <c r="N78" s="19"/>
    </row>
    <row r="79" ht="14.25">
      <c r="B79" s="205" t="s">
        <v>894</v>
      </c>
      <c r="C79" s="206"/>
      <c r="D79" s="207"/>
      <c r="E79" s="207"/>
      <c r="F79" s="207">
        <f>F62-F66-F76</f>
        <v>477651</v>
      </c>
      <c r="G79" s="207">
        <f>G62-G66-G76</f>
        <v>433283</v>
      </c>
      <c r="H79" s="207">
        <f>H62-H66-H76</f>
        <v>438174</v>
      </c>
      <c r="I79" s="207"/>
      <c r="J79" s="207">
        <f>J62-J66-J76</f>
        <v>474202.02726899972</v>
      </c>
      <c r="K79" s="207">
        <f>K62-K66-K76</f>
        <v>516090.10525768029</v>
      </c>
      <c r="L79" s="207">
        <f>L62-L66-L76</f>
        <v>549619.77391828632</v>
      </c>
      <c r="M79" s="207">
        <f>M62-M66-M76</f>
        <v>582415.68209497281</v>
      </c>
      <c r="N79" s="208">
        <f>N62-N66-N76</f>
        <v>610135.32238461298</v>
      </c>
    </row>
    <row r="80" ht="14.25">
      <c r="B80" s="209" t="s">
        <v>890</v>
      </c>
      <c r="C80" s="210"/>
      <c r="D80" s="211"/>
      <c r="E80" s="211"/>
      <c r="F80" s="211">
        <f>F79/F$29</f>
        <v>0.21594123553481567</v>
      </c>
      <c r="G80" s="211">
        <f>G79/G$29</f>
        <v>0.19429025223747479</v>
      </c>
      <c r="H80" s="211">
        <f>H79/H$29</f>
        <v>0.18819045557505432</v>
      </c>
      <c r="I80" s="211"/>
      <c r="J80" s="211">
        <f>J79/J$29</f>
        <v>0.19576123375908661</v>
      </c>
      <c r="K80" s="211">
        <f>K79/K$29</f>
        <v>0.2049107971229108</v>
      </c>
      <c r="L80" s="211">
        <f>L79/L$29</f>
        <v>0.21087023213999742</v>
      </c>
      <c r="M80" s="211">
        <f>M79/M$29</f>
        <v>0.21652599910316259</v>
      </c>
      <c r="N80" s="212">
        <f>N79/N$29</f>
        <v>0.22092884906217475</v>
      </c>
    </row>
    <row r="81" ht="14.25">
      <c r="B81" s="213" t="s">
        <v>18</v>
      </c>
      <c r="C81" s="214"/>
      <c r="D81" s="214"/>
      <c r="E81" s="215"/>
      <c r="F81" s="215"/>
      <c r="G81" s="215">
        <f>G79/F79-1</f>
        <v>-0.092887903511140957</v>
      </c>
      <c r="H81" s="215">
        <f>H79/G79-1</f>
        <v>0.011288234248747253</v>
      </c>
      <c r="I81" s="215"/>
      <c r="J81" s="215">
        <f>J79/H79-1</f>
        <v>0.082223106046912298</v>
      </c>
      <c r="K81" s="215">
        <f>K79/J79-1</f>
        <v>0.088333823096287123</v>
      </c>
      <c r="L81" s="215">
        <f>L79/K79-1</f>
        <v>0.064968633033305023</v>
      </c>
      <c r="M81" s="215">
        <f>M79/L79-1</f>
        <v>0.059670175151963045</v>
      </c>
      <c r="N81" s="216">
        <f>N79/M79-1</f>
        <v>0.047594254656625257</v>
      </c>
    </row>
    <row r="82" ht="14.25">
      <c r="D82" s="19"/>
      <c r="E82" s="19"/>
      <c r="F82" s="19"/>
      <c r="G82" s="19"/>
      <c r="H82" s="19"/>
      <c r="J82" s="19"/>
      <c r="K82" s="19"/>
      <c r="L82" s="19"/>
      <c r="M82" s="19"/>
      <c r="N82" s="19"/>
    </row>
    <row r="83" ht="14.25">
      <c r="A83" s="25" t="s">
        <v>10</v>
      </c>
      <c r="B83" s="21" t="s">
        <v>895</v>
      </c>
      <c r="C83" s="21"/>
      <c r="D83" s="21"/>
      <c r="E83" s="154"/>
      <c r="F83" s="21"/>
      <c r="G83" s="21"/>
      <c r="H83" s="21"/>
      <c r="I83" s="21"/>
      <c r="J83" s="21"/>
      <c r="K83" s="21"/>
      <c r="L83" s="21"/>
      <c r="M83" s="21"/>
      <c r="N83" s="21"/>
    </row>
    <row r="84" ht="14.25">
      <c r="D84" s="19"/>
      <c r="E84" s="155"/>
      <c r="F84" s="19"/>
      <c r="G84" s="19"/>
      <c r="H84" s="19"/>
      <c r="J84" s="19"/>
      <c r="K84" s="19"/>
      <c r="L84" s="19"/>
      <c r="M84" s="19"/>
      <c r="N84" s="19"/>
    </row>
    <row r="85" ht="14.25">
      <c r="D85" s="54"/>
      <c r="E85" s="156"/>
      <c r="F85" s="55" t="s">
        <v>881</v>
      </c>
      <c r="G85" s="100"/>
      <c r="H85" s="100"/>
      <c r="J85" s="54"/>
      <c r="K85" s="54"/>
      <c r="L85" s="55" t="s">
        <v>882</v>
      </c>
      <c r="M85" s="100"/>
      <c r="N85" s="100"/>
    </row>
    <row r="86" ht="14.25">
      <c r="B86" s="149" t="s">
        <v>883</v>
      </c>
      <c r="C86" s="149"/>
      <c r="D86" s="158">
        <f>E86-1</f>
        <v>2022</v>
      </c>
      <c r="E86" s="159">
        <f>F86-1</f>
        <v>2023</v>
      </c>
      <c r="F86" s="158">
        <f>G86-1</f>
        <v>2024</v>
      </c>
      <c r="G86" s="158">
        <f>H86-1</f>
        <v>2025</v>
      </c>
      <c r="H86" s="158">
        <v>2026</v>
      </c>
      <c r="I86" s="149"/>
      <c r="J86" s="158">
        <f>H86+1</f>
        <v>2027</v>
      </c>
      <c r="K86" s="158">
        <f>J86+1</f>
        <v>2028</v>
      </c>
      <c r="L86" s="158">
        <f>K86+1</f>
        <v>2029</v>
      </c>
      <c r="M86" s="158">
        <f>L86+1</f>
        <v>2030</v>
      </c>
      <c r="N86" s="158">
        <f>M86+1</f>
        <v>2031</v>
      </c>
    </row>
    <row r="87" ht="14.25">
      <c r="D87" s="19"/>
      <c r="E87" s="19"/>
      <c r="F87" s="19"/>
      <c r="G87" s="19"/>
      <c r="H87" s="19"/>
      <c r="J87" s="19"/>
      <c r="K87" s="19"/>
      <c r="L87" s="19"/>
      <c r="M87" s="19"/>
      <c r="N87" s="19"/>
    </row>
    <row r="88" ht="14.25">
      <c r="A88" s="25"/>
      <c r="B88" s="217" t="s">
        <v>896</v>
      </c>
      <c r="C88" s="217"/>
      <c r="D88" s="229"/>
      <c r="E88" s="229"/>
      <c r="F88" s="219">
        <f>F91+F93+F95</f>
        <v>882619</v>
      </c>
      <c r="G88" s="219">
        <f>G91+G93+G95</f>
        <v>949052</v>
      </c>
      <c r="H88" s="219">
        <f>H91+H93+H95</f>
        <v>956263</v>
      </c>
      <c r="I88" s="219"/>
      <c r="J88" s="219">
        <f>J91+J93+J95</f>
        <v>995485.88712328742</v>
      </c>
      <c r="K88" s="219">
        <f>K91+K93+K95</f>
        <v>1024694.2024815206</v>
      </c>
      <c r="L88" s="219">
        <f>L91+L93+L95</f>
        <v>1056856.2594406859</v>
      </c>
      <c r="M88" s="219">
        <f>M91+M93+M95</f>
        <v>1079612.1643946948</v>
      </c>
      <c r="N88" s="219">
        <f>N91+N93+N95</f>
        <v>1100889.848359785</v>
      </c>
    </row>
    <row r="89" ht="14.25">
      <c r="A89" s="25"/>
      <c r="B89" s="191" t="s">
        <v>897</v>
      </c>
      <c r="C89" s="172"/>
      <c r="D89" s="200"/>
      <c r="E89" s="200"/>
      <c r="F89" s="230">
        <f>(F88/F$29)*365</f>
        <v>145.64347324463628</v>
      </c>
      <c r="G89" s="230">
        <f>(G88/G$29)*365</f>
        <v>155.33246550237413</v>
      </c>
      <c r="H89" s="230">
        <f>(H88/H$29)*365</f>
        <v>149.906756017341</v>
      </c>
      <c r="I89" s="230"/>
      <c r="J89" s="230">
        <f>(J88/J$29)*365</f>
        <v>150</v>
      </c>
      <c r="K89" s="230">
        <f>(K88/K$29)*365</f>
        <v>148.5</v>
      </c>
      <c r="L89" s="230">
        <f>(L88/L$29)*365</f>
        <v>147.99999999999997</v>
      </c>
      <c r="M89" s="230">
        <f>(M88/M$29)*365</f>
        <v>146.50000000000003</v>
      </c>
      <c r="N89" s="231">
        <f>(N88/N$29)*365</f>
        <v>145.5</v>
      </c>
    </row>
    <row r="90" ht="14.25">
      <c r="A90" s="25"/>
      <c r="B90" s="232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6"/>
    </row>
    <row r="91" ht="14.25">
      <c r="A91" s="25"/>
      <c r="B91" s="197" t="s">
        <v>898</v>
      </c>
      <c r="C91" s="198"/>
      <c r="D91" s="200"/>
      <c r="E91" s="200"/>
      <c r="F91" s="176">
        <v>283975</v>
      </c>
      <c r="G91" s="176">
        <v>284392</v>
      </c>
      <c r="H91" s="176">
        <v>302688</v>
      </c>
      <c r="I91" s="180"/>
      <c r="J91" s="177">
        <f>(J92*J$29)/365</f>
        <v>315237.19758904102</v>
      </c>
      <c r="K91" s="177">
        <f>(K92*K$29)/365</f>
        <v>324313.99001098634</v>
      </c>
      <c r="L91" s="177">
        <f>(L92*L$29)/365</f>
        <v>335623.27157913672</v>
      </c>
      <c r="M91" s="177">
        <f>(M92*M$29)/365</f>
        <v>342675.53340855497</v>
      </c>
      <c r="N91" s="178">
        <f>(N92*N$29)/365</f>
        <v>348047.64965326543</v>
      </c>
    </row>
    <row r="92" ht="14.25">
      <c r="A92" s="25"/>
      <c r="B92" s="201" t="s">
        <v>897</v>
      </c>
      <c r="C92" s="19"/>
      <c r="D92" s="200"/>
      <c r="E92" s="200"/>
      <c r="F92" s="233">
        <f>(F91/F$29)*365</f>
        <v>46.859522981768563</v>
      </c>
      <c r="G92" s="233">
        <f>(G91/G$29)*365</f>
        <v>46.546775655234043</v>
      </c>
      <c r="H92" s="233">
        <f>(H91/H$29)*365</f>
        <v>47.450310390945702</v>
      </c>
      <c r="I92" s="234"/>
      <c r="J92" s="235">
        <v>47.5</v>
      </c>
      <c r="K92" s="235">
        <v>47</v>
      </c>
      <c r="L92" s="235">
        <v>47</v>
      </c>
      <c r="M92" s="235">
        <v>46.5</v>
      </c>
      <c r="N92" s="235">
        <v>46</v>
      </c>
    </row>
    <row r="93" ht="14.25">
      <c r="A93" s="25"/>
      <c r="B93" s="197" t="s">
        <v>899</v>
      </c>
      <c r="C93" s="172"/>
      <c r="D93" s="200"/>
      <c r="E93" s="200"/>
      <c r="F93" s="176">
        <v>551575</v>
      </c>
      <c r="G93" s="176">
        <v>593175</v>
      </c>
      <c r="H93" s="176">
        <v>594192</v>
      </c>
      <c r="I93" s="180"/>
      <c r="J93" s="177">
        <f>(J94*J$29)/365</f>
        <v>617201.25001643819</v>
      </c>
      <c r="K93" s="177">
        <f>(K94*K$29)/365</f>
        <v>638277.53353226034</v>
      </c>
      <c r="L93" s="177">
        <f>(L94*L$29)/365</f>
        <v>660535.16215042875</v>
      </c>
      <c r="M93" s="177">
        <f>(M94*M$29)/365</f>
        <v>677981.70050724864</v>
      </c>
      <c r="N93" s="178">
        <f>(N94*N$29)/365</f>
        <v>696095.29930653085</v>
      </c>
    </row>
    <row r="94" ht="14.25">
      <c r="A94" s="25"/>
      <c r="B94" s="201" t="s">
        <v>897</v>
      </c>
      <c r="C94" s="19"/>
      <c r="D94" s="200"/>
      <c r="E94" s="200"/>
      <c r="F94" s="233">
        <f>(F93/F$29)*365</f>
        <v>91.01696060804295</v>
      </c>
      <c r="G94" s="233">
        <f>(G93/G$29)*365</f>
        <v>97.085655184722</v>
      </c>
      <c r="H94" s="233">
        <f>(H93/H$29)*365</f>
        <v>93.147382227960179</v>
      </c>
      <c r="I94" s="234"/>
      <c r="J94" s="235">
        <v>93</v>
      </c>
      <c r="K94" s="235">
        <v>92.5</v>
      </c>
      <c r="L94" s="235">
        <v>92.5</v>
      </c>
      <c r="M94" s="235">
        <v>92</v>
      </c>
      <c r="N94" s="235">
        <v>92</v>
      </c>
    </row>
    <row r="95" ht="14.25">
      <c r="A95" s="25"/>
      <c r="B95" s="197" t="s">
        <v>900</v>
      </c>
      <c r="C95" s="172"/>
      <c r="D95" s="200"/>
      <c r="E95" s="200"/>
      <c r="F95" s="176">
        <v>47069</v>
      </c>
      <c r="G95" s="176">
        <v>71485</v>
      </c>
      <c r="H95" s="176">
        <v>59383</v>
      </c>
      <c r="I95" s="180"/>
      <c r="J95" s="177">
        <f>(J96*J$29)/365</f>
        <v>63047.439517808205</v>
      </c>
      <c r="K95" s="177">
        <f>(K96*K$29)/365</f>
        <v>62102.678938273981</v>
      </c>
      <c r="L95" s="177">
        <f>(L96*L$29)/365</f>
        <v>60697.82571112048</v>
      </c>
      <c r="M95" s="177">
        <f>(M96*M$29)/365</f>
        <v>58954.930478891176</v>
      </c>
      <c r="N95" s="178">
        <f>(N96*N$29)/365</f>
        <v>56746.899399988928</v>
      </c>
      <c r="O95" s="236"/>
    </row>
    <row r="96" ht="14.25">
      <c r="A96" s="25"/>
      <c r="B96" s="203" t="s">
        <v>897</v>
      </c>
      <c r="C96" s="100"/>
      <c r="D96" s="204"/>
      <c r="E96" s="204"/>
      <c r="F96" s="237">
        <f>(F95/F$29)*365</f>
        <v>7.7669896548247719</v>
      </c>
      <c r="G96" s="237">
        <f>(G95/G$29)*365</f>
        <v>11.700034662418092</v>
      </c>
      <c r="H96" s="237">
        <f>(H95/H$29)*365</f>
        <v>9.3090633984351179</v>
      </c>
      <c r="I96" s="238"/>
      <c r="J96" s="235">
        <v>9.5</v>
      </c>
      <c r="K96" s="235">
        <v>9</v>
      </c>
      <c r="L96" s="235">
        <v>8.5</v>
      </c>
      <c r="M96" s="235">
        <v>8</v>
      </c>
      <c r="N96" s="235">
        <v>7.5</v>
      </c>
    </row>
    <row r="97" ht="14.25">
      <c r="A97" s="25"/>
      <c r="B97" s="221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</row>
    <row r="98" ht="14.25">
      <c r="A98" s="25"/>
      <c r="B98" s="222" t="s">
        <v>901</v>
      </c>
      <c r="C98" s="217"/>
      <c r="D98" s="229"/>
      <c r="E98" s="229"/>
      <c r="F98" s="219">
        <f>F101+F103</f>
        <v>338757</v>
      </c>
      <c r="G98" s="219">
        <f>G101+G103</f>
        <v>343848</v>
      </c>
      <c r="H98" s="219">
        <f>H101+H103</f>
        <v>366795</v>
      </c>
      <c r="I98" s="219"/>
      <c r="J98" s="219">
        <f>J101+J103</f>
        <v>378366.75005316164</v>
      </c>
      <c r="K98" s="219">
        <f>K101+K103</f>
        <v>394729.63579687593</v>
      </c>
      <c r="L98" s="219">
        <f>L101+L103</f>
        <v>406019.61460450728</v>
      </c>
      <c r="M98" s="219">
        <f>M101+M103</f>
        <v>424829.15248050785</v>
      </c>
      <c r="N98" s="219">
        <f>N101+N103</f>
        <v>434137.99817341572</v>
      </c>
      <c r="O98" s="19"/>
      <c r="P98" s="19"/>
    </row>
    <row r="99" ht="14.25">
      <c r="A99" s="25"/>
      <c r="B99" s="191" t="s">
        <v>902</v>
      </c>
      <c r="C99" s="192"/>
      <c r="D99" s="200"/>
      <c r="E99" s="200"/>
      <c r="F99" s="239">
        <f>(F98/F$52)*365</f>
        <v>105.61984858282372</v>
      </c>
      <c r="G99" s="239">
        <f>(G98/G$52)*365</f>
        <v>103.82416542440633</v>
      </c>
      <c r="H99" s="239">
        <f>(H98/H$52)*365</f>
        <v>106.05227115378827</v>
      </c>
      <c r="I99" s="239"/>
      <c r="J99" s="239">
        <f>(J98/J$52)*365</f>
        <v>106.00000000000001</v>
      </c>
      <c r="K99" s="239">
        <f>(K98/K$52)*365</f>
        <v>107</v>
      </c>
      <c r="L99" s="239">
        <f>(L98/L$52)*365</f>
        <v>106.99999999999999</v>
      </c>
      <c r="M99" s="239">
        <f>(M98/M$52)*365</f>
        <v>109.00000000000001</v>
      </c>
      <c r="N99" s="231">
        <f>(N98/N$52)*365</f>
        <v>109.00000000000001</v>
      </c>
      <c r="O99" s="19"/>
      <c r="P99" s="19"/>
    </row>
    <row r="100" ht="14.25">
      <c r="A100" s="25"/>
      <c r="B100" s="232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6"/>
      <c r="O100" s="19"/>
      <c r="P100" s="19"/>
    </row>
    <row r="101" ht="14.25">
      <c r="A101" s="25"/>
      <c r="B101" s="197" t="s">
        <v>903</v>
      </c>
      <c r="C101" s="198"/>
      <c r="D101" s="200"/>
      <c r="E101" s="200"/>
      <c r="F101" s="176">
        <v>107524</v>
      </c>
      <c r="G101" s="176">
        <v>100972</v>
      </c>
      <c r="H101" s="176">
        <v>91467</v>
      </c>
      <c r="I101" s="180"/>
      <c r="J101" s="177">
        <f>(J102*J$52)/365</f>
        <v>94591.68751329041</v>
      </c>
      <c r="K101" s="177">
        <f>(K102*K$52)/365</f>
        <v>99604.67445341729</v>
      </c>
      <c r="L101" s="177">
        <f>(L102*L$52)/365</f>
        <v>102453.54761048315</v>
      </c>
      <c r="M101" s="177">
        <f>(M102*M$52)/365</f>
        <v>109130.42449040568</v>
      </c>
      <c r="N101" s="178">
        <f>(N102*N$52)/365</f>
        <v>111521.68760418019</v>
      </c>
      <c r="O101" s="19"/>
      <c r="P101" s="19"/>
    </row>
    <row r="102" ht="14.25">
      <c r="A102" s="25"/>
      <c r="B102" s="201" t="s">
        <v>902</v>
      </c>
      <c r="C102" s="19"/>
      <c r="D102" s="200"/>
      <c r="E102" s="200"/>
      <c r="F102" s="233">
        <f>(F101/F$52)*365</f>
        <v>33.524528198736967</v>
      </c>
      <c r="G102" s="233">
        <f>(G101/G$52)*365</f>
        <v>30.488278632515399</v>
      </c>
      <c r="H102" s="233">
        <f>(H101/H$52)*365</f>
        <v>26.446061384761386</v>
      </c>
      <c r="I102" s="234"/>
      <c r="J102" s="235">
        <v>26.5</v>
      </c>
      <c r="K102" s="235">
        <v>27</v>
      </c>
      <c r="L102" s="235">
        <v>27</v>
      </c>
      <c r="M102" s="235">
        <v>28</v>
      </c>
      <c r="N102" s="235">
        <v>28</v>
      </c>
      <c r="O102" s="19"/>
      <c r="P102" s="19"/>
    </row>
    <row r="103" ht="14.25">
      <c r="A103" s="25"/>
      <c r="B103" s="197" t="s">
        <v>904</v>
      </c>
      <c r="C103" s="172"/>
      <c r="D103" s="200"/>
      <c r="E103" s="200"/>
      <c r="F103" s="176">
        <v>231233</v>
      </c>
      <c r="G103" s="176">
        <v>242876</v>
      </c>
      <c r="H103" s="176">
        <v>275328</v>
      </c>
      <c r="I103" s="180"/>
      <c r="J103" s="177">
        <f>(J104*J$52)/365</f>
        <v>283775.0625398712</v>
      </c>
      <c r="K103" s="177">
        <f>(K104*K$52)/365</f>
        <v>295124.96134345862</v>
      </c>
      <c r="L103" s="177">
        <f>(L104*L$52)/365</f>
        <v>303566.06699402415</v>
      </c>
      <c r="M103" s="177">
        <f>(M104*M$52)/365</f>
        <v>315698.72799010214</v>
      </c>
      <c r="N103" s="178">
        <f>(N104*N$52)/365</f>
        <v>322616.31056923553</v>
      </c>
      <c r="O103" s="19"/>
      <c r="P103" s="19"/>
    </row>
    <row r="104" ht="14.25">
      <c r="A104" s="25"/>
      <c r="B104" s="203" t="s">
        <v>902</v>
      </c>
      <c r="C104" s="100"/>
      <c r="D104" s="204"/>
      <c r="E104" s="204"/>
      <c r="F104" s="237">
        <f>(F103/F$52)*365</f>
        <v>72.095320384086762</v>
      </c>
      <c r="G104" s="237">
        <f>(G103/G$52)*365</f>
        <v>73.335886791890914</v>
      </c>
      <c r="H104" s="237">
        <f>(H103/H$52)*365</f>
        <v>79.606209769026876</v>
      </c>
      <c r="I104" s="238"/>
      <c r="J104" s="235">
        <v>79.5</v>
      </c>
      <c r="K104" s="235">
        <v>80</v>
      </c>
      <c r="L104" s="235">
        <v>80</v>
      </c>
      <c r="M104" s="235">
        <v>81</v>
      </c>
      <c r="N104" s="235">
        <v>81</v>
      </c>
      <c r="O104" s="19"/>
      <c r="P104" s="19"/>
    </row>
    <row r="105" ht="14.25">
      <c r="B105" s="221"/>
      <c r="C105" s="19"/>
      <c r="D105" s="240"/>
      <c r="E105" s="240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</row>
    <row r="106" ht="14.25">
      <c r="B106" s="205" t="s">
        <v>905</v>
      </c>
      <c r="C106" s="206"/>
      <c r="D106" s="207"/>
      <c r="E106" s="207"/>
      <c r="F106" s="207">
        <f>F88+F94-F100</f>
        <v>882710.01696060807</v>
      </c>
      <c r="G106" s="207">
        <f>G88+G94-G100</f>
        <v>949149.0856551847</v>
      </c>
      <c r="H106" s="207">
        <f>H88+H94-H100</f>
        <v>956356.14738222794</v>
      </c>
      <c r="I106" s="206"/>
      <c r="J106" s="207">
        <f>J88+J94-J100</f>
        <v>995578.88712328742</v>
      </c>
      <c r="K106" s="207">
        <f>K88+K94-K100</f>
        <v>1024786.7024815206</v>
      </c>
      <c r="L106" s="207">
        <f>L88+L94-L100</f>
        <v>1056948.7594406859</v>
      </c>
      <c r="M106" s="207">
        <f>M88+M94-M100</f>
        <v>1079704.1643946948</v>
      </c>
      <c r="N106" s="208">
        <f>N88+N94-N100</f>
        <v>1100981.848359785</v>
      </c>
      <c r="O106" s="19"/>
      <c r="P106" s="19"/>
    </row>
    <row r="107" ht="14.25">
      <c r="B107" s="209" t="s">
        <v>906</v>
      </c>
      <c r="C107" s="241"/>
      <c r="D107" s="242"/>
      <c r="E107" s="242"/>
      <c r="F107" s="242">
        <f>F$32/F106</f>
        <v>2.1427750491749635</v>
      </c>
      <c r="G107" s="242">
        <f>G$32/G106</f>
        <v>2.0012915027872409</v>
      </c>
      <c r="H107" s="242">
        <f>H$32/H106</f>
        <v>2.0575399712608848</v>
      </c>
      <c r="I107" s="242"/>
      <c r="J107" s="242">
        <f>J$32/J106</f>
        <v>2.0413222400409645</v>
      </c>
      <c r="K107" s="242">
        <f>K$32/K106</f>
        <v>2.0508998442589563</v>
      </c>
      <c r="L107" s="242">
        <f>L$32/L106</f>
        <v>2.050044560934321</v>
      </c>
      <c r="M107" s="242">
        <f>M$32/M106</f>
        <v>2.0641042020015052</v>
      </c>
      <c r="N107" s="243">
        <f>N$32/N106</f>
        <v>2.0707104945709318</v>
      </c>
      <c r="O107" s="19"/>
      <c r="P107" s="19"/>
    </row>
    <row r="108" ht="14.25">
      <c r="B108" s="213" t="s">
        <v>18</v>
      </c>
      <c r="C108" s="244"/>
      <c r="D108" s="245"/>
      <c r="E108" s="245"/>
      <c r="F108" s="245" t="e">
        <f>F106/E106-1</f>
        <v>#DIV/0!</v>
      </c>
      <c r="G108" s="245">
        <f>G106/F106-1</f>
        <v>0.075267151633039209</v>
      </c>
      <c r="H108" s="245">
        <f>H106/G106-1</f>
        <v>0.007593181973165164</v>
      </c>
      <c r="I108" s="245"/>
      <c r="J108" s="245">
        <f>J106/H106-1</f>
        <v>0.041012691609105367</v>
      </c>
      <c r="K108" s="245">
        <f>K106/J106-1</f>
        <v>0.029337519844990778</v>
      </c>
      <c r="L108" s="245">
        <f>L106/K106-1</f>
        <v>0.031384147434080578</v>
      </c>
      <c r="M108" s="245">
        <f>M106/L106-1</f>
        <v>0.0215293359784543</v>
      </c>
      <c r="N108" s="246">
        <f>N106/M106-1</f>
        <v>0.019706957393295754</v>
      </c>
      <c r="O108" s="19"/>
      <c r="P108" s="19"/>
    </row>
    <row r="109" ht="14.25">
      <c r="D109" s="19"/>
      <c r="E109" s="19"/>
      <c r="F109" s="19"/>
      <c r="G109" s="19"/>
      <c r="H109" s="19"/>
      <c r="J109" s="19"/>
      <c r="K109" s="19"/>
      <c r="L109" s="19"/>
      <c r="M109" s="19"/>
      <c r="N109" s="19"/>
      <c r="O109" s="19"/>
      <c r="P109" s="19"/>
    </row>
    <row r="110" ht="14.25">
      <c r="B110" s="217" t="s">
        <v>907</v>
      </c>
      <c r="C110" s="217"/>
      <c r="D110" s="229"/>
      <c r="E110" s="229"/>
      <c r="F110" s="219">
        <f>F113+F115+F117</f>
        <v>1336959</v>
      </c>
      <c r="G110" s="219">
        <f>G113+G115+G117</f>
        <v>1483663</v>
      </c>
      <c r="H110" s="219">
        <f>H113+H115+H117</f>
        <v>1624304</v>
      </c>
      <c r="I110" s="219"/>
      <c r="J110" s="219">
        <f>J113+J115+J117</f>
        <v>1697714.6781538457</v>
      </c>
      <c r="K110" s="219">
        <f>K113+K115+K117</f>
        <v>1683313.741508808</v>
      </c>
      <c r="L110" s="219">
        <f>L113+L115+L117</f>
        <v>1742013.2415507736</v>
      </c>
      <c r="M110" s="219">
        <f>M113+M115+M117</f>
        <v>1718278.0814130679</v>
      </c>
      <c r="N110" s="219">
        <f>N113+N115+N117</f>
        <v>1764185.2198639</v>
      </c>
      <c r="O110" s="19"/>
      <c r="P110" s="19"/>
    </row>
    <row r="111" ht="14.25">
      <c r="B111" s="191" t="s">
        <v>906</v>
      </c>
      <c r="C111" s="172"/>
      <c r="D111" s="200"/>
      <c r="E111" s="200"/>
      <c r="F111" s="230">
        <f>F$29/F110</f>
        <v>1.6544628518899982</v>
      </c>
      <c r="G111" s="230">
        <f>G$29/G110</f>
        <v>1.503091335431294</v>
      </c>
      <c r="H111" s="230">
        <f>H$29/H110</f>
        <v>1.4334471872260366</v>
      </c>
      <c r="I111" s="230"/>
      <c r="J111" s="230">
        <f>J$29/J110</f>
        <v>1.4268292682926831</v>
      </c>
      <c r="K111" s="230">
        <f>K$29/K110</f>
        <v>1.4962205700123916</v>
      </c>
      <c r="L111" s="230">
        <f>L$29/L110</f>
        <v>1.4962205700123914</v>
      </c>
      <c r="M111" s="230">
        <f>M$29/M110</f>
        <v>1.565415244596132</v>
      </c>
      <c r="N111" s="231">
        <f>N$29/N110</f>
        <v>1.565415244596132</v>
      </c>
      <c r="O111" s="19"/>
      <c r="P111" s="19"/>
    </row>
    <row r="112" ht="14.25">
      <c r="B112" s="232"/>
      <c r="D112" s="19"/>
      <c r="E112" s="19"/>
      <c r="F112" s="19"/>
      <c r="G112" s="19"/>
      <c r="H112" s="19"/>
      <c r="J112" s="19"/>
      <c r="K112" s="19"/>
      <c r="L112" s="19"/>
      <c r="M112" s="19"/>
      <c r="N112" s="196"/>
      <c r="O112" s="19"/>
      <c r="P112" s="19"/>
    </row>
    <row r="113" ht="14.25">
      <c r="B113" s="197" t="s">
        <v>908</v>
      </c>
      <c r="C113" s="198"/>
      <c r="D113" s="200"/>
      <c r="E113" s="200"/>
      <c r="F113" s="220">
        <f>418612+68792-55324</f>
        <v>432080</v>
      </c>
      <c r="G113" s="176">
        <f>531655+93933-76184</f>
        <v>549404</v>
      </c>
      <c r="H113" s="176">
        <f>627854+115060-96819</f>
        <v>646095</v>
      </c>
      <c r="I113" s="180"/>
      <c r="J113" s="177">
        <f>J$29/J114</f>
        <v>672874.71999999986</v>
      </c>
      <c r="K113" s="177">
        <f>K$29/K114</f>
        <v>662791.74890263169</v>
      </c>
      <c r="L113" s="177">
        <f>L$29/L114</f>
        <v>685904.22243216645</v>
      </c>
      <c r="M113" s="177">
        <f>M$29/M114</f>
        <v>672454.67577485251</v>
      </c>
      <c r="N113" s="178">
        <f>N$29/N114</f>
        <v>690420.60936653195</v>
      </c>
      <c r="O113" s="19"/>
      <c r="P113" s="19"/>
    </row>
    <row r="114" ht="14.25">
      <c r="B114" s="201" t="s">
        <v>906</v>
      </c>
      <c r="D114" s="200"/>
      <c r="E114" s="200"/>
      <c r="F114" s="247">
        <f>F$29/F113</f>
        <v>5.1193042955008332</v>
      </c>
      <c r="G114" s="247">
        <f>G$29/G113</f>
        <v>4.0590913062154623</v>
      </c>
      <c r="H114" s="247">
        <f>H$29/H113</f>
        <v>3.6037331971304529</v>
      </c>
      <c r="I114" s="234"/>
      <c r="J114" s="235">
        <v>3.6000000000000001</v>
      </c>
      <c r="K114" s="235">
        <v>3.7999999999999998</v>
      </c>
      <c r="L114" s="235">
        <v>3.7999999999999998</v>
      </c>
      <c r="M114" s="235">
        <v>4</v>
      </c>
      <c r="N114" s="235">
        <v>4</v>
      </c>
      <c r="O114" s="19"/>
      <c r="P114" s="19"/>
    </row>
    <row r="115" ht="14.25">
      <c r="B115" s="197" t="s">
        <v>909</v>
      </c>
      <c r="C115" s="172"/>
      <c r="D115" s="200"/>
      <c r="E115" s="200"/>
      <c r="F115" s="220">
        <v>365339</v>
      </c>
      <c r="G115" s="176">
        <v>375051</v>
      </c>
      <c r="H115" s="176">
        <v>387729</v>
      </c>
      <c r="I115" s="180"/>
      <c r="J115" s="177">
        <f>J$29/J116</f>
        <v>403724.83199999994</v>
      </c>
      <c r="K115" s="177">
        <f>K$29/K116</f>
        <v>406227.2009403226</v>
      </c>
      <c r="L115" s="177">
        <f>L$29/L116</f>
        <v>420392.91052294069</v>
      </c>
      <c r="M115" s="177">
        <f>M$29/M116</f>
        <v>420284.17235928279</v>
      </c>
      <c r="N115" s="178">
        <f>N$29/N116</f>
        <v>431512.88085408247</v>
      </c>
      <c r="O115" s="19"/>
    </row>
    <row r="116" ht="14.25">
      <c r="B116" s="201" t="s">
        <v>906</v>
      </c>
      <c r="D116" s="200"/>
      <c r="E116" s="200"/>
      <c r="F116" s="247">
        <f>F$29/F115</f>
        <v>6.0545110157962876</v>
      </c>
      <c r="G116" s="247">
        <f>G$29/G115</f>
        <v>5.946074000602585</v>
      </c>
      <c r="H116" s="247">
        <f>H$29/H115</f>
        <v>6.0051066595482929</v>
      </c>
      <c r="I116" s="234"/>
      <c r="J116" s="235">
        <v>6</v>
      </c>
      <c r="K116" s="235">
        <v>6.2000000000000002</v>
      </c>
      <c r="L116" s="235">
        <v>6.2000000000000002</v>
      </c>
      <c r="M116" s="235">
        <v>6.4000000000000004</v>
      </c>
      <c r="N116" s="235">
        <v>6.4000000000000004</v>
      </c>
      <c r="O116" s="19"/>
    </row>
    <row r="117" ht="14.25">
      <c r="B117" s="171" t="s">
        <v>910</v>
      </c>
      <c r="C117" s="172"/>
      <c r="D117" s="200"/>
      <c r="E117" s="200"/>
      <c r="F117" s="176">
        <f>502550+36990</f>
        <v>539540</v>
      </c>
      <c r="G117" s="220">
        <f>512383+46825</f>
        <v>559208</v>
      </c>
      <c r="H117" s="220">
        <f>558521+31959</f>
        <v>590480</v>
      </c>
      <c r="I117" s="180"/>
      <c r="J117" s="177">
        <f>J$29/J118</f>
        <v>621115.12615384604</v>
      </c>
      <c r="K117" s="177">
        <f>K$29/K118</f>
        <v>614294.79166585382</v>
      </c>
      <c r="L117" s="177">
        <f>L$29/L118</f>
        <v>635716.10859566648</v>
      </c>
      <c r="M117" s="177">
        <f>M$29/M118</f>
        <v>625539.23327893263</v>
      </c>
      <c r="N117" s="178">
        <f>N$29/N118</f>
        <v>642251.72964328551</v>
      </c>
    </row>
    <row r="118" ht="14.25">
      <c r="B118" s="203" t="s">
        <v>906</v>
      </c>
      <c r="C118" s="100"/>
      <c r="D118" s="204"/>
      <c r="E118" s="204"/>
      <c r="F118" s="248">
        <f>F$29/F117</f>
        <v>4.0996941839344627</v>
      </c>
      <c r="G118" s="248">
        <f>G$29/G117</f>
        <v>3.9879275689904294</v>
      </c>
      <c r="H118" s="248">
        <f>H$29/H117</f>
        <v>3.9431547215824416</v>
      </c>
      <c r="I118" s="238"/>
      <c r="J118" s="235">
        <v>3.8999999999999999</v>
      </c>
      <c r="K118" s="235">
        <v>4.0999999999999996</v>
      </c>
      <c r="L118" s="235">
        <v>4.0999999999999996</v>
      </c>
      <c r="M118" s="235">
        <v>4.2999999999999998</v>
      </c>
      <c r="N118" s="235">
        <v>4.2999999999999998</v>
      </c>
    </row>
    <row r="119" ht="14.25">
      <c r="D119" s="19"/>
      <c r="E119" s="19"/>
      <c r="F119" s="19"/>
      <c r="G119" s="19"/>
      <c r="H119" s="19"/>
      <c r="J119" s="19"/>
      <c r="K119" s="19"/>
      <c r="L119" s="19"/>
      <c r="M119" s="19"/>
      <c r="N119" s="19"/>
    </row>
    <row r="120" ht="14.25">
      <c r="B120" s="217" t="s">
        <v>911</v>
      </c>
      <c r="C120" s="217"/>
      <c r="D120" s="249"/>
      <c r="E120" s="249"/>
      <c r="F120" s="224">
        <f>98170+51436</f>
        <v>149606</v>
      </c>
      <c r="G120" s="224">
        <f>90303+27636</f>
        <v>117939</v>
      </c>
      <c r="H120" s="224">
        <f>99792+104234</f>
        <v>204026</v>
      </c>
      <c r="I120" s="219"/>
      <c r="J120" s="250">
        <f>J$29/J121</f>
        <v>212486.75368421047</v>
      </c>
      <c r="K120" s="250">
        <f ca="1">K$29/K121</f>
        <v>213441.41066355933</v>
      </c>
      <c r="L120" s="250">
        <f ca="1">L$29/L121</f>
        <v>220884.41061374848</v>
      </c>
      <c r="M120" s="250">
        <f ca="1">M$29/M121</f>
        <v>220476.94287700084</v>
      </c>
      <c r="N120" s="251">
        <f ca="1">N$29/N121</f>
        <v>226367.41290705968</v>
      </c>
    </row>
    <row r="121" ht="14.25">
      <c r="B121" s="225" t="s">
        <v>906</v>
      </c>
      <c r="C121" s="226"/>
      <c r="D121" s="252"/>
      <c r="E121" s="252"/>
      <c r="F121" s="253">
        <f>F$29/F120</f>
        <v>14.785162359798404</v>
      </c>
      <c r="G121" s="253">
        <f>G$29/G120</f>
        <v>18.908766396187861</v>
      </c>
      <c r="H121" s="253">
        <f>H$29/H120</f>
        <v>11.412045523609736</v>
      </c>
      <c r="I121" s="253"/>
      <c r="J121" s="235">
        <v>11.4</v>
      </c>
      <c r="K121" s="235">
        <v>11.800000000000001</v>
      </c>
      <c r="L121" s="235">
        <v>11.800000000000001</v>
      </c>
      <c r="M121" s="235">
        <v>12.199999999999999</v>
      </c>
      <c r="N121" s="235">
        <v>12.199999999999999</v>
      </c>
    </row>
    <row r="122" ht="14.25">
      <c r="A122" s="25"/>
      <c r="B122" s="221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</row>
    <row r="123" ht="14.25">
      <c r="A123" s="25"/>
      <c r="B123" s="254" t="s">
        <v>912</v>
      </c>
      <c r="C123" s="206"/>
      <c r="D123" s="207"/>
      <c r="E123" s="207"/>
      <c r="F123" s="207">
        <f>F110-F120</f>
        <v>1187353</v>
      </c>
      <c r="G123" s="207">
        <f>G110-G120</f>
        <v>1365724</v>
      </c>
      <c r="H123" s="207">
        <f>H110-H120</f>
        <v>1420278</v>
      </c>
      <c r="I123" s="206"/>
      <c r="J123" s="207">
        <f>J110-J120</f>
        <v>1485227.9244696354</v>
      </c>
      <c r="K123" s="207">
        <f>K110-K120</f>
        <v>1469872.3308452487</v>
      </c>
      <c r="L123" s="207">
        <f>L110-L120</f>
        <v>1521128.8309370251</v>
      </c>
      <c r="M123" s="207">
        <f>M110-M120</f>
        <v>1497801.138536067</v>
      </c>
      <c r="N123" s="208">
        <f>N110-N120</f>
        <v>1537817.8069568402</v>
      </c>
    </row>
    <row r="124" ht="14.25">
      <c r="A124" s="25"/>
      <c r="B124" s="209" t="s">
        <v>906</v>
      </c>
      <c r="C124" s="241"/>
      <c r="D124" s="242"/>
      <c r="E124" s="242"/>
      <c r="F124" s="242">
        <f>F$32/F123</f>
        <v>1.5929963540749887</v>
      </c>
      <c r="G124" s="242">
        <f>G$32/G123</f>
        <v>1.390854960445888</v>
      </c>
      <c r="H124" s="242">
        <f>H$32/H123</f>
        <v>1.385461860283691</v>
      </c>
      <c r="I124" s="242"/>
      <c r="J124" s="242">
        <f>J$32/J123</f>
        <v>1.3683403675067038</v>
      </c>
      <c r="K124" s="242">
        <f>K$32/K123</f>
        <v>1.4298758092203827</v>
      </c>
      <c r="L124" s="242">
        <f>L$32/L123</f>
        <v>1.4244632087756157</v>
      </c>
      <c r="M124" s="242">
        <f>M$32/M123</f>
        <v>1.4879291017389946</v>
      </c>
      <c r="N124" s="243">
        <f>N$32/N123</f>
        <v>1.4824998497333004</v>
      </c>
    </row>
    <row r="125" ht="14.25">
      <c r="A125" s="25"/>
      <c r="B125" s="213" t="s">
        <v>18</v>
      </c>
      <c r="C125" s="244"/>
      <c r="D125" s="245"/>
      <c r="E125" s="245"/>
      <c r="F125" s="245"/>
      <c r="G125" s="245">
        <f>G123/F123-1</f>
        <v>0.15022575426179063</v>
      </c>
      <c r="H125" s="245">
        <f>H123/G123-1</f>
        <v>0.03994511336111839</v>
      </c>
      <c r="I125" s="245"/>
      <c r="J125" s="245">
        <f>J123/H123-1</f>
        <v>0.045730430570378067</v>
      </c>
      <c r="K125" s="245">
        <f>K123/J123-1</f>
        <v>-0.01033888022935614</v>
      </c>
      <c r="L125" s="245">
        <f>L123/K123-1</f>
        <v>0.034871395981922682</v>
      </c>
      <c r="M125" s="245">
        <f>M123/L123-1</f>
        <v>-0.015335776908907972</v>
      </c>
      <c r="N125" s="246">
        <f>N123/M123-1</f>
        <v>0.026716943518873881</v>
      </c>
    </row>
    <row r="126" ht="14.25">
      <c r="A126" s="25"/>
      <c r="B126" s="184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</row>
    <row r="127" ht="14.25">
      <c r="A127" s="25"/>
      <c r="B127" s="254" t="s">
        <v>913</v>
      </c>
      <c r="C127" s="206"/>
      <c r="D127" s="207"/>
      <c r="E127" s="207"/>
      <c r="F127" s="207">
        <f>F106+F123</f>
        <v>2070063.0169606081</v>
      </c>
      <c r="G127" s="207">
        <f>G106+G123</f>
        <v>2314873.0856551845</v>
      </c>
      <c r="H127" s="207">
        <f>H106+H123</f>
        <v>2376634.1473822277</v>
      </c>
      <c r="I127" s="206"/>
      <c r="J127" s="207">
        <f>J106+J123</f>
        <v>2480806.8115929225</v>
      </c>
      <c r="K127" s="207">
        <f>K106+K123</f>
        <v>2494659.0333267692</v>
      </c>
      <c r="L127" s="207">
        <f>L106+L123</f>
        <v>2578077.5903777108</v>
      </c>
      <c r="M127" s="207">
        <f>M106+M123</f>
        <v>2577505.3029307621</v>
      </c>
      <c r="N127" s="208">
        <f>N106+N123</f>
        <v>2638799.6553166253</v>
      </c>
    </row>
    <row r="128" ht="14.25">
      <c r="A128" s="25"/>
      <c r="B128" s="209" t="s">
        <v>906</v>
      </c>
      <c r="C128" s="241"/>
      <c r="D128" s="242"/>
      <c r="E128" s="242"/>
      <c r="F128" s="242">
        <f>F$32/F127</f>
        <v>0.91371566203677224</v>
      </c>
      <c r="G128" s="242">
        <f>G$32/G127</f>
        <v>0.82057371169546123</v>
      </c>
      <c r="H128" s="242">
        <f>H$32/H127</f>
        <v>0.82795284338037134</v>
      </c>
      <c r="I128" s="242"/>
      <c r="J128" s="242">
        <f>J$32/J127</f>
        <v>0.81920821665878307</v>
      </c>
      <c r="K128" s="242">
        <f>K$32/K127</f>
        <v>0.84249384803309868</v>
      </c>
      <c r="L128" s="242">
        <f>L$32/L127</f>
        <v>0.84046813158955469</v>
      </c>
      <c r="M128" s="242">
        <f>M$32/M127</f>
        <v>0.86464299418183566</v>
      </c>
      <c r="N128" s="243">
        <f>N$32/N127</f>
        <v>0.86395898344816091</v>
      </c>
    </row>
    <row r="129" ht="14.25">
      <c r="A129" s="25"/>
      <c r="B129" s="213" t="s">
        <v>18</v>
      </c>
      <c r="C129" s="244"/>
      <c r="D129" s="245"/>
      <c r="E129" s="245"/>
      <c r="F129" s="245"/>
      <c r="G129" s="245">
        <f>G127/F127-1</f>
        <v>0.11826213341757175</v>
      </c>
      <c r="H129" s="245">
        <f>H127/G127-1</f>
        <v>0.026680107047666768</v>
      </c>
      <c r="I129" s="245"/>
      <c r="J129" s="245">
        <f>J127/H127-1</f>
        <v>0.043832015257980306</v>
      </c>
      <c r="K129" s="245">
        <f>K127/J127-1</f>
        <v>0.0055837567315255576</v>
      </c>
      <c r="L129" s="245">
        <f>L127/K127-1</f>
        <v>0.033438861157589983</v>
      </c>
      <c r="M129" s="245">
        <f>M127/L127-1</f>
        <v>-0.00022198224331360095</v>
      </c>
      <c r="N129" s="246">
        <f>N127/M127-1</f>
        <v>0.023780495161801696</v>
      </c>
    </row>
    <row r="130" ht="14.25">
      <c r="A130" s="25"/>
      <c r="B130" s="221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</row>
    <row r="131" ht="14.25">
      <c r="A131" s="25" t="s">
        <v>10</v>
      </c>
      <c r="B131" s="21" t="s">
        <v>914</v>
      </c>
      <c r="C131" s="21"/>
      <c r="D131" s="21"/>
      <c r="E131" s="154"/>
      <c r="F131" s="21"/>
      <c r="G131" s="21"/>
      <c r="H131" s="21"/>
      <c r="I131" s="21"/>
      <c r="J131" s="21"/>
      <c r="K131" s="21"/>
      <c r="L131" s="21"/>
      <c r="M131" s="21"/>
      <c r="N131" s="21"/>
    </row>
    <row r="132" ht="14.25">
      <c r="B132" s="19"/>
      <c r="D132" s="19"/>
      <c r="E132" s="155"/>
      <c r="F132" s="19"/>
      <c r="G132" s="19"/>
      <c r="H132" s="19"/>
      <c r="J132" s="19"/>
      <c r="K132" s="19"/>
      <c r="L132" s="19"/>
      <c r="M132" s="19"/>
      <c r="N132" s="19"/>
      <c r="O132" s="19"/>
      <c r="P132" s="19"/>
    </row>
    <row r="133" ht="14.25">
      <c r="B133" s="19"/>
      <c r="C133" s="19"/>
      <c r="D133" s="54"/>
      <c r="E133" s="156"/>
      <c r="F133" s="55" t="s">
        <v>881</v>
      </c>
      <c r="G133" s="100"/>
      <c r="H133" s="100"/>
      <c r="I133" s="19"/>
      <c r="J133" s="54"/>
      <c r="K133" s="54"/>
      <c r="L133" s="55" t="s">
        <v>882</v>
      </c>
      <c r="M133" s="100"/>
      <c r="N133" s="100"/>
      <c r="O133" s="19"/>
      <c r="P133" s="19"/>
    </row>
    <row r="134" ht="14.25">
      <c r="B134" s="149" t="s">
        <v>883</v>
      </c>
      <c r="C134" s="149"/>
      <c r="D134" s="158"/>
      <c r="E134" s="159"/>
      <c r="F134" s="158">
        <f>G134-1</f>
        <v>2024</v>
      </c>
      <c r="G134" s="158">
        <f>H134-1</f>
        <v>2025</v>
      </c>
      <c r="H134" s="158">
        <v>2026</v>
      </c>
      <c r="I134" s="149"/>
      <c r="J134" s="158">
        <f>H134+1</f>
        <v>2027</v>
      </c>
      <c r="K134" s="158">
        <f>J134+1</f>
        <v>2028</v>
      </c>
      <c r="L134" s="158">
        <f>K134+1</f>
        <v>2029</v>
      </c>
      <c r="M134" s="158">
        <f>L134+1</f>
        <v>2030</v>
      </c>
      <c r="N134" s="158">
        <f>M134+1</f>
        <v>2031</v>
      </c>
      <c r="O134" s="19"/>
      <c r="P134" s="19"/>
    </row>
    <row r="135" ht="14.25"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</row>
    <row r="136" ht="14.25">
      <c r="B136" s="255" t="s">
        <v>915</v>
      </c>
      <c r="C136" s="256"/>
      <c r="D136" s="257"/>
      <c r="E136" s="257"/>
      <c r="F136" s="258">
        <v>74707</v>
      </c>
      <c r="G136" s="258">
        <v>85399</v>
      </c>
      <c r="H136" s="258">
        <v>89951</v>
      </c>
      <c r="I136" s="259"/>
      <c r="J136" s="250">
        <f>J123*J137</f>
        <v>93569.359241587023</v>
      </c>
      <c r="K136" s="250">
        <f>K123*K137</f>
        <v>92601.956843250664</v>
      </c>
      <c r="L136" s="250">
        <f>L123*L137</f>
        <v>95831.116349032585</v>
      </c>
      <c r="M136" s="250">
        <f>M123*M137</f>
        <v>94361.471727772223</v>
      </c>
      <c r="N136" s="250">
        <f>N123*N137</f>
        <v>96882.52183828094</v>
      </c>
      <c r="O136" s="19"/>
      <c r="P136" s="19"/>
    </row>
    <row r="137" ht="14.25">
      <c r="B137" s="260" t="s">
        <v>916</v>
      </c>
      <c r="C137" s="261"/>
      <c r="D137" s="262"/>
      <c r="E137" s="262"/>
      <c r="F137" s="263">
        <f>F136/F$123</f>
        <v>0.062918946598020969</v>
      </c>
      <c r="G137" s="263">
        <f>G136/G$123</f>
        <v>0.06253020376005694</v>
      </c>
      <c r="H137" s="263">
        <f>H136/H$123</f>
        <v>0.063333375578583914</v>
      </c>
      <c r="I137" s="264"/>
      <c r="J137" s="182">
        <v>0.063</v>
      </c>
      <c r="K137" s="182">
        <f>J137</f>
        <v>0.063</v>
      </c>
      <c r="L137" s="182">
        <f>K137</f>
        <v>0.063</v>
      </c>
      <c r="M137" s="182">
        <f>L137</f>
        <v>0.063</v>
      </c>
      <c r="N137" s="182">
        <f>M137</f>
        <v>0.063</v>
      </c>
      <c r="O137" s="19"/>
      <c r="P137" s="19"/>
    </row>
    <row r="138" ht="14.25">
      <c r="B138" s="265" t="s">
        <v>890</v>
      </c>
      <c r="C138" s="266"/>
      <c r="D138" s="267"/>
      <c r="E138" s="267"/>
      <c r="F138" s="268">
        <f>F136/F$29</f>
        <v>0.033774286839343942</v>
      </c>
      <c r="G138" s="268">
        <f>G136/G$29</f>
        <v>0.038294124742554198</v>
      </c>
      <c r="H138" s="268">
        <f>H136/H$29</f>
        <v>0.03863287111839523</v>
      </c>
      <c r="I138" s="269"/>
      <c r="J138" s="268">
        <f>J136/J$29</f>
        <v>0.03862753036437247</v>
      </c>
      <c r="K138" s="268">
        <f>K136/K$29</f>
        <v>0.036767108298690822</v>
      </c>
      <c r="L138" s="268">
        <f>L136/L$29</f>
        <v>0.036767108298690829</v>
      </c>
      <c r="M138" s="268">
        <f>M136/M$29</f>
        <v>0.035080978364468163</v>
      </c>
      <c r="N138" s="270">
        <f>N136/N$29</f>
        <v>0.03508097836446817</v>
      </c>
      <c r="O138" s="19"/>
      <c r="P138" s="19"/>
    </row>
    <row r="139" ht="14.25">
      <c r="B139" s="19"/>
      <c r="G139" s="19"/>
      <c r="H139" s="19"/>
      <c r="J139" s="19"/>
      <c r="K139" s="19"/>
      <c r="L139" s="19"/>
      <c r="M139" s="19"/>
      <c r="N139" s="19"/>
      <c r="O139" s="19"/>
      <c r="P139" s="19"/>
    </row>
    <row r="140" ht="14.25">
      <c r="B140" s="255" t="s">
        <v>917</v>
      </c>
      <c r="C140" s="256"/>
      <c r="D140" s="257"/>
      <c r="E140" s="257"/>
      <c r="F140" s="258">
        <v>113497</v>
      </c>
      <c r="G140" s="258">
        <v>261144</v>
      </c>
      <c r="H140" s="258">
        <v>164665</v>
      </c>
      <c r="I140" s="259"/>
      <c r="J140" s="250">
        <f>J123*J141</f>
        <v>163375.07169165989</v>
      </c>
      <c r="K140" s="250">
        <f>K123*K141</f>
        <v>146987.23308452487</v>
      </c>
      <c r="L140" s="250">
        <f>L123*L141</f>
        <v>152112.88309370252</v>
      </c>
      <c r="M140" s="250">
        <f>M123*M141</f>
        <v>134802.10246824601</v>
      </c>
      <c r="N140" s="250">
        <f>N123*N141</f>
        <v>123025.42455654722</v>
      </c>
      <c r="O140" s="19"/>
      <c r="P140" s="19"/>
    </row>
    <row r="141" ht="14.25">
      <c r="B141" s="260" t="s">
        <v>916</v>
      </c>
      <c r="C141" s="261"/>
      <c r="D141" s="262"/>
      <c r="E141" s="262"/>
      <c r="F141" s="263">
        <f>F140/F$123</f>
        <v>0.095588253872268825</v>
      </c>
      <c r="G141" s="263">
        <f>G140/G$123</f>
        <v>0.19121286584990818</v>
      </c>
      <c r="H141" s="263">
        <f>H140/H$123</f>
        <v>0.11593856977295994</v>
      </c>
      <c r="I141" s="264"/>
      <c r="J141" s="182">
        <v>0.11</v>
      </c>
      <c r="K141" s="182">
        <v>0.10000000000000001</v>
      </c>
      <c r="L141" s="182">
        <v>0.10000000000000001</v>
      </c>
      <c r="M141" s="182">
        <v>0.089999999999999997</v>
      </c>
      <c r="N141" s="182">
        <v>0.080000000000000002</v>
      </c>
      <c r="O141" s="19"/>
      <c r="P141" s="19"/>
    </row>
    <row r="142" ht="14.25">
      <c r="B142" s="265" t="s">
        <v>890</v>
      </c>
      <c r="C142" s="266"/>
      <c r="D142" s="267"/>
      <c r="E142" s="267"/>
      <c r="F142" s="268">
        <f>F140/F$29</f>
        <v>0.051310857528812828</v>
      </c>
      <c r="G142" s="268">
        <f>G140/G$29</f>
        <v>0.11710067930268003</v>
      </c>
      <c r="H142" s="268">
        <f>H140/H$29</f>
        <v>0.070721634253210638</v>
      </c>
      <c r="I142" s="269"/>
      <c r="J142" s="268">
        <f>J140/J$29</f>
        <v>0.067444894286999554</v>
      </c>
      <c r="K142" s="268">
        <f>K140/K$29</f>
        <v>0.058360489363001311</v>
      </c>
      <c r="L142" s="268">
        <f>L140/L$29</f>
        <v>0.058360489363001318</v>
      </c>
      <c r="M142" s="268">
        <f>M140/M$29</f>
        <v>0.050115683377811658</v>
      </c>
      <c r="N142" s="270">
        <f>N140/N$29</f>
        <v>0.044547274113610369</v>
      </c>
    </row>
    <row r="143" ht="14.25">
      <c r="A143" s="25"/>
      <c r="B143" s="35"/>
      <c r="C143" s="37"/>
      <c r="D143" s="37"/>
      <c r="E143" s="271"/>
      <c r="F143" s="271"/>
      <c r="G143" s="271"/>
      <c r="H143" s="271"/>
      <c r="I143" s="37"/>
      <c r="J143" s="271"/>
      <c r="K143" s="271"/>
      <c r="L143" s="271"/>
      <c r="M143" s="271"/>
      <c r="N143" s="271"/>
      <c r="O143" s="19"/>
    </row>
    <row r="144" ht="14.25">
      <c r="A144" s="25" t="s">
        <v>10</v>
      </c>
      <c r="B144" s="21" t="s">
        <v>918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19"/>
    </row>
    <row r="145" ht="14.25">
      <c r="A145" s="25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</row>
    <row r="146" ht="14.25">
      <c r="A146" s="25"/>
      <c r="B146" s="19"/>
      <c r="C146" s="19"/>
      <c r="D146" s="54"/>
      <c r="E146" s="54"/>
      <c r="F146" s="55" t="s">
        <v>881</v>
      </c>
      <c r="G146" s="100"/>
      <c r="H146" s="19"/>
      <c r="I146" s="19"/>
      <c r="J146" s="54"/>
      <c r="K146" s="54"/>
      <c r="L146" s="55" t="s">
        <v>882</v>
      </c>
      <c r="M146" s="100"/>
      <c r="N146" s="19"/>
    </row>
    <row r="147" ht="14.25">
      <c r="A147" s="25"/>
      <c r="B147" s="149" t="s">
        <v>883</v>
      </c>
      <c r="C147" s="149"/>
      <c r="D147" s="158"/>
      <c r="E147" s="158"/>
      <c r="F147" s="158">
        <f>G147-1</f>
        <v>2024</v>
      </c>
      <c r="G147" s="158">
        <f>H147-1</f>
        <v>2025</v>
      </c>
      <c r="H147" s="158">
        <v>2026</v>
      </c>
      <c r="I147" s="149"/>
      <c r="J147" s="158">
        <f>H147+1</f>
        <v>2027</v>
      </c>
      <c r="K147" s="158">
        <f>J147+1</f>
        <v>2028</v>
      </c>
      <c r="L147" s="158">
        <f>K147+1</f>
        <v>2029</v>
      </c>
      <c r="M147" s="158">
        <f>L147+1</f>
        <v>2030</v>
      </c>
      <c r="N147" s="158">
        <f>M147+1</f>
        <v>2031</v>
      </c>
    </row>
    <row r="148" ht="14.25">
      <c r="A148" s="25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</row>
    <row r="149" ht="14.25">
      <c r="A149" s="25"/>
      <c r="B149" s="26" t="s">
        <v>844</v>
      </c>
      <c r="C149" s="26"/>
      <c r="D149" s="200"/>
      <c r="E149" s="200"/>
      <c r="F149" s="272">
        <f>F29</f>
        <v>2211949</v>
      </c>
      <c r="G149" s="272">
        <f>G29</f>
        <v>2230081</v>
      </c>
      <c r="H149" s="272">
        <f>H29</f>
        <v>2328354</v>
      </c>
      <c r="I149" s="273"/>
      <c r="J149" s="272">
        <f>J29</f>
        <v>2422348.9919999996</v>
      </c>
      <c r="K149" s="272">
        <f>K29</f>
        <v>2518608.6458300003</v>
      </c>
      <c r="L149" s="272">
        <f>L29</f>
        <v>2606436.0452422323</v>
      </c>
      <c r="M149" s="272">
        <f>M29</f>
        <v>2689818.70309941</v>
      </c>
      <c r="N149" s="272">
        <f>N29</f>
        <v>2761682.4374661278</v>
      </c>
    </row>
    <row r="150" ht="14.25">
      <c r="B150" s="35" t="s">
        <v>18</v>
      </c>
      <c r="C150" s="172"/>
      <c r="D150" s="200"/>
      <c r="E150" s="200"/>
      <c r="F150" s="172"/>
      <c r="G150" s="172">
        <f>G149/F149-1</f>
        <v>0.008197295688101347</v>
      </c>
      <c r="H150" s="172">
        <f>H149/G149-1</f>
        <v>0.044067009225225551</v>
      </c>
      <c r="I150" s="172"/>
      <c r="J150" s="172">
        <f>J149/H149-1</f>
        <v>0.040369716976026648</v>
      </c>
      <c r="K150" s="172">
        <f>K149/J149-1</f>
        <v>0.039738144316903146</v>
      </c>
      <c r="L150" s="172">
        <f>L149/K149-1</f>
        <v>0.034871395981922682</v>
      </c>
      <c r="M150" s="172">
        <f>M149/L149-1</f>
        <v>0.03199106228191706</v>
      </c>
      <c r="N150" s="172">
        <f>N149/M149-1</f>
        <v>0.026716943518873881</v>
      </c>
    </row>
    <row r="151" ht="14.25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</row>
    <row r="152" ht="14.25">
      <c r="B152" s="26" t="s">
        <v>894</v>
      </c>
      <c r="C152" s="19"/>
      <c r="D152" s="200"/>
      <c r="E152" s="200"/>
      <c r="F152" s="272">
        <f>F79</f>
        <v>477651</v>
      </c>
      <c r="G152" s="272">
        <f>G79</f>
        <v>433283</v>
      </c>
      <c r="H152" s="272">
        <f>H79</f>
        <v>438174</v>
      </c>
      <c r="I152" s="272"/>
      <c r="J152" s="272">
        <f>J79</f>
        <v>474202.02726899972</v>
      </c>
      <c r="K152" s="272">
        <f>K79</f>
        <v>516090.10525768029</v>
      </c>
      <c r="L152" s="272">
        <f>L79</f>
        <v>549619.77391828632</v>
      </c>
      <c r="M152" s="272">
        <f>M79</f>
        <v>582415.68209497281</v>
      </c>
      <c r="N152" s="272">
        <f>N79</f>
        <v>610135.32238461298</v>
      </c>
    </row>
    <row r="153" ht="14.25">
      <c r="B153" s="35" t="s">
        <v>20</v>
      </c>
      <c r="D153" s="200"/>
      <c r="E153" s="200"/>
      <c r="F153" s="172">
        <f>F152/F$149</f>
        <v>0.21594123553481567</v>
      </c>
      <c r="G153" s="172">
        <f>G152/G$149</f>
        <v>0.19429025223747479</v>
      </c>
      <c r="H153" s="172">
        <f>H152/H$149</f>
        <v>0.18819045557505432</v>
      </c>
      <c r="I153" s="172"/>
      <c r="J153" s="172">
        <f>J152/J$149</f>
        <v>0.19576123375908661</v>
      </c>
      <c r="K153" s="172">
        <f>K152/K$149</f>
        <v>0.2049107971229108</v>
      </c>
      <c r="L153" s="172">
        <f>L152/L$149</f>
        <v>0.21087023213999742</v>
      </c>
      <c r="M153" s="172">
        <f>M152/M$149</f>
        <v>0.21652599910316259</v>
      </c>
      <c r="N153" s="172">
        <f>N152/N$149</f>
        <v>0.22092884906217475</v>
      </c>
      <c r="O153" s="19"/>
      <c r="P153" s="19"/>
      <c r="Q153" s="19"/>
    </row>
    <row r="154" ht="14.25">
      <c r="B154" s="19"/>
      <c r="D154" s="19"/>
      <c r="E154" s="19"/>
      <c r="F154" s="19"/>
      <c r="G154" s="19"/>
      <c r="H154" s="19"/>
      <c r="J154" s="19"/>
      <c r="K154" s="19"/>
      <c r="L154" s="19"/>
      <c r="M154" s="19"/>
      <c r="N154" s="19"/>
      <c r="O154" s="19"/>
      <c r="P154" s="19"/>
      <c r="Q154" s="19"/>
    </row>
    <row r="155" ht="14.25">
      <c r="B155" s="19" t="s">
        <v>919</v>
      </c>
      <c r="C155" s="19"/>
      <c r="D155" s="200"/>
      <c r="E155" s="200"/>
      <c r="F155" s="126">
        <f>F136</f>
        <v>74707</v>
      </c>
      <c r="G155" s="126">
        <f>G136</f>
        <v>85399</v>
      </c>
      <c r="H155" s="126">
        <f>H136</f>
        <v>89951</v>
      </c>
      <c r="I155" s="121"/>
      <c r="J155" s="126">
        <f>J136</f>
        <v>93569.359241587023</v>
      </c>
      <c r="K155" s="126">
        <f>K136</f>
        <v>92601.956843250664</v>
      </c>
      <c r="L155" s="126">
        <f>L136</f>
        <v>95831.116349032585</v>
      </c>
      <c r="M155" s="126">
        <f>M136</f>
        <v>94361.471727772223</v>
      </c>
      <c r="N155" s="126">
        <f>N136</f>
        <v>96882.52183828094</v>
      </c>
      <c r="O155" s="19"/>
      <c r="P155" s="19"/>
      <c r="Q155" s="19"/>
    </row>
    <row r="156" ht="14.25">
      <c r="B156" s="35" t="s">
        <v>890</v>
      </c>
      <c r="D156" s="200"/>
      <c r="E156" s="200"/>
      <c r="F156" s="172">
        <f>F155/F$149</f>
        <v>0.033774286839343942</v>
      </c>
      <c r="G156" s="172">
        <f>G155/G$149</f>
        <v>0.038294124742554198</v>
      </c>
      <c r="H156" s="172">
        <f>H155/H$149</f>
        <v>0.03863287111839523</v>
      </c>
      <c r="I156" s="172"/>
      <c r="J156" s="172">
        <f>J155/J$149</f>
        <v>0.03862753036437247</v>
      </c>
      <c r="K156" s="172">
        <f>K155/K$149</f>
        <v>0.036767108298690822</v>
      </c>
      <c r="L156" s="172">
        <f>L155/L$149</f>
        <v>0.036767108298690829</v>
      </c>
      <c r="M156" s="172">
        <f>M155/M$149</f>
        <v>0.035080978364468163</v>
      </c>
      <c r="N156" s="172">
        <f>N155/N$149</f>
        <v>0.03508097836446817</v>
      </c>
      <c r="O156" s="19"/>
      <c r="P156" s="19"/>
      <c r="Q156" s="19"/>
    </row>
    <row r="157" ht="14.25">
      <c r="B157" s="19"/>
      <c r="D157" s="19"/>
      <c r="E157" s="19"/>
      <c r="F157" s="19"/>
      <c r="G157" s="19"/>
      <c r="H157" s="19"/>
      <c r="J157" s="19"/>
      <c r="K157" s="19"/>
      <c r="L157" s="19"/>
      <c r="M157" s="19"/>
      <c r="N157" s="19"/>
      <c r="O157" s="19"/>
      <c r="P157" s="19"/>
      <c r="Q157" s="19"/>
    </row>
    <row r="158" ht="14.25">
      <c r="B158" s="19" t="s">
        <v>920</v>
      </c>
      <c r="D158" s="200"/>
      <c r="E158" s="200"/>
      <c r="F158" s="274">
        <v>122560</v>
      </c>
      <c r="G158" s="274">
        <v>111819</v>
      </c>
      <c r="H158" s="274">
        <v>117390</v>
      </c>
      <c r="J158" s="98">
        <f>J152*J159</f>
        <v>118550.50681724993</v>
      </c>
      <c r="K158" s="98">
        <f>K152*K159</f>
        <v>129022.52631442007</v>
      </c>
      <c r="L158" s="98">
        <f>L152*L159</f>
        <v>137404.94347957158</v>
      </c>
      <c r="M158" s="98">
        <f>M152*M159</f>
        <v>145603.9205237432</v>
      </c>
      <c r="N158" s="98">
        <f>N152*N159</f>
        <v>152533.83059615325</v>
      </c>
      <c r="O158" s="19"/>
      <c r="P158" s="19"/>
      <c r="Q158" s="19"/>
    </row>
    <row r="159" ht="14.25">
      <c r="B159" s="35" t="s">
        <v>921</v>
      </c>
      <c r="D159" s="200"/>
      <c r="E159" s="200"/>
      <c r="F159" s="172">
        <f>F158/F152</f>
        <v>0.25658901582954918</v>
      </c>
      <c r="G159" s="172">
        <f>G158/G152</f>
        <v>0.25807382242091198</v>
      </c>
      <c r="H159" s="172">
        <f>H158/H152</f>
        <v>0.26790726971477086</v>
      </c>
      <c r="I159" s="172"/>
      <c r="J159" s="275">
        <f>Data!D24</f>
        <v>0.25</v>
      </c>
      <c r="K159" s="275">
        <f>J159</f>
        <v>0.25</v>
      </c>
      <c r="L159" s="275">
        <f>K159</f>
        <v>0.25</v>
      </c>
      <c r="M159" s="275">
        <f>L159</f>
        <v>0.25</v>
      </c>
      <c r="N159" s="275">
        <f>M159</f>
        <v>0.25</v>
      </c>
    </row>
    <row r="160" ht="14.25">
      <c r="B160" s="19"/>
      <c r="D160" s="19"/>
      <c r="E160" s="19"/>
      <c r="F160" s="19"/>
      <c r="G160" s="19"/>
      <c r="H160" s="19"/>
      <c r="J160" s="19"/>
      <c r="K160" s="19"/>
      <c r="L160" s="19"/>
      <c r="M160" s="19"/>
      <c r="N160" s="19"/>
    </row>
    <row r="161" ht="14.25">
      <c r="B161" s="19" t="s">
        <v>922</v>
      </c>
      <c r="D161" s="200"/>
      <c r="E161" s="200"/>
      <c r="F161" s="200"/>
      <c r="G161" s="98">
        <f>G106-F106</f>
        <v>66439.068694576621</v>
      </c>
      <c r="H161" s="98">
        <f>H106-G106</f>
        <v>7207.0617270432413</v>
      </c>
      <c r="J161" s="98">
        <f>J106-H106</f>
        <v>39222.739741059486</v>
      </c>
      <c r="K161" s="98">
        <f>K106-J106</f>
        <v>29207.815358233172</v>
      </c>
      <c r="L161" s="98">
        <f>L106-K106</f>
        <v>32162.05695916526</v>
      </c>
      <c r="M161" s="98">
        <f>M106-L106</f>
        <v>22755.404954008991</v>
      </c>
      <c r="N161" s="98">
        <f>N106-M106</f>
        <v>21277.683965090197</v>
      </c>
    </row>
    <row r="162" ht="14.25">
      <c r="B162" s="35" t="s">
        <v>890</v>
      </c>
      <c r="D162" s="200"/>
      <c r="E162" s="200"/>
      <c r="F162" s="200"/>
      <c r="G162" s="172">
        <f>G161/G$149</f>
        <v>0.029792222208330828</v>
      </c>
      <c r="H162" s="172">
        <f>H161/H$149</f>
        <v>0.0030953462089713338</v>
      </c>
      <c r="I162" s="172"/>
      <c r="J162" s="172">
        <f>J161/J$149</f>
        <v>0.016192026776734363</v>
      </c>
      <c r="K162" s="172">
        <f>K161/K$149</f>
        <v>0.011596805802517929</v>
      </c>
      <c r="L162" s="172">
        <f>L161/L$149</f>
        <v>0.012339476741765302</v>
      </c>
      <c r="M162" s="172">
        <f>M161/M$149</f>
        <v>0.0084598285110399872</v>
      </c>
      <c r="N162" s="172">
        <f>N161/N$149</f>
        <v>0.007704609218072405</v>
      </c>
    </row>
    <row r="163" ht="14.25">
      <c r="D163" s="19"/>
      <c r="E163" s="19"/>
      <c r="F163" s="19"/>
      <c r="G163" s="19"/>
      <c r="H163" s="19"/>
      <c r="J163" s="19"/>
      <c r="K163" s="19"/>
      <c r="L163" s="19"/>
      <c r="M163" s="19"/>
      <c r="N163" s="19"/>
    </row>
    <row r="164" ht="14.25">
      <c r="B164" s="19" t="s">
        <v>917</v>
      </c>
      <c r="D164" s="200"/>
      <c r="E164" s="200"/>
      <c r="F164" s="126">
        <f>F142</f>
        <v>0.051310857528812828</v>
      </c>
      <c r="G164" s="126">
        <f>G142</f>
        <v>0.11710067930268003</v>
      </c>
      <c r="H164" s="126">
        <f>H142</f>
        <v>0.070721634253210638</v>
      </c>
      <c r="I164" s="121"/>
      <c r="J164" s="126">
        <f>J142</f>
        <v>0.067444894286999554</v>
      </c>
      <c r="K164" s="126">
        <f>K142</f>
        <v>0.058360489363001311</v>
      </c>
      <c r="L164" s="126">
        <f>L142</f>
        <v>0.058360489363001318</v>
      </c>
      <c r="M164" s="126">
        <f>M142</f>
        <v>0.050115683377811658</v>
      </c>
      <c r="N164" s="126">
        <f>N142</f>
        <v>0.044547274113610369</v>
      </c>
    </row>
    <row r="165" ht="14.25">
      <c r="B165" s="35" t="s">
        <v>890</v>
      </c>
      <c r="D165" s="200"/>
      <c r="E165" s="200"/>
      <c r="F165" s="172">
        <f>F164/F$149</f>
        <v>2.3197125037156294e-08</v>
      </c>
      <c r="G165" s="172">
        <f>G164/G$149</f>
        <v>5.250960808270194e-08</v>
      </c>
      <c r="H165" s="172">
        <f>H164/H$149</f>
        <v>3.0374090131144424e-08</v>
      </c>
      <c r="I165" s="172"/>
      <c r="J165" s="172">
        <f>J164/J$149</f>
        <v>2.7842765229016005e-08</v>
      </c>
      <c r="K165" s="172">
        <f>K164/K$149</f>
        <v>2.3171718027581368e-08</v>
      </c>
      <c r="L165" s="172">
        <f>L164/L$149</f>
        <v>2.2390915545206681e-08</v>
      </c>
      <c r="M165" s="172">
        <f>M164/M$149</f>
        <v>1.8631621276208923e-08</v>
      </c>
      <c r="N165" s="172">
        <f>N164/N$149</f>
        <v>1.6130483906934265e-08</v>
      </c>
    </row>
    <row r="166" ht="14.25">
      <c r="D166" s="19"/>
      <c r="E166" s="19"/>
      <c r="F166" s="19"/>
      <c r="G166" s="19"/>
      <c r="H166" s="19"/>
      <c r="J166" s="19"/>
      <c r="K166" s="19"/>
      <c r="L166" s="19"/>
      <c r="M166" s="19"/>
      <c r="N166" s="19"/>
    </row>
    <row r="167" ht="14.25">
      <c r="B167" s="205" t="s">
        <v>923</v>
      </c>
      <c r="C167" s="206"/>
      <c r="D167" s="207"/>
      <c r="E167" s="207"/>
      <c r="F167" s="207"/>
      <c r="G167" s="207">
        <f>G152+G155-G158-G161-G164</f>
        <v>340423.81420474406</v>
      </c>
      <c r="H167" s="207">
        <f>H152+H155-H158-H161-H164</f>
        <v>403527.8675513225</v>
      </c>
      <c r="I167" s="206"/>
      <c r="J167" s="207">
        <f>J152+J155-J158-J161-J164</f>
        <v>409998.07250738301</v>
      </c>
      <c r="K167" s="207">
        <f>K152+K155-K158-K161-K164</f>
        <v>450461.66206778836</v>
      </c>
      <c r="L167" s="207">
        <f>L152+L155-L158-L161-L164</f>
        <v>475883.83146809269</v>
      </c>
      <c r="M167" s="207">
        <f>M152+M155-M158-M161-M164</f>
        <v>508417.77822930948</v>
      </c>
      <c r="N167" s="208">
        <f>N152+N155-N158-N161-N164</f>
        <v>533206.28511437634</v>
      </c>
      <c r="P167" s="78"/>
      <c r="Q167" s="78"/>
      <c r="R167" s="78"/>
      <c r="S167" s="78"/>
      <c r="T167" s="78"/>
      <c r="U167" s="78"/>
    </row>
    <row r="168" ht="14.25">
      <c r="B168" s="209" t="s">
        <v>924</v>
      </c>
      <c r="C168" s="241"/>
      <c r="D168" s="276"/>
      <c r="E168" s="276"/>
      <c r="F168" s="276"/>
      <c r="G168" s="276">
        <f>G167/G$149</f>
        <v>0.1526508742080418</v>
      </c>
      <c r="H168" s="276">
        <f>H167/H$149</f>
        <v>0.17331035897089639</v>
      </c>
      <c r="I168" s="276"/>
      <c r="J168" s="276">
        <f>J167/J$149</f>
        <v>0.16925640106418782</v>
      </c>
      <c r="K168" s="276">
        <f>K167/K$149</f>
        <v>0.17885337716663796</v>
      </c>
      <c r="L168" s="276">
        <f>L167/L$149</f>
        <v>0.18258028327100803</v>
      </c>
      <c r="M168" s="276">
        <f>M167/M$149</f>
        <v>0.18901563054917886</v>
      </c>
      <c r="N168" s="277">
        <f>N167/N$149</f>
        <v>0.19307298981254289</v>
      </c>
    </row>
    <row r="169" ht="14.25">
      <c r="B169" s="213" t="s">
        <v>18</v>
      </c>
      <c r="C169" s="244"/>
      <c r="D169" s="245"/>
      <c r="E169" s="245"/>
      <c r="F169" s="245"/>
      <c r="G169" s="245"/>
      <c r="H169" s="245">
        <f>H167/G167-1</f>
        <v>0.18536909203603846</v>
      </c>
      <c r="I169" s="245"/>
      <c r="J169" s="215">
        <f>J167/H167-1</f>
        <v>0.016034096964164579</v>
      </c>
      <c r="K169" s="215">
        <f>K167/J167-1</f>
        <v>0.098692145826311695</v>
      </c>
      <c r="L169" s="215">
        <f>L167/K167-1</f>
        <v>0.05643581139315379</v>
      </c>
      <c r="M169" s="215">
        <f>M167/L167-1</f>
        <v>0.068365312309204063</v>
      </c>
      <c r="N169" s="216">
        <f>N167/M167-1</f>
        <v>0.048756176409485485</v>
      </c>
      <c r="P169" s="148"/>
    </row>
    <row r="170" ht="14.25">
      <c r="D170" s="19"/>
      <c r="E170" s="19"/>
      <c r="F170" s="19"/>
      <c r="G170" s="19"/>
      <c r="H170" s="19"/>
      <c r="J170" s="19"/>
      <c r="K170" s="19"/>
      <c r="L170" s="19"/>
      <c r="M170" s="19"/>
      <c r="N170" s="19"/>
      <c r="P170" s="78"/>
    </row>
    <row r="171" ht="14.25">
      <c r="B171" s="26" t="s">
        <v>925</v>
      </c>
      <c r="C171" s="26"/>
      <c r="D171" s="278"/>
      <c r="E171" s="278"/>
      <c r="F171" s="278"/>
      <c r="G171" s="278"/>
      <c r="H171" s="278"/>
      <c r="I171" s="26"/>
      <c r="J171" s="279">
        <f>J167*(1+J172)^(-J173)</f>
        <v>391917.34723559662</v>
      </c>
      <c r="K171" s="279">
        <f>K167*(1+K172)^(-K173)</f>
        <v>393455.70827305957</v>
      </c>
      <c r="L171" s="279">
        <f>L167*(1+L172)^(-L173)</f>
        <v>379808.17545421637</v>
      </c>
      <c r="M171" s="279">
        <f>M167*(1+M172)^(-M173)</f>
        <v>370774.13585222524</v>
      </c>
      <c r="N171" s="279">
        <f>N167*(1+N172)^(-N173)</f>
        <v>355311.53478912084</v>
      </c>
      <c r="P171" s="78"/>
    </row>
    <row r="172" ht="14.25">
      <c r="B172" s="191" t="s">
        <v>926</v>
      </c>
      <c r="C172" s="240"/>
      <c r="D172" s="280"/>
      <c r="E172" s="280"/>
      <c r="F172" s="280"/>
      <c r="G172" s="280"/>
      <c r="H172" s="280"/>
      <c r="I172" s="240"/>
      <c r="J172" s="281">
        <f>$D$21</f>
        <v>0.094396401340295005</v>
      </c>
      <c r="K172" s="281">
        <f>$D$21</f>
        <v>0.094396401340295005</v>
      </c>
      <c r="L172" s="281">
        <f>$D$21</f>
        <v>0.094396401340295005</v>
      </c>
      <c r="M172" s="281">
        <f>$D$21</f>
        <v>0.094396401340295005</v>
      </c>
      <c r="N172" s="282">
        <f>$D$21</f>
        <v>0.094396401340295005</v>
      </c>
      <c r="P172" s="148"/>
    </row>
    <row r="173" ht="14.25">
      <c r="B173" s="283" t="s">
        <v>927</v>
      </c>
      <c r="C173" s="100"/>
      <c r="D173" s="229"/>
      <c r="E173" s="229"/>
      <c r="F173" s="229"/>
      <c r="G173" s="229"/>
      <c r="H173" s="229"/>
      <c r="I173" s="100"/>
      <c r="J173" s="284">
        <v>0.5</v>
      </c>
      <c r="K173" s="284">
        <f>J173+1</f>
        <v>1.5</v>
      </c>
      <c r="L173" s="284">
        <f>K173+1</f>
        <v>2.5</v>
      </c>
      <c r="M173" s="284">
        <f>L173+1</f>
        <v>3.5</v>
      </c>
      <c r="N173" s="285">
        <f>M173+1</f>
        <v>4.5</v>
      </c>
      <c r="P173" s="78"/>
      <c r="Q173" s="78"/>
    </row>
    <row r="174" ht="14.25">
      <c r="D174" s="19"/>
      <c r="E174" s="19"/>
      <c r="F174" s="19"/>
      <c r="G174" s="19"/>
      <c r="H174" s="19"/>
      <c r="J174" s="19"/>
      <c r="K174" s="19"/>
      <c r="L174" s="19"/>
      <c r="M174" s="19"/>
      <c r="N174" s="19"/>
    </row>
    <row r="175" ht="14.25">
      <c r="B175" s="19" t="s">
        <v>928</v>
      </c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79">
        <f>(N167*(1+N176))/(N177-N176)</f>
        <v>8528465.2905620225</v>
      </c>
      <c r="P175" s="98"/>
      <c r="Q175" s="98"/>
      <c r="R175" s="98"/>
      <c r="S175" s="98"/>
      <c r="T175" s="98"/>
      <c r="U175" s="98"/>
    </row>
    <row r="176" ht="14.25">
      <c r="B176" s="191" t="s">
        <v>929</v>
      </c>
      <c r="C176" s="24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6">
        <f>D22</f>
        <v>0.029999999999999999</v>
      </c>
      <c r="U176" s="19"/>
      <c r="V176" s="19"/>
      <c r="W176" s="19"/>
      <c r="X176" s="19"/>
      <c r="Y176" s="19"/>
      <c r="Z176" s="19"/>
    </row>
    <row r="177" ht="14.25">
      <c r="B177" s="283" t="s">
        <v>930</v>
      </c>
      <c r="C177" s="100"/>
      <c r="D177" s="229"/>
      <c r="E177" s="229"/>
      <c r="F177" s="229"/>
      <c r="G177" s="229"/>
      <c r="H177" s="229"/>
      <c r="I177" s="229"/>
      <c r="J177" s="229"/>
      <c r="K177" s="229"/>
      <c r="L177" s="229"/>
      <c r="M177" s="229"/>
      <c r="N177" s="287">
        <f>$D$21</f>
        <v>0.094396401340295005</v>
      </c>
    </row>
    <row r="178" ht="14.25">
      <c r="B178" s="43"/>
      <c r="D178" s="19"/>
      <c r="E178" s="19"/>
      <c r="F178" s="19"/>
      <c r="G178" s="19"/>
      <c r="H178" s="19"/>
      <c r="J178" s="19"/>
      <c r="K178" s="19"/>
      <c r="L178" s="19"/>
      <c r="M178" s="19"/>
      <c r="N178" s="19"/>
    </row>
    <row r="179" ht="14.25">
      <c r="B179" s="26" t="s">
        <v>931</v>
      </c>
      <c r="C179" s="26"/>
      <c r="D179" s="278"/>
      <c r="E179" s="278"/>
      <c r="F179" s="278"/>
      <c r="G179" s="278"/>
      <c r="H179" s="278"/>
      <c r="I179" s="278"/>
      <c r="J179" s="278"/>
      <c r="K179" s="278"/>
      <c r="L179" s="278"/>
      <c r="M179" s="278"/>
      <c r="N179" s="279">
        <f>N175*(1+N180)^(-N181)</f>
        <v>5683095.2229592074</v>
      </c>
    </row>
    <row r="180" ht="14.25">
      <c r="B180" s="191" t="s">
        <v>926</v>
      </c>
      <c r="C180" s="240"/>
      <c r="D180" s="280"/>
      <c r="E180" s="280"/>
      <c r="F180" s="280"/>
      <c r="G180" s="280"/>
      <c r="H180" s="280"/>
      <c r="I180" s="280"/>
      <c r="J180" s="288"/>
      <c r="K180" s="288"/>
      <c r="L180" s="288"/>
      <c r="M180" s="288"/>
      <c r="N180" s="282">
        <f>$D$21</f>
        <v>0.094396401340295005</v>
      </c>
    </row>
    <row r="181" ht="14.25">
      <c r="B181" s="283" t="s">
        <v>927</v>
      </c>
      <c r="C181" s="100"/>
      <c r="D181" s="229"/>
      <c r="E181" s="229"/>
      <c r="F181" s="229"/>
      <c r="G181" s="229"/>
      <c r="H181" s="229"/>
      <c r="I181" s="229"/>
      <c r="J181" s="229"/>
      <c r="K181" s="229"/>
      <c r="L181" s="229"/>
      <c r="M181" s="229"/>
      <c r="N181" s="289">
        <f>N173</f>
        <v>4.5</v>
      </c>
    </row>
    <row r="182" ht="14.25">
      <c r="D182" s="19"/>
      <c r="E182" s="19"/>
      <c r="F182" s="19"/>
      <c r="G182" s="19"/>
      <c r="H182" s="19"/>
      <c r="J182" s="19"/>
      <c r="K182" s="19"/>
      <c r="L182" s="19"/>
      <c r="M182" s="19"/>
      <c r="N182" s="19"/>
    </row>
    <row r="183" ht="14.25">
      <c r="A183" s="25" t="s">
        <v>10</v>
      </c>
      <c r="B183" s="21" t="s">
        <v>871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</row>
    <row r="184" ht="14.25">
      <c r="D184" s="19"/>
      <c r="E184" s="19"/>
      <c r="F184" s="19"/>
      <c r="G184" s="19"/>
      <c r="H184" s="19"/>
      <c r="J184" s="19"/>
      <c r="K184" s="19"/>
      <c r="L184" s="19"/>
      <c r="M184" s="19"/>
      <c r="N184" s="19"/>
    </row>
    <row r="185" ht="14.25">
      <c r="B185" s="31" t="s">
        <v>12</v>
      </c>
      <c r="C185" s="290"/>
      <c r="D185" s="32" t="s">
        <v>13</v>
      </c>
      <c r="E185" s="19"/>
      <c r="F185" s="19"/>
      <c r="G185" s="19"/>
      <c r="H185" s="19"/>
      <c r="J185" s="19"/>
      <c r="K185" s="19"/>
      <c r="L185" s="19"/>
      <c r="M185" s="19"/>
      <c r="N185" s="19"/>
    </row>
    <row r="186" ht="14.25">
      <c r="B186" s="19" t="s">
        <v>932</v>
      </c>
      <c r="D186" s="123">
        <f>SUM(J171:N171)+N179</f>
        <v>7574362.1245634258</v>
      </c>
      <c r="E186" s="19"/>
      <c r="F186" s="78"/>
      <c r="G186" s="19"/>
      <c r="H186" s="19"/>
      <c r="J186" s="19"/>
      <c r="K186" s="19"/>
      <c r="L186" s="19"/>
      <c r="M186" s="19"/>
      <c r="N186" s="19"/>
    </row>
    <row r="187" ht="14.25">
      <c r="B187" s="19" t="s">
        <v>849</v>
      </c>
      <c r="D187" s="291">
        <f>Data!D26*1000</f>
        <v>481739.00800000003</v>
      </c>
      <c r="E187" s="19"/>
      <c r="F187" s="78"/>
      <c r="G187" s="19"/>
      <c r="H187" s="19"/>
      <c r="J187" s="19"/>
      <c r="K187" s="19"/>
      <c r="L187" s="19"/>
      <c r="M187" s="19"/>
      <c r="N187" s="19"/>
    </row>
    <row r="188" ht="14.25">
      <c r="B188" s="19" t="s">
        <v>850</v>
      </c>
      <c r="D188" s="291">
        <f>Data!D27*1000</f>
        <v>341004.99200000003</v>
      </c>
      <c r="E188" s="19"/>
      <c r="F188" s="78"/>
      <c r="G188" s="19"/>
      <c r="H188" s="19"/>
      <c r="J188" s="19"/>
      <c r="K188" s="19"/>
      <c r="L188" s="19"/>
      <c r="M188" s="19"/>
      <c r="N188" s="19"/>
    </row>
    <row r="189" ht="14.25">
      <c r="B189" s="19" t="s">
        <v>872</v>
      </c>
      <c r="D189" s="98">
        <f>D186-D187+D188</f>
        <v>7433628.108563425</v>
      </c>
      <c r="E189" s="19"/>
      <c r="F189" s="78"/>
      <c r="G189" s="19"/>
      <c r="H189" s="19"/>
      <c r="J189" s="19"/>
      <c r="K189" s="19"/>
      <c r="L189" s="19"/>
      <c r="M189" s="19"/>
      <c r="N189" s="19"/>
    </row>
    <row r="190" ht="14.25">
      <c r="B190" s="19" t="s">
        <v>933</v>
      </c>
      <c r="D190" s="292">
        <f>Data!D30*1000</f>
        <v>41138.325000000004</v>
      </c>
      <c r="E190" s="19"/>
      <c r="F190" s="78"/>
      <c r="G190" s="19"/>
      <c r="H190" s="19"/>
      <c r="J190" s="19"/>
      <c r="K190" s="19"/>
      <c r="L190" s="19"/>
      <c r="M190" s="19"/>
      <c r="N190" s="19"/>
    </row>
    <row r="191" ht="14.25">
      <c r="D191" s="19"/>
      <c r="E191" s="19"/>
      <c r="F191" s="19"/>
      <c r="G191" s="19"/>
      <c r="H191" s="19"/>
      <c r="J191" s="19"/>
      <c r="K191" s="19"/>
      <c r="L191" s="19"/>
      <c r="M191" s="19"/>
      <c r="N191" s="19"/>
    </row>
    <row r="192" ht="14.25">
      <c r="B192" s="293" t="s">
        <v>873</v>
      </c>
      <c r="C192" s="294"/>
      <c r="D192" s="295">
        <f>D189/D190</f>
        <v>180.69836602641027</v>
      </c>
      <c r="E192" s="19"/>
      <c r="F192" s="19"/>
      <c r="G192" s="19"/>
      <c r="H192" s="19"/>
      <c r="J192" s="19"/>
      <c r="K192" s="19"/>
      <c r="L192" s="19"/>
      <c r="M192" s="19"/>
      <c r="N192" s="19"/>
    </row>
    <row r="193" ht="14.25">
      <c r="D193" s="19"/>
      <c r="E193" s="19"/>
      <c r="F193" s="19"/>
      <c r="G193" s="19"/>
      <c r="H193" s="19"/>
      <c r="J193" s="19"/>
      <c r="K193" s="19"/>
      <c r="L193" s="19"/>
      <c r="M193" s="19"/>
      <c r="N193" s="19"/>
    </row>
    <row r="194" ht="14.25">
      <c r="A194" s="25" t="s">
        <v>10</v>
      </c>
      <c r="B194" s="21" t="s">
        <v>35</v>
      </c>
      <c r="C194" s="21"/>
      <c r="D194" s="21"/>
      <c r="E194" s="154"/>
      <c r="F194" s="21"/>
      <c r="G194" s="21"/>
      <c r="H194" s="21"/>
      <c r="I194" s="21"/>
      <c r="J194" s="21"/>
      <c r="K194" s="21"/>
      <c r="L194" s="21"/>
      <c r="M194" s="21"/>
      <c r="N194" s="21"/>
    </row>
    <row r="196" ht="14.25">
      <c r="A196" s="25"/>
      <c r="B196" s="19"/>
      <c r="E196" s="19"/>
      <c r="F196" s="19"/>
      <c r="G196" s="19"/>
      <c r="H196" s="19"/>
      <c r="J196" s="19"/>
      <c r="K196" s="19"/>
      <c r="L196" s="19"/>
      <c r="M196" s="19"/>
      <c r="N196" s="19"/>
    </row>
    <row r="197" ht="14.25">
      <c r="D197" s="19"/>
      <c r="E197" s="19"/>
      <c r="F197" s="19"/>
      <c r="G197" s="19"/>
      <c r="H197" s="19"/>
      <c r="J197" s="19"/>
      <c r="K197" s="19"/>
      <c r="L197" s="19"/>
      <c r="M197" s="19"/>
      <c r="N197" s="19"/>
    </row>
    <row r="198" ht="14.25">
      <c r="D198" s="19"/>
      <c r="E198" s="19"/>
      <c r="F198" s="19"/>
      <c r="G198" s="19"/>
      <c r="H198" s="19"/>
      <c r="J198" s="19"/>
      <c r="K198" s="19"/>
      <c r="L198" s="19"/>
      <c r="M198" s="19"/>
      <c r="N198" s="19"/>
    </row>
    <row r="199" ht="14.25">
      <c r="D199" s="19"/>
      <c r="E199" s="19"/>
      <c r="F199" s="19"/>
      <c r="G199" s="19"/>
      <c r="H199" s="19"/>
      <c r="J199" s="19"/>
      <c r="K199" s="19"/>
      <c r="L199" s="19"/>
      <c r="M199" s="19"/>
      <c r="N199" s="19"/>
    </row>
    <row r="200" ht="14.25">
      <c r="D200" s="19"/>
      <c r="E200" s="19"/>
      <c r="F200" s="19"/>
      <c r="G200" s="19"/>
      <c r="H200" s="19"/>
      <c r="J200" s="19"/>
      <c r="K200" s="19"/>
      <c r="L200" s="19"/>
      <c r="M200" s="19"/>
      <c r="N200" s="19"/>
    </row>
    <row r="201" ht="14.25">
      <c r="D201" s="19"/>
      <c r="K201" s="19"/>
      <c r="L201" s="19"/>
      <c r="M201" s="19"/>
      <c r="N201" s="19"/>
    </row>
    <row r="202" ht="14.25">
      <c r="D202" s="19"/>
    </row>
    <row r="203" ht="14.25">
      <c r="D203" s="19"/>
      <c r="N203" s="19"/>
    </row>
    <row r="204" ht="14.25">
      <c r="D204" s="19"/>
      <c r="E204" s="19"/>
      <c r="F204" s="19"/>
      <c r="G204" s="19"/>
      <c r="H204" s="19"/>
      <c r="J204" s="19"/>
      <c r="K204" s="19"/>
      <c r="L204" s="19"/>
      <c r="M204" s="19"/>
      <c r="N204" s="19"/>
    </row>
    <row r="205" ht="14.25">
      <c r="D205" s="19"/>
      <c r="H205" s="19"/>
      <c r="K205" s="19"/>
      <c r="L205" s="19"/>
      <c r="M205" s="19"/>
      <c r="N205" s="19"/>
    </row>
    <row r="206" ht="14.25">
      <c r="H206" s="19"/>
    </row>
    <row r="207" ht="14.25">
      <c r="D207" s="19"/>
      <c r="H207" s="19"/>
      <c r="N207" s="19"/>
    </row>
    <row r="208" ht="14.25">
      <c r="N208" s="19"/>
    </row>
    <row r="209" ht="14.25">
      <c r="N209" s="19"/>
    </row>
    <row r="210" ht="14.25">
      <c r="D210" s="19"/>
    </row>
    <row r="213" ht="14.25">
      <c r="D213" s="19"/>
    </row>
    <row r="215" ht="14.25">
      <c r="D215" s="19"/>
    </row>
    <row r="218" ht="14.25">
      <c r="D218" s="19"/>
    </row>
    <row r="220" ht="14.25">
      <c r="H220" s="19"/>
    </row>
    <row r="221" ht="14.25">
      <c r="D221" s="19"/>
      <c r="H221" s="19"/>
    </row>
    <row r="222" ht="14.25">
      <c r="H222" s="19"/>
    </row>
    <row r="223" ht="14.25">
      <c r="H223" s="19"/>
    </row>
    <row r="224" ht="14.25">
      <c r="H224" s="19"/>
    </row>
    <row r="225" ht="14.25">
      <c r="H225" s="19"/>
    </row>
    <row r="226" ht="14.25">
      <c r="H226" s="19"/>
    </row>
    <row r="227" ht="14.25">
      <c r="H227" s="19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4" zoomScale="100" workbookViewId="0">
      <selection activeCell="A1" activeCellId="0" sqref="A1"/>
    </sheetView>
  </sheetViews>
  <sheetFormatPr defaultRowHeight="14.25"/>
  <cols>
    <col customWidth="1" min="1" max="1" style="20" width="7.7109375"/>
    <col customWidth="1" min="2" max="16384" style="19" width="14.7109375"/>
  </cols>
  <sheetData>
    <row r="1" s="21" customFormat="1" ht="15">
      <c r="A1" s="22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="21" customFormat="1" ht="16.5">
      <c r="A2" s="22"/>
      <c r="B2" s="23" t="s">
        <v>934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1"/>
      <c r="AB2" s="21"/>
    </row>
    <row r="3" s="21" customFormat="1" ht="15">
      <c r="A3" s="22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5" ht="14.25">
      <c r="A5" s="25" t="s">
        <v>10</v>
      </c>
      <c r="B5" s="21" t="s">
        <v>11</v>
      </c>
      <c r="C5" s="21"/>
      <c r="D5" s="21"/>
      <c r="E5" s="21"/>
      <c r="F5" s="19"/>
      <c r="G5" s="19"/>
      <c r="H5" s="19"/>
      <c r="I5" s="19"/>
      <c r="J5" s="19"/>
      <c r="K5" s="19"/>
      <c r="L5" s="19"/>
      <c r="M5" s="19"/>
      <c r="N5" s="19"/>
    </row>
    <row r="6" ht="14.25">
      <c r="A6" s="20"/>
      <c r="B6" s="19"/>
      <c r="C6" s="19"/>
      <c r="D6" s="19"/>
    </row>
    <row r="7" ht="14.25">
      <c r="A7" s="20"/>
      <c r="B7" s="26" t="s">
        <v>2</v>
      </c>
      <c r="C7" s="27" t="str">
        <f>Cover!D8</f>
        <v xml:space="preserve">Simpson Manufacturing</v>
      </c>
      <c r="D7" s="19"/>
      <c r="E7" s="19"/>
    </row>
    <row r="8" ht="14.25">
      <c r="A8" s="20"/>
      <c r="B8" s="26" t="s">
        <v>3</v>
      </c>
      <c r="C8" s="27" t="str">
        <f>Cover!D9</f>
        <v>SSD</v>
      </c>
      <c r="D8" s="19"/>
    </row>
    <row r="9" ht="14.25">
      <c r="A9" s="20"/>
      <c r="B9" s="26" t="s">
        <v>5</v>
      </c>
      <c r="C9" s="19" t="str">
        <f>Cover!D10</f>
        <v>Industrials</v>
      </c>
      <c r="D9" s="19"/>
      <c r="F9" s="19"/>
      <c r="G9" s="19"/>
      <c r="H9" s="19"/>
    </row>
    <row r="10" ht="14.25">
      <c r="A10" s="20"/>
      <c r="B10" s="26" t="s">
        <v>7</v>
      </c>
      <c r="C10" s="28">
        <f>Cover!D11</f>
        <v>46235</v>
      </c>
      <c r="D10" s="19"/>
      <c r="F10" s="29"/>
      <c r="G10" s="46"/>
      <c r="H10" s="29"/>
    </row>
    <row r="11" ht="14.25">
      <c r="B11" s="26" t="s">
        <v>8</v>
      </c>
      <c r="C11" s="27">
        <f>Cover!D12</f>
        <v>187.74000000000001</v>
      </c>
      <c r="D11" s="19"/>
      <c r="E11" s="26"/>
      <c r="F11" s="30"/>
      <c r="G11" s="82"/>
      <c r="H11" s="53"/>
    </row>
    <row r="12" ht="14.25">
      <c r="B12" s="26"/>
      <c r="C12" s="27"/>
      <c r="D12" s="19"/>
      <c r="F12" s="29"/>
      <c r="G12" s="83"/>
    </row>
    <row r="13" ht="14.25">
      <c r="A13" s="25" t="s">
        <v>10</v>
      </c>
      <c r="B13" s="21" t="s">
        <v>935</v>
      </c>
      <c r="C13" s="21"/>
      <c r="D13" s="21"/>
      <c r="E13" s="21"/>
      <c r="F13" s="19"/>
      <c r="G13" s="19"/>
      <c r="H13" s="19"/>
    </row>
    <row r="15" ht="14.25">
      <c r="B15" s="149" t="s">
        <v>46</v>
      </c>
      <c r="C15" s="56" t="s">
        <v>68</v>
      </c>
      <c r="D15" s="56" t="s">
        <v>48</v>
      </c>
      <c r="E15" s="56" t="s">
        <v>49</v>
      </c>
    </row>
    <row r="16" ht="14.25">
      <c r="B16" s="19" t="s">
        <v>878</v>
      </c>
      <c r="C16" s="296">
        <f>D16*1.05</f>
        <v>0.10433286463927344</v>
      </c>
      <c r="D16" s="297">
        <f>C36</f>
        <v>0.099364632989784221</v>
      </c>
      <c r="E16" s="298">
        <f>D16*0.95</f>
        <v>0.094396401340295005</v>
      </c>
    </row>
    <row r="17" ht="14.25">
      <c r="C17" s="19"/>
      <c r="D17" s="19"/>
      <c r="E17" s="19"/>
      <c r="F17" s="19"/>
      <c r="I17" s="19"/>
    </row>
    <row r="18" ht="14.25">
      <c r="A18" s="25" t="s">
        <v>10</v>
      </c>
      <c r="B18" s="21" t="s">
        <v>936</v>
      </c>
      <c r="C18" s="21"/>
      <c r="D18" s="21"/>
      <c r="E18" s="21"/>
      <c r="F18" s="19"/>
      <c r="G18" s="19"/>
      <c r="H18" s="19"/>
      <c r="I18" s="19"/>
    </row>
    <row r="19" ht="14.25">
      <c r="C19" s="19"/>
      <c r="D19" s="19"/>
      <c r="F19" s="19"/>
      <c r="I19" s="19"/>
    </row>
    <row r="20" ht="14.25">
      <c r="B20" s="31" t="s">
        <v>12</v>
      </c>
      <c r="C20" s="32" t="s">
        <v>13</v>
      </c>
      <c r="D20" s="44"/>
      <c r="E20" s="31" t="s">
        <v>937</v>
      </c>
      <c r="F20" s="19"/>
      <c r="I20" s="19"/>
    </row>
    <row r="21" ht="14.25">
      <c r="B21" s="19" t="s">
        <v>848</v>
      </c>
      <c r="C21" s="299">
        <f>Data!D31</f>
        <v>7905.551872</v>
      </c>
      <c r="D21" s="44"/>
      <c r="E21" s="37" t="s">
        <v>938</v>
      </c>
      <c r="F21" s="19"/>
      <c r="I21" s="19"/>
    </row>
    <row r="22" ht="14.25">
      <c r="B22" s="43" t="s">
        <v>939</v>
      </c>
      <c r="C22" s="300">
        <f>C21/C25</f>
        <v>0.98250944374100768</v>
      </c>
      <c r="D22" s="44"/>
      <c r="E22" s="19"/>
      <c r="F22" s="19" t="s">
        <v>17</v>
      </c>
      <c r="I22" s="19"/>
    </row>
    <row r="23" ht="14.25">
      <c r="B23" s="19" t="s">
        <v>940</v>
      </c>
      <c r="C23" s="299">
        <f>Data!D26-Data!D27</f>
        <v>140.734016</v>
      </c>
      <c r="D23" s="44"/>
      <c r="E23" s="19"/>
      <c r="F23" s="19" t="s">
        <v>17</v>
      </c>
      <c r="I23" s="19"/>
    </row>
    <row r="24" ht="14.25">
      <c r="B24" s="43" t="s">
        <v>941</v>
      </c>
      <c r="C24" s="300">
        <f>C23/C25</f>
        <v>0.017490556258992321</v>
      </c>
      <c r="D24" s="44"/>
      <c r="E24" s="19"/>
      <c r="F24" s="19" t="s">
        <v>17</v>
      </c>
      <c r="I24" s="19"/>
    </row>
    <row r="25" ht="14.25">
      <c r="B25" s="19" t="s">
        <v>942</v>
      </c>
      <c r="C25" s="177">
        <f>C21+C23</f>
        <v>8046.2858880000003</v>
      </c>
      <c r="D25" s="44"/>
      <c r="E25" s="19"/>
      <c r="F25" s="19" t="s">
        <v>17</v>
      </c>
      <c r="I25" s="19"/>
    </row>
    <row r="26" ht="14.25">
      <c r="B26" s="19"/>
      <c r="C26" s="19"/>
      <c r="D26" s="44"/>
      <c r="E26" s="19"/>
      <c r="F26" s="19" t="s">
        <v>17</v>
      </c>
      <c r="I26" s="19"/>
    </row>
    <row r="27" ht="14.25">
      <c r="B27" s="19" t="s">
        <v>943</v>
      </c>
      <c r="C27" s="301">
        <f>Data!D34</f>
        <v>0.035000000000000003</v>
      </c>
      <c r="D27" s="44"/>
      <c r="E27" s="19"/>
      <c r="F27" s="19" t="s">
        <v>17</v>
      </c>
      <c r="I27" s="19"/>
    </row>
    <row r="28" ht="14.25">
      <c r="B28" s="19" t="s">
        <v>944</v>
      </c>
      <c r="C28" s="301">
        <f>Data!D35</f>
        <v>0.050000000000000003</v>
      </c>
      <c r="D28" s="44"/>
      <c r="E28" s="19"/>
      <c r="F28" s="19" t="s">
        <v>945</v>
      </c>
      <c r="I28" s="19"/>
    </row>
    <row r="29" ht="14.25">
      <c r="B29" s="19" t="s">
        <v>946</v>
      </c>
      <c r="C29" s="302">
        <f>Data!D32</f>
        <v>1.3200000000000001</v>
      </c>
      <c r="D29" s="44"/>
      <c r="E29" s="19"/>
      <c r="F29" s="19" t="s">
        <v>945</v>
      </c>
      <c r="I29" s="19"/>
    </row>
    <row r="30" ht="14.25">
      <c r="B30" s="26" t="s">
        <v>947</v>
      </c>
      <c r="C30" s="303">
        <f>C27+C28*C29</f>
        <v>0.10100000000000001</v>
      </c>
      <c r="D30" s="44"/>
      <c r="E30" s="19"/>
      <c r="F30" s="19" t="s">
        <v>945</v>
      </c>
      <c r="I30" s="19"/>
    </row>
    <row r="31" ht="14.25">
      <c r="C31" s="76"/>
      <c r="D31" s="44"/>
      <c r="E31" s="19"/>
      <c r="F31" s="19" t="s">
        <v>945</v>
      </c>
      <c r="I31" s="19"/>
    </row>
    <row r="32" ht="14.25">
      <c r="B32" s="19" t="s">
        <v>948</v>
      </c>
      <c r="C32" s="301">
        <f>Data!D23</f>
        <v>0.01</v>
      </c>
      <c r="D32" s="44"/>
      <c r="E32" s="19"/>
      <c r="F32" s="19" t="s">
        <v>945</v>
      </c>
      <c r="I32" s="19"/>
    </row>
    <row r="33" ht="14.25">
      <c r="B33" s="19" t="s">
        <v>949</v>
      </c>
      <c r="C33" s="301">
        <f>Data!D24</f>
        <v>0.25</v>
      </c>
      <c r="D33" s="44"/>
      <c r="E33" s="19"/>
      <c r="F33" s="19" t="s">
        <v>945</v>
      </c>
      <c r="I33" s="19"/>
    </row>
    <row r="34" ht="14.25">
      <c r="B34" s="26" t="s">
        <v>950</v>
      </c>
      <c r="C34" s="303">
        <f>C32*(1-C33)</f>
        <v>0.0074999999999999997</v>
      </c>
      <c r="D34" s="44"/>
      <c r="E34" s="19"/>
      <c r="F34" s="19" t="s">
        <v>945</v>
      </c>
      <c r="I34" s="19"/>
    </row>
    <row r="35" ht="14.25">
      <c r="A35" s="20"/>
      <c r="C35" s="76"/>
      <c r="D35" s="44"/>
      <c r="E35" s="19"/>
      <c r="F35" s="19" t="s">
        <v>945</v>
      </c>
    </row>
    <row r="36" ht="14.25">
      <c r="B36" s="293" t="s">
        <v>951</v>
      </c>
      <c r="C36" s="304">
        <f>C22*C30+C24*C34</f>
        <v>0.099364632989784221</v>
      </c>
      <c r="D36" s="305"/>
      <c r="E36" s="19"/>
      <c r="F36" s="19" t="s">
        <v>945</v>
      </c>
    </row>
    <row r="37" ht="14.25">
      <c r="C37" s="19"/>
    </row>
    <row r="38" ht="14.25">
      <c r="A38" s="25" t="s">
        <v>10</v>
      </c>
      <c r="B38" s="21" t="s">
        <v>35</v>
      </c>
      <c r="C38" s="21"/>
      <c r="D38" s="21"/>
      <c r="E38" s="21"/>
    </row>
    <row r="39" ht="14.25">
      <c r="F39" s="19"/>
      <c r="G39" s="19"/>
      <c r="H39" s="19"/>
    </row>
    <row r="41" ht="14.25">
      <c r="C41" s="19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19</cp:revision>
  <dcterms:modified xsi:type="dcterms:W3CDTF">2026-08-09T13:53:04Z</dcterms:modified>
</cp:coreProperties>
</file>