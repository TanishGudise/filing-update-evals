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nancial State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<sst xmlns="http://schemas.openxmlformats.org/spreadsheetml/2006/main" count="95" uniqueCount="77">
  <si>
    <t xml:space="preserve">$ in Millions</t>
  </si>
  <si>
    <t xml:space="preserve">Actuals</t>
  </si>
  <si>
    <t xml:space="preserve">Projections</t>
  </si>
  <si>
    <t xml:space="preserve">Editable</t>
  </si>
  <si>
    <t xml:space="preserve">X</t>
  </si>
  <si>
    <t xml:space="preserve">Income Stament</t>
  </si>
  <si>
    <t xml:space="preserve">Revenue </t>
  </si>
  <si>
    <t xml:space="preserve">Cost of Goods Sold </t>
  </si>
  <si>
    <t xml:space="preserve">Other Operating Expenses </t>
  </si>
  <si>
    <t xml:space="preserve">Operating Profit </t>
  </si>
  <si>
    <t xml:space="preserve">Intrest Income</t>
  </si>
  <si>
    <t xml:space="preserve">Interest Expense </t>
  </si>
  <si>
    <t xml:space="preserve">Pre-Tax Proft </t>
  </si>
  <si>
    <t xml:space="preserve">Tax Expense </t>
  </si>
  <si>
    <t xml:space="preserve">Net Income </t>
  </si>
  <si>
    <t xml:space="preserve">Margins / Growth Rates</t>
  </si>
  <si>
    <t xml:space="preserve">Revenue Growth Rate</t>
  </si>
  <si>
    <t xml:space="preserve">Gross Profit Margin </t>
  </si>
  <si>
    <t xml:space="preserve">Operating Expense as % of Revenue</t>
  </si>
  <si>
    <t xml:space="preserve">Tax Rate</t>
  </si>
  <si>
    <t xml:space="preserve">Memo: COGS Growth Rate </t>
  </si>
  <si>
    <t xml:space="preserve">Memo: Depreciation in opex and COGS</t>
  </si>
  <si>
    <t xml:space="preserve">Memo: Capital Expenditures</t>
  </si>
  <si>
    <t xml:space="preserve">Memo: Amortization in opex and COGS</t>
  </si>
  <si>
    <t xml:space="preserve">Memo: Purchases of Intangibles</t>
  </si>
  <si>
    <t xml:space="preserve">Memo: % Interest Earned on Cash</t>
  </si>
  <si>
    <t xml:space="preserve">Memo: % Interest Rate on Debt</t>
  </si>
  <si>
    <t xml:space="preserve">Balance Sheet</t>
  </si>
  <si>
    <t xml:space="preserve">Cash and Equivalents</t>
  </si>
  <si>
    <t xml:space="preserve">Accounts Receivable </t>
  </si>
  <si>
    <t xml:space="preserve">Inventory </t>
  </si>
  <si>
    <t xml:space="preserve">Prepaid Expenses and Other WC Assets</t>
  </si>
  <si>
    <t xml:space="preserve">Current Assets</t>
  </si>
  <si>
    <t xml:space="preserve">Property Plant and Equipments</t>
  </si>
  <si>
    <t xml:space="preserve">Intangible Assets</t>
  </si>
  <si>
    <t xml:space="preserve">Non Currents Assets</t>
  </si>
  <si>
    <t xml:space="preserve">Total Assets</t>
  </si>
  <si>
    <t xml:space="preserve">Accounts Payable </t>
  </si>
  <si>
    <t xml:space="preserve">Accrued Expenses and Other</t>
  </si>
  <si>
    <t xml:space="preserve">Other Current Liabilities </t>
  </si>
  <si>
    <t xml:space="preserve">Total Current Liabilities </t>
  </si>
  <si>
    <t xml:space="preserve">Revolver </t>
  </si>
  <si>
    <t xml:space="preserve">Long Term Debt </t>
  </si>
  <si>
    <t xml:space="preserve">Other Liabilities </t>
  </si>
  <si>
    <t xml:space="preserve">Total Liabilities </t>
  </si>
  <si>
    <t xml:space="preserve">Common Stock and APIC</t>
  </si>
  <si>
    <t xml:space="preserve">Treasury Stock</t>
  </si>
  <si>
    <t xml:space="preserve">Other Comprehensive Income </t>
  </si>
  <si>
    <t xml:space="preserve">Plug</t>
  </si>
  <si>
    <t xml:space="preserve">Retained Earnings </t>
  </si>
  <si>
    <t xml:space="preserve">Total Equity</t>
  </si>
  <si>
    <t xml:space="preserve">Total Liabilities and Equity </t>
  </si>
  <si>
    <t xml:space="preserve">Balance Check</t>
  </si>
  <si>
    <t xml:space="preserve">Schedules </t>
  </si>
  <si>
    <t xml:space="preserve">Common Stock and APIC - BOP</t>
  </si>
  <si>
    <t xml:space="preserve">New Issuances of Common Stock</t>
  </si>
  <si>
    <t xml:space="preserve">Common Stock and APIC - EOP</t>
  </si>
  <si>
    <t xml:space="preserve">Treasury Stock - BOP </t>
  </si>
  <si>
    <t xml:space="preserve">New Repurchases</t>
  </si>
  <si>
    <t xml:space="preserve">Treasury Stock - EOP </t>
  </si>
  <si>
    <t xml:space="preserve">Retained Earnings - BOP</t>
  </si>
  <si>
    <t xml:space="preserve">Net Income</t>
  </si>
  <si>
    <t xml:space="preserve">Common Divedends</t>
  </si>
  <si>
    <t xml:space="preserve">Retained Earnings - EOP</t>
  </si>
  <si>
    <t xml:space="preserve">Cash Flow Statement </t>
  </si>
  <si>
    <t xml:space="preserve">Net Income (GAAP)</t>
  </si>
  <si>
    <t xml:space="preserve">Depreciation and Amortization</t>
  </si>
  <si>
    <t xml:space="preserve">Cash Flow from Operations </t>
  </si>
  <si>
    <t xml:space="preserve">Capital Expenditures </t>
  </si>
  <si>
    <t xml:space="preserve">Purchases of Intangible Assets</t>
  </si>
  <si>
    <t xml:space="preserve">Cash for Investing Activities </t>
  </si>
  <si>
    <t xml:space="preserve">Issuances of Common Stock</t>
  </si>
  <si>
    <t xml:space="preserve">Dividends </t>
  </si>
  <si>
    <t xml:space="preserve">Cash from Financing Activities </t>
  </si>
  <si>
    <t xml:space="preserve">Total Change in Cash </t>
  </si>
  <si>
    <t xml:space="preserve">Total Cash Flow Before any Revolver Borrowing </t>
  </si>
  <si>
    <t xml:space="preserve">Total Revolver Borrowing Needed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</si>
</sst>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_);\(#,##0.0\)"/>
    <numFmt numFmtId="166" formatCode="0.0_);\(0.0\)"/>
    <numFmt numFmtId="167" formatCode="0.00"/>
    <numFmt numFmtId="168" formatCode="0%"/>
    <numFmt numFmtId="169" formatCode="0.0%"/>
    <numFmt numFmtId="170" formatCode="[h]:mm:ss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"/>
        <bgColor rgb="FFD9D9D9"/>
      </patternFill>
    </fill>
    <fill>
      <patternFill patternType="solid">
        <fgColor theme="0" tint="-0.15"/>
        <bgColor rgb="FFF2CFEE"/>
      </patternFill>
    </fill>
    <fill>
      <patternFill patternType="solid">
        <fgColor theme="8" tint="0.7999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2CFE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84" activeCellId="0" sqref="M84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3" style="0" width="35.57"/>
    <col collapsed="false" customWidth="true" hidden="false" outlineLevel="0" max="6" min="4" style="0" width="11.28"/>
    <col collapsed="false" customWidth="true" hidden="false" outlineLevel="0" max="7" min="7" style="0" width="10.86"/>
    <col collapsed="false" customWidth="true" hidden="false" outlineLevel="0" max="11" min="8" style="0" width="9.28"/>
    <col collapsed="false" customWidth="true" hidden="false" outlineLevel="0" max="13" min="13" style="0" width="27.28"/>
    <col collapsed="false" customWidth="true" hidden="false" outlineLevel="0" max="14" min="14" style="0" width="9.57"/>
  </cols>
  <sheetData>
    <row r="1" customFormat="false" ht="15" hidden="false" customHeight="false" outlineLevel="0" collapsed="false">
      <c r="A1" s="0" t="s">
        <v>0</v>
      </c>
      <c r="C1" s="1"/>
    </row>
    <row r="2" customFormat="false" ht="15" hidden="false" customHeight="false" outlineLevel="0" collapsed="false">
      <c r="C2" s="1"/>
    </row>
    <row r="3" customFormat="false" ht="15" hidden="false" customHeight="false" outlineLevel="0" collapsed="false">
      <c r="D3" s="2" t="s">
        <v>1</v>
      </c>
      <c r="E3" s="2"/>
      <c r="F3" s="2"/>
      <c r="G3" s="3" t="s">
        <v>2</v>
      </c>
      <c r="H3" s="3"/>
      <c r="I3" s="3"/>
      <c r="J3" s="3"/>
      <c r="K3" s="3"/>
    </row>
    <row r="4" customFormat="false" ht="15" hidden="false" customHeight="false" outlineLevel="0" collapsed="false">
      <c r="D4" s="4" t="n">
        <f aca="false">E4-1</f>
        <v>2021</v>
      </c>
      <c r="E4" s="4" t="n">
        <f aca="false">F4-1</f>
        <v>2022</v>
      </c>
      <c r="F4" s="4" t="n">
        <v>2023</v>
      </c>
      <c r="G4" s="4" t="n">
        <f aca="false">F4+1</f>
        <v>2024</v>
      </c>
      <c r="H4" s="4" t="n">
        <f aca="false">G4+1</f>
        <v>2025</v>
      </c>
      <c r="I4" s="4" t="n">
        <f aca="false">H4+1</f>
        <v>2026</v>
      </c>
      <c r="J4" s="4" t="n">
        <f aca="false">I4+1</f>
        <v>2027</v>
      </c>
      <c r="K4" s="4" t="n">
        <f aca="false">J4+1</f>
        <v>2028</v>
      </c>
    </row>
    <row r="5" customFormat="false" ht="15" hidden="false" customHeight="false" outlineLevel="0" collapsed="false">
      <c r="A5" s="5" t="s">
        <v>3</v>
      </c>
      <c r="B5" s="0" t="s">
        <v>4</v>
      </c>
      <c r="C5" s="4" t="s">
        <v>5</v>
      </c>
    </row>
    <row r="6" customFormat="false" ht="15" hidden="false" customHeight="false" outlineLevel="0" collapsed="false">
      <c r="C6" s="4"/>
    </row>
    <row r="7" customFormat="false" ht="15" hidden="false" customHeight="false" outlineLevel="0" collapsed="false">
      <c r="C7" s="0" t="s">
        <v>6</v>
      </c>
      <c r="D7" s="6" t="n">
        <v>1000</v>
      </c>
      <c r="E7" s="6" t="n">
        <v>1100</v>
      </c>
      <c r="F7" s="6" t="n">
        <v>1200</v>
      </c>
      <c r="G7" s="7" t="n">
        <f aca="false">F7*(1+G20)</f>
        <v>1314.54545454545</v>
      </c>
      <c r="H7" s="7" t="n">
        <f aca="false">G7*(1+H20)</f>
        <v>1440.02479338843</v>
      </c>
      <c r="I7" s="7" t="n">
        <f aca="false">H7*(1+I20)</f>
        <v>1577.4817054846</v>
      </c>
      <c r="J7" s="7" t="n">
        <f aca="false">I7*(1+J20)</f>
        <v>1728.05950464449</v>
      </c>
      <c r="K7" s="7" t="n">
        <f aca="false">J7*(1+K20)</f>
        <v>1893.01063917874</v>
      </c>
    </row>
    <row r="8" customFormat="false" ht="15" hidden="false" customHeight="false" outlineLevel="0" collapsed="false">
      <c r="C8" s="0" t="s">
        <v>7</v>
      </c>
      <c r="D8" s="6" t="n">
        <v>-600</v>
      </c>
      <c r="E8" s="6" t="n">
        <v>-700</v>
      </c>
      <c r="F8" s="6" t="n">
        <v>-775</v>
      </c>
      <c r="G8" s="8" t="n">
        <f aca="false">-(1-G21)*G7</f>
        <v>-824.744490358127</v>
      </c>
      <c r="H8" s="8" t="n">
        <f aca="false">-(1-H21)*H7</f>
        <v>-903.470100801403</v>
      </c>
      <c r="I8" s="8" t="n">
        <f aca="false">-(1-I21)*I7</f>
        <v>-989.710428605173</v>
      </c>
      <c r="J8" s="8" t="n">
        <f aca="false">-(1-J21)*J7</f>
        <v>-1084.1827876993</v>
      </c>
      <c r="K8" s="8" t="n">
        <f aca="false">-(1-K21)*K7</f>
        <v>-1187.67296288878</v>
      </c>
    </row>
    <row r="9" customFormat="false" ht="15" hidden="false" customHeight="false" outlineLevel="0" collapsed="false">
      <c r="C9" s="9" t="s">
        <v>8</v>
      </c>
      <c r="D9" s="10" t="n">
        <v>-150</v>
      </c>
      <c r="E9" s="10" t="n">
        <v>-165</v>
      </c>
      <c r="F9" s="10" t="n">
        <v>-175</v>
      </c>
      <c r="G9" s="7" t="n">
        <f aca="false">-(G7*G22)</f>
        <v>-195.356060606061</v>
      </c>
      <c r="H9" s="7" t="n">
        <f aca="false">-(H7*H22)</f>
        <v>-214.003684573003</v>
      </c>
      <c r="I9" s="7" t="n">
        <f aca="false">-(I7*I22)</f>
        <v>-234.431309009517</v>
      </c>
      <c r="J9" s="7" t="n">
        <f aca="false">-(J7*J22)</f>
        <v>-256.808843051334</v>
      </c>
      <c r="K9" s="7" t="n">
        <f aca="false">-(K7*K22)</f>
        <v>-281.322414433507</v>
      </c>
    </row>
    <row r="10" customFormat="false" ht="15" hidden="false" customHeight="false" outlineLevel="0" collapsed="false">
      <c r="C10" s="4" t="s">
        <v>9</v>
      </c>
      <c r="D10" s="11" t="n">
        <f aca="false">SUM(D7:D9)</f>
        <v>250</v>
      </c>
      <c r="E10" s="11" t="n">
        <f aca="false">SUM(E7:E9)</f>
        <v>235</v>
      </c>
      <c r="F10" s="11" t="n">
        <f aca="false">SUM(F7:F9)</f>
        <v>250</v>
      </c>
      <c r="G10" s="12" t="n">
        <f aca="false">SUM(G7:G9)</f>
        <v>294.444903581267</v>
      </c>
      <c r="H10" s="12" t="n">
        <f aca="false">SUM(H7:H9)</f>
        <v>322.551008014024</v>
      </c>
      <c r="I10" s="12" t="n">
        <f aca="false">SUM(I7:I9)</f>
        <v>353.339967869909</v>
      </c>
      <c r="J10" s="12" t="n">
        <f aca="false">SUM(J7:J9)</f>
        <v>387.067873893854</v>
      </c>
      <c r="K10" s="12" t="n">
        <f aca="false">SUM(K7:K9)</f>
        <v>424.015261856449</v>
      </c>
    </row>
    <row r="12" customFormat="false" ht="15" hidden="false" customHeight="false" outlineLevel="0" collapsed="false">
      <c r="C12" s="0" t="s">
        <v>10</v>
      </c>
      <c r="D12" s="6" t="n">
        <v>5</v>
      </c>
      <c r="E12" s="6" t="n">
        <v>6</v>
      </c>
      <c r="F12" s="6" t="n">
        <v>7</v>
      </c>
      <c r="G12" s="13" t="n">
        <f aca="false">G32*F37</f>
        <v>9.18</v>
      </c>
      <c r="H12" s="13" t="n">
        <f aca="false">H32*G37</f>
        <v>8.37785369487356</v>
      </c>
      <c r="I12" s="13" t="n">
        <f aca="false">I32*H37</f>
        <v>7.86211098681443</v>
      </c>
      <c r="J12" s="13" t="n">
        <f aca="false">J32*I37</f>
        <v>7.77186021481121</v>
      </c>
      <c r="K12" s="13" t="n">
        <f aca="false">K32*J37</f>
        <v>8.15777015961406</v>
      </c>
    </row>
    <row r="13" customFormat="false" ht="15" hidden="false" customHeight="false" outlineLevel="0" collapsed="false">
      <c r="C13" s="9" t="s">
        <v>11</v>
      </c>
      <c r="D13" s="10" t="n">
        <v>-13</v>
      </c>
      <c r="E13" s="10" t="n">
        <v>-14</v>
      </c>
      <c r="F13" s="6" t="n">
        <v>-15</v>
      </c>
      <c r="G13" s="14" t="n">
        <f aca="false">-G33*SUM(F54,F55)</f>
        <v>-15.28</v>
      </c>
      <c r="H13" s="14" t="n">
        <f aca="false">-H33*SUM(G54,G55)</f>
        <v>-14.88</v>
      </c>
      <c r="I13" s="14" t="n">
        <f aca="false">-I33*SUM(H54,H55)</f>
        <v>-14.88</v>
      </c>
      <c r="J13" s="14" t="n">
        <f aca="false">-J33*SUM(I54,I55)</f>
        <v>-14.88</v>
      </c>
      <c r="K13" s="14" t="n">
        <f aca="false">-K33*SUM(J54,J55)</f>
        <v>-14.88</v>
      </c>
    </row>
    <row r="14" customFormat="false" ht="15" hidden="false" customHeight="false" outlineLevel="0" collapsed="false">
      <c r="C14" s="4" t="s">
        <v>12</v>
      </c>
      <c r="D14" s="11" t="n">
        <f aca="false">D10+SUM(D12:D13)</f>
        <v>242</v>
      </c>
      <c r="E14" s="11" t="n">
        <f aca="false">E10+SUM(E12:E13)</f>
        <v>227</v>
      </c>
      <c r="F14" s="12" t="n">
        <f aca="false">F10+SUM(F12:F13)</f>
        <v>242</v>
      </c>
      <c r="G14" s="12" t="n">
        <f aca="false">G10+SUM(G12:G13)</f>
        <v>288.344903581267</v>
      </c>
      <c r="H14" s="12" t="n">
        <f aca="false">H10+SUM(H12:H13)</f>
        <v>316.048861708898</v>
      </c>
      <c r="I14" s="12" t="n">
        <f aca="false">I10+SUM(I12:I13)</f>
        <v>346.322078856723</v>
      </c>
      <c r="J14" s="12" t="n">
        <f aca="false">J10+SUM(J12:J13)</f>
        <v>379.959734108666</v>
      </c>
      <c r="K14" s="12" t="n">
        <f aca="false">K10+SUM(K12:K13)</f>
        <v>417.293032016064</v>
      </c>
    </row>
    <row r="16" customFormat="false" ht="15" hidden="false" customHeight="false" outlineLevel="0" collapsed="false">
      <c r="C16" s="0" t="s">
        <v>13</v>
      </c>
      <c r="D16" s="6" t="n">
        <v>-70</v>
      </c>
      <c r="E16" s="6" t="n">
        <v>-68</v>
      </c>
      <c r="F16" s="6" t="n">
        <v>-71</v>
      </c>
      <c r="G16" s="8" t="n">
        <f aca="false">-G23*G14</f>
        <v>-84.7930186663933</v>
      </c>
      <c r="H16" s="8" t="n">
        <f aca="false">-H23*H14</f>
        <v>-92.9398671435925</v>
      </c>
      <c r="I16" s="8" t="n">
        <f aca="false">-I23*I14</f>
        <v>-101.842252567526</v>
      </c>
      <c r="J16" s="8" t="n">
        <f aca="false">-J23*J14</f>
        <v>-111.734011687408</v>
      </c>
      <c r="K16" s="8" t="n">
        <f aca="false">-K23*K14</f>
        <v>-122.712541174224</v>
      </c>
    </row>
    <row r="17" customFormat="false" ht="15" hidden="false" customHeight="false" outlineLevel="0" collapsed="false">
      <c r="C17" s="15" t="s">
        <v>14</v>
      </c>
      <c r="D17" s="12" t="n">
        <f aca="false">D14+D16</f>
        <v>172</v>
      </c>
      <c r="E17" s="12" t="n">
        <f aca="false">E14+E16</f>
        <v>159</v>
      </c>
      <c r="F17" s="12" t="n">
        <f aca="false">F14+F16</f>
        <v>171</v>
      </c>
      <c r="G17" s="12" t="n">
        <f aca="false">G14+G16</f>
        <v>203.551884914874</v>
      </c>
      <c r="H17" s="12" t="n">
        <f aca="false">H14+H16</f>
        <v>223.108994565306</v>
      </c>
      <c r="I17" s="12" t="n">
        <f aca="false">I14+I16</f>
        <v>244.479826289197</v>
      </c>
      <c r="J17" s="12" t="n">
        <f aca="false">J14+J16</f>
        <v>268.225722421257</v>
      </c>
      <c r="K17" s="12" t="n">
        <f aca="false">K14+K16</f>
        <v>294.580490841839</v>
      </c>
    </row>
    <row r="19" customFormat="false" ht="15" hidden="false" customHeight="false" outlineLevel="0" collapsed="false">
      <c r="C19" s="16" t="s">
        <v>15</v>
      </c>
      <c r="D19" s="9"/>
      <c r="E19" s="9"/>
      <c r="F19" s="9"/>
      <c r="G19" s="9"/>
      <c r="H19" s="9"/>
      <c r="I19" s="9"/>
      <c r="J19" s="9"/>
      <c r="K19" s="9"/>
    </row>
    <row r="20" customFormat="false" ht="15" hidden="false" customHeight="false" outlineLevel="0" collapsed="false">
      <c r="C20" s="0" t="s">
        <v>16</v>
      </c>
      <c r="D20" s="17"/>
      <c r="E20" s="18" t="n">
        <f aca="false">E7/D7-1</f>
        <v>0.1</v>
      </c>
      <c r="F20" s="18" t="n">
        <f aca="false">F7/E7-1</f>
        <v>0.0909090909090908</v>
      </c>
      <c r="G20" s="18" t="n">
        <f aca="false">AVERAGE(E20:F20)</f>
        <v>0.0954545454545455</v>
      </c>
      <c r="H20" s="18" t="n">
        <f aca="false">G20</f>
        <v>0.0954545454545455</v>
      </c>
      <c r="I20" s="18" t="n">
        <f aca="false">H20</f>
        <v>0.0954545454545455</v>
      </c>
      <c r="J20" s="18" t="n">
        <f aca="false">I20</f>
        <v>0.0954545454545455</v>
      </c>
      <c r="K20" s="18" t="n">
        <f aca="false">J20</f>
        <v>0.0954545454545455</v>
      </c>
    </row>
    <row r="21" customFormat="false" ht="15" hidden="false" customHeight="false" outlineLevel="0" collapsed="false">
      <c r="C21" s="0" t="s">
        <v>17</v>
      </c>
      <c r="D21" s="17" t="n">
        <f aca="false">1+D8/D7</f>
        <v>0.4</v>
      </c>
      <c r="E21" s="17" t="n">
        <f aca="false">1+E8/E7</f>
        <v>0.363636363636364</v>
      </c>
      <c r="F21" s="17" t="n">
        <f aca="false">1+F8/F7</f>
        <v>0.354166666666667</v>
      </c>
      <c r="G21" s="17" t="n">
        <f aca="false">AVERAGE(D21:F21)</f>
        <v>0.37260101010101</v>
      </c>
      <c r="H21" s="17" t="n">
        <f aca="false">G21</f>
        <v>0.37260101010101</v>
      </c>
      <c r="I21" s="17" t="n">
        <f aca="false">H21</f>
        <v>0.37260101010101</v>
      </c>
      <c r="J21" s="17" t="n">
        <f aca="false">I21</f>
        <v>0.37260101010101</v>
      </c>
      <c r="K21" s="17" t="n">
        <f aca="false">J21</f>
        <v>0.37260101010101</v>
      </c>
    </row>
    <row r="22" customFormat="false" ht="15" hidden="false" customHeight="false" outlineLevel="0" collapsed="false">
      <c r="C22" s="0" t="s">
        <v>18</v>
      </c>
      <c r="D22" s="17" t="n">
        <f aca="false">-D9/D7</f>
        <v>0.15</v>
      </c>
      <c r="E22" s="17" t="n">
        <f aca="false">-E9/E7</f>
        <v>0.15</v>
      </c>
      <c r="F22" s="17" t="n">
        <f aca="false">-F9/F7</f>
        <v>0.145833333333333</v>
      </c>
      <c r="G22" s="17" t="n">
        <f aca="false">AVERAGE(D22:F22)</f>
        <v>0.148611111111111</v>
      </c>
      <c r="H22" s="17" t="n">
        <f aca="false">G22</f>
        <v>0.148611111111111</v>
      </c>
      <c r="I22" s="17" t="n">
        <f aca="false">H22</f>
        <v>0.148611111111111</v>
      </c>
      <c r="J22" s="17" t="n">
        <f aca="false">I22</f>
        <v>0.148611111111111</v>
      </c>
      <c r="K22" s="17" t="n">
        <f aca="false">J22</f>
        <v>0.148611111111111</v>
      </c>
    </row>
    <row r="23" customFormat="false" ht="15" hidden="false" customHeight="false" outlineLevel="0" collapsed="false">
      <c r="C23" s="0" t="s">
        <v>19</v>
      </c>
      <c r="D23" s="17" t="n">
        <f aca="false">-D16/D14</f>
        <v>0.289256198347107</v>
      </c>
      <c r="E23" s="17" t="n">
        <f aca="false">-E16/E14</f>
        <v>0.299559471365639</v>
      </c>
      <c r="F23" s="17" t="n">
        <f aca="false">-F16/F14</f>
        <v>0.293388429752066</v>
      </c>
      <c r="G23" s="17" t="n">
        <f aca="false">AVERAGE(D23:F23)</f>
        <v>0.294068033154937</v>
      </c>
      <c r="H23" s="17" t="n">
        <f aca="false">G23</f>
        <v>0.294068033154937</v>
      </c>
      <c r="I23" s="17" t="n">
        <f aca="false">H23</f>
        <v>0.294068033154937</v>
      </c>
      <c r="J23" s="17" t="n">
        <f aca="false">I23</f>
        <v>0.294068033154937</v>
      </c>
      <c r="K23" s="17" t="n">
        <f aca="false">J23</f>
        <v>0.294068033154937</v>
      </c>
    </row>
    <row r="24" customFormat="false" ht="15" hidden="false" customHeight="false" outlineLevel="0" collapsed="false">
      <c r="C24" s="19" t="s">
        <v>20</v>
      </c>
      <c r="G24" s="17" t="n">
        <f aca="false">G8/F8-1</f>
        <v>0.0641864391717766</v>
      </c>
      <c r="H24" s="17" t="n">
        <f aca="false">H8/G8-1</f>
        <v>0.0954545454545455</v>
      </c>
      <c r="I24" s="17" t="n">
        <f aca="false">I8/H8-1</f>
        <v>0.0954545454545455</v>
      </c>
      <c r="J24" s="17" t="n">
        <f aca="false">J8/I8-1</f>
        <v>0.0954545454545455</v>
      </c>
      <c r="K24" s="17" t="n">
        <f aca="false">K8/J8-1</f>
        <v>0.0954545454545455</v>
      </c>
    </row>
    <row r="25" customFormat="false" ht="15" hidden="false" customHeight="false" outlineLevel="0" collapsed="false">
      <c r="C25" s="19"/>
      <c r="G25" s="17"/>
      <c r="H25" s="17"/>
      <c r="I25" s="17"/>
      <c r="J25" s="17"/>
      <c r="K25" s="17"/>
    </row>
    <row r="26" customFormat="false" ht="15" hidden="false" customHeight="false" outlineLevel="0" collapsed="false">
      <c r="C26" s="19" t="s">
        <v>21</v>
      </c>
      <c r="D26" s="6" t="n">
        <v>-25</v>
      </c>
      <c r="E26" s="6" t="n">
        <v>-30</v>
      </c>
      <c r="F26" s="6" t="n">
        <v>-35</v>
      </c>
      <c r="G26" s="8" t="n">
        <f aca="false">F26*(1+G20)</f>
        <v>-38.3409090909091</v>
      </c>
      <c r="H26" s="8" t="n">
        <f aca="false">G26*(1+H20)</f>
        <v>-42.0007231404959</v>
      </c>
      <c r="I26" s="8" t="n">
        <f aca="false">H26*(1+I20)</f>
        <v>-46.0098830766341</v>
      </c>
      <c r="J26" s="8" t="n">
        <f aca="false">I26*(1+J20)</f>
        <v>-50.401735552131</v>
      </c>
      <c r="K26" s="8" t="n">
        <f aca="false">J26*(1+K20)</f>
        <v>-55.2128103093799</v>
      </c>
    </row>
    <row r="27" customFormat="false" ht="15" hidden="false" customHeight="false" outlineLevel="0" collapsed="false">
      <c r="C27" s="19" t="s">
        <v>22</v>
      </c>
      <c r="D27" s="6" t="n">
        <v>-35</v>
      </c>
      <c r="E27" s="6" t="n">
        <v>-40</v>
      </c>
      <c r="F27" s="6" t="n">
        <v>-67</v>
      </c>
      <c r="G27" s="8" t="n">
        <f aca="false">F27*(1+G20)</f>
        <v>-73.3954545454545</v>
      </c>
      <c r="H27" s="8" t="n">
        <f aca="false">G27*(1+H20)</f>
        <v>-80.4013842975207</v>
      </c>
      <c r="I27" s="8" t="n">
        <f aca="false">H27*(1+I20)</f>
        <v>-88.0760618895567</v>
      </c>
      <c r="J27" s="8" t="n">
        <f aca="false">I27*(1+J20)</f>
        <v>-96.4833223426508</v>
      </c>
      <c r="K27" s="8" t="n">
        <f aca="false">J27*(1+K20)</f>
        <v>-105.693094020813</v>
      </c>
    </row>
    <row r="29" customFormat="false" ht="15" hidden="false" customHeight="false" outlineLevel="0" collapsed="false">
      <c r="C29" s="19" t="s">
        <v>23</v>
      </c>
      <c r="D29" s="6" t="n">
        <v>-10</v>
      </c>
      <c r="E29" s="6" t="n">
        <v>-12</v>
      </c>
      <c r="F29" s="6" t="n">
        <v>-14</v>
      </c>
      <c r="G29" s="8" t="n">
        <f aca="false">F29*(1+G20)</f>
        <v>-15.3363636363636</v>
      </c>
      <c r="H29" s="8" t="n">
        <f aca="false">G29*(1+H20)</f>
        <v>-16.8002892561983</v>
      </c>
      <c r="I29" s="8" t="n">
        <f aca="false">H29*(1+I20)</f>
        <v>-18.4039532306536</v>
      </c>
      <c r="J29" s="8" t="n">
        <f aca="false">I29*(1+J20)</f>
        <v>-20.1606942208524</v>
      </c>
      <c r="K29" s="8" t="n">
        <f aca="false">J29*(1+K20)</f>
        <v>-22.085124123752</v>
      </c>
    </row>
    <row r="30" customFormat="false" ht="15" hidden="false" customHeight="false" outlineLevel="0" collapsed="false">
      <c r="C30" s="19" t="s">
        <v>24</v>
      </c>
      <c r="D30" s="6" t="n">
        <v>-16</v>
      </c>
      <c r="E30" s="6" t="n">
        <v>-18</v>
      </c>
      <c r="F30" s="6" t="n">
        <v>-21</v>
      </c>
      <c r="G30" s="8" t="n">
        <f aca="false">F30*(1+G20)</f>
        <v>-23.0045454545455</v>
      </c>
      <c r="H30" s="8" t="n">
        <f aca="false">G30*(1+H20)</f>
        <v>-25.2004338842975</v>
      </c>
      <c r="I30" s="8" t="n">
        <f aca="false">H30*(1+I20)</f>
        <v>-27.6059298459805</v>
      </c>
      <c r="J30" s="8" t="n">
        <f aca="false">I30*(1+J20)</f>
        <v>-30.2410413312786</v>
      </c>
      <c r="K30" s="8" t="n">
        <f aca="false">J30*(1+K20)</f>
        <v>-33.1276861856279</v>
      </c>
    </row>
    <row r="31" customFormat="false" ht="15" hidden="false" customHeight="false" outlineLevel="0" collapsed="false">
      <c r="C31" s="19"/>
      <c r="D31" s="8"/>
      <c r="E31" s="8"/>
      <c r="F31" s="8"/>
      <c r="G31" s="8"/>
      <c r="H31" s="8"/>
      <c r="I31" s="8"/>
      <c r="J31" s="8"/>
      <c r="K31" s="8"/>
    </row>
    <row r="32" customFormat="false" ht="15" hidden="false" customHeight="false" outlineLevel="0" collapsed="false">
      <c r="C32" s="19" t="s">
        <v>25</v>
      </c>
      <c r="D32" s="8"/>
      <c r="E32" s="8"/>
      <c r="F32" s="8"/>
      <c r="G32" s="20" t="n">
        <v>0.03</v>
      </c>
      <c r="H32" s="20" t="n">
        <v>0.03</v>
      </c>
      <c r="I32" s="20" t="n">
        <v>0.03</v>
      </c>
      <c r="J32" s="20" t="n">
        <v>0.03</v>
      </c>
      <c r="K32" s="20" t="n">
        <v>0.03</v>
      </c>
    </row>
    <row r="33" customFormat="false" ht="15" hidden="false" customHeight="false" outlineLevel="0" collapsed="false">
      <c r="C33" s="19" t="s">
        <v>26</v>
      </c>
      <c r="D33" s="8"/>
      <c r="E33" s="8"/>
      <c r="F33" s="8"/>
      <c r="G33" s="20" t="n">
        <v>0.08</v>
      </c>
      <c r="H33" s="20" t="n">
        <v>0.08</v>
      </c>
      <c r="I33" s="20" t="n">
        <v>0.08</v>
      </c>
      <c r="J33" s="20" t="n">
        <v>0.08</v>
      </c>
      <c r="K33" s="20" t="n">
        <v>0.08</v>
      </c>
    </row>
    <row r="34" customFormat="false" ht="15" hidden="false" customHeight="false" outlineLevel="0" collapsed="false">
      <c r="C34" s="19"/>
      <c r="D34" s="8"/>
      <c r="E34" s="8"/>
      <c r="F34" s="8"/>
      <c r="G34" s="8"/>
      <c r="H34" s="8"/>
      <c r="I34" s="8"/>
      <c r="J34" s="8"/>
      <c r="K34" s="8"/>
    </row>
    <row r="35" customFormat="false" ht="15" hidden="false" customHeight="false" outlineLevel="0" collapsed="false">
      <c r="A35" s="5" t="s">
        <v>3</v>
      </c>
      <c r="B35" s="0" t="s">
        <v>4</v>
      </c>
      <c r="C35" s="4" t="s">
        <v>27</v>
      </c>
    </row>
    <row r="37" customFormat="false" ht="15" hidden="false" customHeight="false" outlineLevel="0" collapsed="false">
      <c r="C37" s="0" t="s">
        <v>28</v>
      </c>
      <c r="D37" s="6" t="n">
        <v>286</v>
      </c>
      <c r="E37" s="6" t="n">
        <v>296</v>
      </c>
      <c r="F37" s="6" t="n">
        <v>306</v>
      </c>
      <c r="G37" s="21" t="n">
        <f aca="false">F37+G108</f>
        <v>279.261789829119</v>
      </c>
      <c r="H37" s="21" t="n">
        <f aca="false">G37+H108</f>
        <v>262.070366227148</v>
      </c>
      <c r="I37" s="21" t="n">
        <f aca="false">H37+I108</f>
        <v>259.062007160374</v>
      </c>
      <c r="J37" s="21" t="n">
        <f aca="false">I37+J108</f>
        <v>271.925671987135</v>
      </c>
      <c r="K37" s="21" t="n">
        <f aca="false">J37+K108</f>
        <v>302.518636100459</v>
      </c>
    </row>
    <row r="38" customFormat="false" ht="15" hidden="false" customHeight="false" outlineLevel="0" collapsed="false">
      <c r="C38" s="0" t="s">
        <v>29</v>
      </c>
      <c r="D38" s="6" t="n">
        <v>135</v>
      </c>
      <c r="E38" s="6" t="n">
        <v>145</v>
      </c>
      <c r="F38" s="6" t="n">
        <v>154</v>
      </c>
      <c r="G38" s="0" t="n">
        <f aca="false">F38*(1+G20)</f>
        <v>168.7</v>
      </c>
      <c r="H38" s="7" t="n">
        <f aca="false">G38*(1+H20)</f>
        <v>184.803181818182</v>
      </c>
      <c r="I38" s="7" t="n">
        <f aca="false">H38*(1+I20)</f>
        <v>202.44348553719</v>
      </c>
      <c r="J38" s="7" t="n">
        <f aca="false">I38*(1+J20)</f>
        <v>221.767636429376</v>
      </c>
      <c r="K38" s="7" t="n">
        <f aca="false">J38*(1+K20)</f>
        <v>242.936365361271</v>
      </c>
      <c r="L38" s="22"/>
      <c r="M38" s="22"/>
      <c r="N38" s="22"/>
      <c r="O38" s="22"/>
    </row>
    <row r="39" customFormat="false" ht="15" hidden="false" customHeight="false" outlineLevel="0" collapsed="false">
      <c r="C39" s="0" t="s">
        <v>30</v>
      </c>
      <c r="D39" s="6" t="n">
        <v>265</v>
      </c>
      <c r="E39" s="6" t="n">
        <v>297</v>
      </c>
      <c r="F39" s="6" t="n">
        <v>345</v>
      </c>
      <c r="G39" s="7" t="n">
        <f aca="false">F39*(1+G24)</f>
        <v>367.144321514263</v>
      </c>
      <c r="H39" s="7" t="n">
        <f aca="false">G39*(1+H24)</f>
        <v>402.189915840624</v>
      </c>
      <c r="I39" s="7" t="n">
        <f aca="false">H39*(1+I24)</f>
        <v>440.580771443593</v>
      </c>
      <c r="J39" s="7" t="n">
        <f aca="false">I39*(1+J24)</f>
        <v>482.636208717754</v>
      </c>
      <c r="K39" s="7" t="n">
        <f aca="false">J39*(1+K24)</f>
        <v>528.706028640813</v>
      </c>
      <c r="L39" s="22"/>
      <c r="M39" s="22"/>
      <c r="N39" s="22"/>
      <c r="O39" s="22"/>
    </row>
    <row r="40" customFormat="false" ht="15" hidden="false" customHeight="false" outlineLevel="0" collapsed="false">
      <c r="C40" s="0" t="s">
        <v>31</v>
      </c>
      <c r="D40" s="6" t="n">
        <v>39</v>
      </c>
      <c r="E40" s="6" t="n">
        <v>41</v>
      </c>
      <c r="F40" s="6" t="n">
        <v>45</v>
      </c>
      <c r="G40" s="7" t="n">
        <f aca="false">F40*(1+G20)</f>
        <v>49.2954545454546</v>
      </c>
      <c r="H40" s="7" t="n">
        <f aca="false">G40*(1+H20)</f>
        <v>54.0009297520661</v>
      </c>
      <c r="I40" s="7" t="n">
        <f aca="false">H40*(1+I20)</f>
        <v>59.1555639556724</v>
      </c>
      <c r="J40" s="7" t="n">
        <f aca="false">I40*(1+J20)</f>
        <v>64.8022314241684</v>
      </c>
      <c r="K40" s="7" t="n">
        <f aca="false">J40*(1+K20)</f>
        <v>70.9878989692027</v>
      </c>
      <c r="L40" s="22"/>
      <c r="M40" s="22"/>
      <c r="N40" s="22"/>
      <c r="O40" s="22"/>
    </row>
    <row r="41" customFormat="false" ht="15" hidden="false" customHeight="false" outlineLevel="0" collapsed="false">
      <c r="B41" s="0" t="n">
        <v>1</v>
      </c>
      <c r="C41" s="15" t="s">
        <v>32</v>
      </c>
      <c r="D41" s="23" t="n">
        <f aca="false">SUM(D37:D40)</f>
        <v>725</v>
      </c>
      <c r="E41" s="23" t="n">
        <f aca="false">SUM(E37:E40)</f>
        <v>779</v>
      </c>
      <c r="F41" s="23" t="n">
        <f aca="false">SUM(F37:F40)</f>
        <v>850</v>
      </c>
      <c r="G41" s="23" t="n">
        <f aca="false">SUM(G37:G40)</f>
        <v>864.401565888836</v>
      </c>
      <c r="H41" s="23" t="n">
        <f aca="false">SUM(H37:H40)</f>
        <v>903.06439363802</v>
      </c>
      <c r="I41" s="23" t="n">
        <f aca="false">SUM(I37:I40)</f>
        <v>961.241828096829</v>
      </c>
      <c r="J41" s="23" t="n">
        <f aca="false">SUM(J37:J40)</f>
        <v>1041.13174855843</v>
      </c>
      <c r="K41" s="23" t="n">
        <f aca="false">SUM(K37:K40)</f>
        <v>1145.14892907175</v>
      </c>
      <c r="L41" s="22"/>
      <c r="M41" s="24"/>
      <c r="N41" s="24"/>
      <c r="O41" s="24"/>
    </row>
    <row r="42" customFormat="false" ht="15" hidden="false" customHeight="false" outlineLevel="0" collapsed="false">
      <c r="L42" s="22"/>
      <c r="M42" s="22"/>
      <c r="N42" s="22"/>
      <c r="O42" s="22"/>
    </row>
    <row r="43" customFormat="false" ht="15" hidden="false" customHeight="false" outlineLevel="0" collapsed="false">
      <c r="C43" s="0" t="s">
        <v>33</v>
      </c>
      <c r="D43" s="6" t="n">
        <v>210</v>
      </c>
      <c r="E43" s="6" t="n">
        <v>243</v>
      </c>
      <c r="F43" s="6" t="n">
        <v>265</v>
      </c>
      <c r="G43" s="8" t="n">
        <f aca="false">F43-G27+G26</f>
        <v>300.054545454545</v>
      </c>
      <c r="H43" s="8" t="n">
        <f aca="false">G43-H27+H26</f>
        <v>338.45520661157</v>
      </c>
      <c r="I43" s="8" t="n">
        <f aca="false">H43-I27+I26</f>
        <v>380.521385424493</v>
      </c>
      <c r="J43" s="8" t="n">
        <f aca="false">I43-J27+J26</f>
        <v>426.602972215013</v>
      </c>
      <c r="K43" s="8" t="n">
        <f aca="false">J43-K27+K26</f>
        <v>477.083255926446</v>
      </c>
      <c r="L43" s="22"/>
      <c r="M43" s="22"/>
      <c r="N43" s="22"/>
      <c r="O43" s="22"/>
    </row>
    <row r="44" customFormat="false" ht="15" hidden="false" customHeight="false" outlineLevel="0" collapsed="false">
      <c r="C44" s="0" t="s">
        <v>34</v>
      </c>
      <c r="D44" s="6" t="n">
        <v>47</v>
      </c>
      <c r="E44" s="6" t="n">
        <v>56</v>
      </c>
      <c r="F44" s="10" t="n">
        <v>67</v>
      </c>
      <c r="G44" s="25" t="n">
        <f aca="false">F44-G30+G29</f>
        <v>74.6681818181818</v>
      </c>
      <c r="H44" s="25" t="n">
        <f aca="false">G44-H30+H29</f>
        <v>83.068326446281</v>
      </c>
      <c r="I44" s="25" t="n">
        <f aca="false">H44-I30+I29</f>
        <v>92.2703030616078</v>
      </c>
      <c r="J44" s="25" t="n">
        <f aca="false">I44-J30+J29</f>
        <v>102.350650172034</v>
      </c>
      <c r="K44" s="25" t="n">
        <f aca="false">J44-K30+K29</f>
        <v>113.39321223391</v>
      </c>
      <c r="L44" s="22"/>
      <c r="M44" s="22"/>
      <c r="N44" s="22"/>
      <c r="O44" s="22"/>
    </row>
    <row r="45" customFormat="false" ht="15" hidden="false" customHeight="false" outlineLevel="0" collapsed="false">
      <c r="B45" s="0" t="n">
        <v>2</v>
      </c>
      <c r="C45" s="15" t="s">
        <v>35</v>
      </c>
      <c r="D45" s="23" t="n">
        <f aca="false">SUM(D43:D44)</f>
        <v>257</v>
      </c>
      <c r="E45" s="23" t="n">
        <f aca="false">SUM(E43:E44)</f>
        <v>299</v>
      </c>
      <c r="F45" s="23" t="n">
        <f aca="false">SUM(F43:F44)</f>
        <v>332</v>
      </c>
      <c r="G45" s="23" t="n">
        <f aca="false">SUM(G43:G44)</f>
        <v>374.722727272727</v>
      </c>
      <c r="H45" s="23" t="n">
        <f aca="false">SUM(H43:H44)</f>
        <v>421.523533057851</v>
      </c>
      <c r="I45" s="23" t="n">
        <f aca="false">SUM(I43:I44)</f>
        <v>472.791688486101</v>
      </c>
      <c r="J45" s="23" t="n">
        <f aca="false">SUM(J43:J44)</f>
        <v>528.953622387047</v>
      </c>
      <c r="K45" s="23" t="n">
        <f aca="false">SUM(K43:K44)</f>
        <v>590.476468160356</v>
      </c>
      <c r="L45" s="22"/>
      <c r="M45" s="22"/>
      <c r="N45" s="22"/>
      <c r="O45" s="22"/>
    </row>
    <row r="46" customFormat="false" ht="15" hidden="false" customHeight="false" outlineLevel="0" collapsed="false">
      <c r="G46" s="9"/>
      <c r="H46" s="9"/>
      <c r="I46" s="9"/>
      <c r="J46" s="9"/>
      <c r="K46" s="9"/>
      <c r="L46" s="22"/>
      <c r="M46" s="24"/>
      <c r="N46" s="24"/>
      <c r="O46" s="24"/>
    </row>
    <row r="47" customFormat="false" ht="15" hidden="false" customHeight="false" outlineLevel="0" collapsed="false">
      <c r="B47" s="0" t="n">
        <v>3</v>
      </c>
      <c r="C47" s="15" t="s">
        <v>36</v>
      </c>
      <c r="D47" s="23" t="n">
        <f aca="false">D41+D45</f>
        <v>982</v>
      </c>
      <c r="E47" s="23" t="n">
        <f aca="false">E41+E45</f>
        <v>1078</v>
      </c>
      <c r="F47" s="23" t="n">
        <f aca="false">F41+F45</f>
        <v>1182</v>
      </c>
      <c r="G47" s="23" t="n">
        <f aca="false">G41+G45</f>
        <v>1239.12429316156</v>
      </c>
      <c r="H47" s="23" t="n">
        <f aca="false">H41+H45</f>
        <v>1324.58792669587</v>
      </c>
      <c r="I47" s="23" t="n">
        <f aca="false">I41+I45</f>
        <v>1434.03351658293</v>
      </c>
      <c r="J47" s="23" t="n">
        <f aca="false">J41+J45</f>
        <v>1570.08537094548</v>
      </c>
      <c r="K47" s="23" t="n">
        <f aca="false">K41+K45</f>
        <v>1735.6253972321</v>
      </c>
    </row>
    <row r="49" customFormat="false" ht="15" hidden="false" customHeight="false" outlineLevel="0" collapsed="false">
      <c r="C49" s="0" t="s">
        <v>37</v>
      </c>
      <c r="D49" s="6" t="n">
        <v>45</v>
      </c>
      <c r="E49" s="6" t="n">
        <v>47</v>
      </c>
      <c r="F49" s="6" t="n">
        <v>49</v>
      </c>
      <c r="G49" s="8" t="n">
        <f aca="false">F49*(1+G24)</f>
        <v>52.1451355194171</v>
      </c>
      <c r="H49" s="8" t="n">
        <f aca="false">G49*(1+H24)</f>
        <v>57.1226257280887</v>
      </c>
      <c r="I49" s="8" t="n">
        <f aca="false">H49*(1+I24)</f>
        <v>62.5752400021335</v>
      </c>
      <c r="J49" s="8" t="n">
        <f aca="false">I49*(1+J24)</f>
        <v>68.5483310932463</v>
      </c>
      <c r="K49" s="8" t="n">
        <f aca="false">J49*(1+K24)</f>
        <v>75.0915808794198</v>
      </c>
    </row>
    <row r="50" customFormat="false" ht="15" hidden="false" customHeight="false" outlineLevel="0" collapsed="false">
      <c r="C50" s="0" t="s">
        <v>38</v>
      </c>
      <c r="D50" s="6" t="n">
        <v>32</v>
      </c>
      <c r="E50" s="6" t="n">
        <v>37</v>
      </c>
      <c r="F50" s="6" t="n">
        <v>47</v>
      </c>
      <c r="G50" s="8" t="n">
        <f aca="false">F50*(1+G20)</f>
        <v>51.4863636363636</v>
      </c>
      <c r="H50" s="8" t="n">
        <f aca="false">G50*(1+H20)</f>
        <v>56.4009710743802</v>
      </c>
      <c r="I50" s="8" t="n">
        <f aca="false">H50*(1+I20)</f>
        <v>61.7847001314801</v>
      </c>
      <c r="J50" s="8" t="n">
        <f aca="false">I50*(1+J20)</f>
        <v>67.6823305985759</v>
      </c>
      <c r="K50" s="8" t="n">
        <f aca="false">J50*(1+K20)</f>
        <v>74.1429167011673</v>
      </c>
    </row>
    <row r="51" customFormat="false" ht="15" hidden="false" customHeight="false" outlineLevel="0" collapsed="false">
      <c r="C51" s="0" t="s">
        <v>39</v>
      </c>
      <c r="D51" s="6" t="n">
        <v>112</v>
      </c>
      <c r="E51" s="6" t="n">
        <v>143</v>
      </c>
      <c r="F51" s="6" t="n">
        <v>167</v>
      </c>
      <c r="G51" s="8" t="n">
        <f aca="false">F51*(1+G20)</f>
        <v>182.940909090909</v>
      </c>
      <c r="H51" s="8" t="n">
        <f aca="false">G51*(1+H20)</f>
        <v>200.403450413223</v>
      </c>
      <c r="I51" s="8" t="n">
        <f aca="false">H51*(1+I20)</f>
        <v>219.53287067994</v>
      </c>
      <c r="J51" s="8" t="n">
        <f aca="false">I51*(1+J20)</f>
        <v>240.488281063025</v>
      </c>
      <c r="K51" s="8" t="n">
        <f aca="false">J51*(1+K20)</f>
        <v>263.443980619041</v>
      </c>
    </row>
    <row r="52" customFormat="false" ht="15" hidden="false" customHeight="false" outlineLevel="0" collapsed="false">
      <c r="B52" s="0" t="n">
        <v>1</v>
      </c>
      <c r="C52" s="15" t="s">
        <v>40</v>
      </c>
      <c r="D52" s="23" t="n">
        <f aca="false">SUM(D49:D51)</f>
        <v>189</v>
      </c>
      <c r="E52" s="23" t="n">
        <f aca="false">SUM(E49:E51)</f>
        <v>227</v>
      </c>
      <c r="F52" s="23" t="n">
        <f aca="false">SUM(F49:F51)</f>
        <v>263</v>
      </c>
      <c r="G52" s="23" t="n">
        <f aca="false">SUM(G49:G51)</f>
        <v>286.57240824669</v>
      </c>
      <c r="H52" s="23" t="n">
        <f aca="false">SUM(H49:H51)</f>
        <v>313.927047215692</v>
      </c>
      <c r="I52" s="23" t="n">
        <f aca="false">SUM(I49:I51)</f>
        <v>343.892810813553</v>
      </c>
      <c r="J52" s="23" t="n">
        <f aca="false">SUM(J49:J51)</f>
        <v>376.718942754847</v>
      </c>
      <c r="K52" s="23" t="n">
        <f aca="false">SUM(K49:K51)</f>
        <v>412.678478199628</v>
      </c>
    </row>
    <row r="54" customFormat="false" ht="15" hidden="false" customHeight="false" outlineLevel="0" collapsed="false">
      <c r="C54" s="0" t="s">
        <v>41</v>
      </c>
      <c r="D54" s="6" t="n">
        <v>0</v>
      </c>
      <c r="E54" s="6" t="n">
        <v>12</v>
      </c>
      <c r="F54" s="6" t="n">
        <v>5</v>
      </c>
      <c r="G54" s="21" t="n">
        <f aca="false">F54+G112</f>
        <v>0</v>
      </c>
      <c r="H54" s="21" t="n">
        <f aca="false">G54+H112</f>
        <v>0</v>
      </c>
      <c r="I54" s="21" t="n">
        <f aca="false">H54+I112</f>
        <v>0</v>
      </c>
      <c r="J54" s="21" t="n">
        <f aca="false">I54+J112</f>
        <v>0</v>
      </c>
      <c r="K54" s="21" t="n">
        <f aca="false">J54+K112</f>
        <v>0</v>
      </c>
    </row>
    <row r="55" customFormat="false" ht="15" hidden="false" customHeight="false" outlineLevel="0" collapsed="false">
      <c r="C55" s="0" t="s">
        <v>42</v>
      </c>
      <c r="D55" s="6" t="n">
        <v>167</v>
      </c>
      <c r="E55" s="6" t="n">
        <v>178</v>
      </c>
      <c r="F55" s="6" t="n">
        <v>186</v>
      </c>
      <c r="G55" s="8" t="n">
        <f aca="false">F55</f>
        <v>186</v>
      </c>
      <c r="H55" s="8" t="n">
        <f aca="false">G55</f>
        <v>186</v>
      </c>
      <c r="I55" s="8" t="n">
        <f aca="false">H55</f>
        <v>186</v>
      </c>
      <c r="J55" s="8" t="n">
        <f aca="false">I55</f>
        <v>186</v>
      </c>
      <c r="K55" s="8" t="n">
        <f aca="false">J55</f>
        <v>186</v>
      </c>
    </row>
    <row r="56" customFormat="false" ht="15" hidden="false" customHeight="false" outlineLevel="0" collapsed="false">
      <c r="C56" s="0" t="s">
        <v>43</v>
      </c>
      <c r="D56" s="6" t="n">
        <v>45</v>
      </c>
      <c r="E56" s="6" t="n">
        <v>47</v>
      </c>
      <c r="F56" s="6" t="n">
        <v>49</v>
      </c>
      <c r="G56" s="8" t="n">
        <f aca="false">F56</f>
        <v>49</v>
      </c>
      <c r="H56" s="8" t="n">
        <f aca="false">G56</f>
        <v>49</v>
      </c>
      <c r="I56" s="8" t="n">
        <f aca="false">H56</f>
        <v>49</v>
      </c>
      <c r="J56" s="8" t="n">
        <f aca="false">I56</f>
        <v>49</v>
      </c>
      <c r="K56" s="8" t="n">
        <f aca="false">J56</f>
        <v>49</v>
      </c>
    </row>
    <row r="57" customFormat="false" ht="15" hidden="false" customHeight="false" outlineLevel="0" collapsed="false">
      <c r="B57" s="0" t="n">
        <v>2</v>
      </c>
      <c r="C57" s="15" t="s">
        <v>44</v>
      </c>
      <c r="D57" s="23" t="n">
        <f aca="false">SUM(D54:D56)+D52</f>
        <v>401</v>
      </c>
      <c r="E57" s="23" t="n">
        <f aca="false">SUM(E54:E56)+E52</f>
        <v>464</v>
      </c>
      <c r="F57" s="23" t="n">
        <f aca="false">SUM(F54:F56)+F52</f>
        <v>503</v>
      </c>
      <c r="G57" s="23" t="n">
        <f aca="false">SUM(G54:G56)+G52</f>
        <v>521.57240824669</v>
      </c>
      <c r="H57" s="23" t="n">
        <f aca="false">SUM(H54:H56)+H52</f>
        <v>548.927047215692</v>
      </c>
      <c r="I57" s="23" t="n">
        <f aca="false">SUM(I54:I56)+I52</f>
        <v>578.892810813554</v>
      </c>
      <c r="J57" s="23" t="n">
        <f aca="false">SUM(J54:J56)+J52</f>
        <v>611.718942754847</v>
      </c>
      <c r="K57" s="23" t="n">
        <f aca="false">SUM(K54:K56)+K52</f>
        <v>647.678478199628</v>
      </c>
    </row>
    <row r="59" customFormat="false" ht="15" hidden="false" customHeight="false" outlineLevel="0" collapsed="false">
      <c r="C59" s="0" t="s">
        <v>45</v>
      </c>
      <c r="D59" s="6" t="n">
        <v>35</v>
      </c>
      <c r="E59" s="6" t="n">
        <v>37</v>
      </c>
      <c r="F59" s="6" t="n">
        <v>39</v>
      </c>
      <c r="G59" s="7" t="n">
        <f aca="false">G72</f>
        <v>44</v>
      </c>
      <c r="H59" s="7" t="n">
        <f aca="false">H72</f>
        <v>49</v>
      </c>
      <c r="I59" s="7" t="n">
        <f aca="false">I72</f>
        <v>54</v>
      </c>
      <c r="J59" s="7" t="n">
        <f aca="false">J72</f>
        <v>59</v>
      </c>
      <c r="K59" s="7" t="n">
        <f aca="false">K72</f>
        <v>64</v>
      </c>
    </row>
    <row r="60" customFormat="false" ht="15" hidden="false" customHeight="false" outlineLevel="0" collapsed="false">
      <c r="C60" s="0" t="s">
        <v>46</v>
      </c>
      <c r="D60" s="6" t="n">
        <v>-145</v>
      </c>
      <c r="E60" s="6" t="n">
        <v>-178</v>
      </c>
      <c r="F60" s="6" t="n">
        <v>-210</v>
      </c>
      <c r="G60" s="8" t="n">
        <f aca="false">G76</f>
        <v>-230</v>
      </c>
      <c r="H60" s="8" t="n">
        <f aca="false">H76</f>
        <v>-250</v>
      </c>
      <c r="I60" s="8" t="n">
        <f aca="false">I76</f>
        <v>-270</v>
      </c>
      <c r="J60" s="8" t="n">
        <f aca="false">J76</f>
        <v>-290</v>
      </c>
      <c r="K60" s="8" t="n">
        <f aca="false">K76</f>
        <v>-310</v>
      </c>
    </row>
    <row r="61" customFormat="false" ht="15" hidden="false" customHeight="false" outlineLevel="0" collapsed="false">
      <c r="C61" s="0" t="s">
        <v>47</v>
      </c>
      <c r="D61" s="6" t="n">
        <v>-7</v>
      </c>
      <c r="E61" s="6" t="n">
        <v>12</v>
      </c>
      <c r="F61" s="6" t="n">
        <v>43</v>
      </c>
      <c r="G61" s="8" t="n">
        <f aca="false">F61</f>
        <v>43</v>
      </c>
      <c r="H61" s="8" t="n">
        <f aca="false">G61</f>
        <v>43</v>
      </c>
      <c r="I61" s="8" t="n">
        <f aca="false">H61</f>
        <v>43</v>
      </c>
      <c r="J61" s="8" t="n">
        <f aca="false">I61</f>
        <v>43</v>
      </c>
      <c r="K61" s="8" t="n">
        <f aca="false">J61</f>
        <v>43</v>
      </c>
    </row>
    <row r="62" customFormat="false" ht="15" hidden="false" customHeight="false" outlineLevel="0" collapsed="false">
      <c r="A62" s="26" t="s">
        <v>48</v>
      </c>
      <c r="C62" s="0" t="s">
        <v>49</v>
      </c>
      <c r="D62" s="27" t="n">
        <v>698</v>
      </c>
      <c r="E62" s="27" t="n">
        <v>743</v>
      </c>
      <c r="F62" s="27" t="n">
        <v>807</v>
      </c>
      <c r="G62" s="25" t="n">
        <f aca="false">G81</f>
        <v>860.551884914874</v>
      </c>
      <c r="H62" s="25" t="n">
        <f aca="false">H81</f>
        <v>933.660879480179</v>
      </c>
      <c r="I62" s="25" t="n">
        <f aca="false">I81</f>
        <v>1028.14070576938</v>
      </c>
      <c r="J62" s="25" t="n">
        <f aca="false">J81</f>
        <v>1146.36642819063</v>
      </c>
      <c r="K62" s="25" t="n">
        <f aca="false">K81</f>
        <v>1290.94691903247</v>
      </c>
    </row>
    <row r="63" customFormat="false" ht="15" hidden="false" customHeight="false" outlineLevel="0" collapsed="false">
      <c r="B63" s="0" t="n">
        <v>3</v>
      </c>
      <c r="C63" s="15" t="s">
        <v>50</v>
      </c>
      <c r="D63" s="23" t="n">
        <f aca="false">SUM(D59:D62)</f>
        <v>581</v>
      </c>
      <c r="E63" s="23" t="n">
        <f aca="false">SUM(E59:E62)</f>
        <v>614</v>
      </c>
      <c r="F63" s="23" t="n">
        <f aca="false">SUM(F59:F62)</f>
        <v>679</v>
      </c>
      <c r="G63" s="11" t="n">
        <f aca="false">SUM(G59:G62)</f>
        <v>717.551884914874</v>
      </c>
      <c r="H63" s="11" t="n">
        <f aca="false">SUM(H59:H62)</f>
        <v>775.660879480179</v>
      </c>
      <c r="I63" s="11" t="n">
        <f aca="false">SUM(I59:I62)</f>
        <v>855.140705769376</v>
      </c>
      <c r="J63" s="11" t="n">
        <f aca="false">SUM(J59:J62)</f>
        <v>958.366428190634</v>
      </c>
      <c r="K63" s="11" t="n">
        <f aca="false">SUM(K59:K62)</f>
        <v>1087.94691903247</v>
      </c>
    </row>
    <row r="65" customFormat="false" ht="15" hidden="false" customHeight="false" outlineLevel="0" collapsed="false">
      <c r="C65" s="15" t="s">
        <v>51</v>
      </c>
      <c r="D65" s="23" t="n">
        <f aca="false">D57+D63</f>
        <v>982</v>
      </c>
      <c r="E65" s="23" t="n">
        <f aca="false">E57+E63</f>
        <v>1078</v>
      </c>
      <c r="F65" s="23" t="n">
        <f aca="false">F57+F63</f>
        <v>1182</v>
      </c>
      <c r="G65" s="23" t="n">
        <f aca="false">G57+G63</f>
        <v>1239.12429316156</v>
      </c>
      <c r="H65" s="23" t="n">
        <f aca="false">H57+H63</f>
        <v>1324.58792669587</v>
      </c>
      <c r="I65" s="23" t="n">
        <f aca="false">I57+I63</f>
        <v>1434.03351658293</v>
      </c>
      <c r="J65" s="23" t="n">
        <f aca="false">J57+J63</f>
        <v>1570.08537094548</v>
      </c>
      <c r="K65" s="23" t="n">
        <f aca="false">K57+K63</f>
        <v>1735.6253972321</v>
      </c>
    </row>
    <row r="66" customFormat="false" ht="15" hidden="false" customHeight="false" outlineLevel="0" collapsed="false">
      <c r="C66" s="0" t="s">
        <v>36</v>
      </c>
      <c r="D66" s="7" t="n">
        <f aca="false">D47</f>
        <v>982</v>
      </c>
      <c r="E66" s="7" t="n">
        <f aca="false">E47</f>
        <v>1078</v>
      </c>
      <c r="F66" s="7" t="n">
        <f aca="false">F47</f>
        <v>1182</v>
      </c>
      <c r="G66" s="7" t="n">
        <f aca="false">G47</f>
        <v>1239.12429316156</v>
      </c>
      <c r="H66" s="7" t="n">
        <f aca="false">H47</f>
        <v>1324.58792669587</v>
      </c>
      <c r="I66" s="7" t="n">
        <f aca="false">I47</f>
        <v>1434.03351658293</v>
      </c>
      <c r="J66" s="7" t="n">
        <f aca="false">J47</f>
        <v>1570.08537094548</v>
      </c>
      <c r="K66" s="7" t="n">
        <f aca="false">K47</f>
        <v>1735.6253972321</v>
      </c>
    </row>
    <row r="67" customFormat="false" ht="15" hidden="false" customHeight="false" outlineLevel="0" collapsed="false">
      <c r="C67" s="28" t="s">
        <v>52</v>
      </c>
      <c r="D67" s="29" t="n">
        <f aca="false">D65-D66</f>
        <v>0</v>
      </c>
      <c r="E67" s="29" t="n">
        <f aca="false">E65-E66</f>
        <v>0</v>
      </c>
      <c r="F67" s="29" t="n">
        <f aca="false">F65-F66</f>
        <v>0</v>
      </c>
      <c r="G67" s="29" t="n">
        <f aca="false">G65-G66</f>
        <v>0</v>
      </c>
      <c r="H67" s="29" t="n">
        <f aca="false">H65-H66</f>
        <v>0</v>
      </c>
      <c r="I67" s="29" t="n">
        <f aca="false">I65-I66</f>
        <v>0</v>
      </c>
      <c r="J67" s="29" t="n">
        <f aca="false">J65-J66</f>
        <v>0</v>
      </c>
      <c r="K67" s="29" t="n">
        <f aca="false">K65-K66</f>
        <v>0</v>
      </c>
    </row>
    <row r="69" customFormat="false" ht="15" hidden="false" customHeight="false" outlineLevel="0" collapsed="false">
      <c r="A69" s="5" t="s">
        <v>3</v>
      </c>
      <c r="B69" s="0" t="s">
        <v>4</v>
      </c>
      <c r="C69" s="4" t="s">
        <v>53</v>
      </c>
    </row>
    <row r="70" customFormat="false" ht="15" hidden="false" customHeight="false" outlineLevel="0" collapsed="false">
      <c r="C70" s="0" t="s">
        <v>54</v>
      </c>
      <c r="G70" s="7" t="n">
        <f aca="false">F59</f>
        <v>39</v>
      </c>
      <c r="H70" s="7" t="n">
        <f aca="false">G72</f>
        <v>44</v>
      </c>
      <c r="I70" s="7" t="n">
        <f aca="false">H72</f>
        <v>49</v>
      </c>
      <c r="J70" s="7" t="n">
        <f aca="false">I72</f>
        <v>54</v>
      </c>
      <c r="K70" s="7" t="n">
        <f aca="false">J72</f>
        <v>59</v>
      </c>
      <c r="L70" s="30"/>
    </row>
    <row r="71" customFormat="false" ht="15" hidden="false" customHeight="false" outlineLevel="0" collapsed="false">
      <c r="C71" s="0" t="s">
        <v>55</v>
      </c>
      <c r="G71" s="31" t="n">
        <v>5</v>
      </c>
      <c r="H71" s="31" t="n">
        <v>5</v>
      </c>
      <c r="I71" s="31" t="n">
        <v>5</v>
      </c>
      <c r="J71" s="31" t="n">
        <v>5</v>
      </c>
      <c r="K71" s="31" t="n">
        <v>5</v>
      </c>
    </row>
    <row r="72" customFormat="false" ht="15" hidden="false" customHeight="false" outlineLevel="0" collapsed="false">
      <c r="C72" s="15" t="s">
        <v>56</v>
      </c>
      <c r="D72" s="15"/>
      <c r="E72" s="15"/>
      <c r="F72" s="15"/>
      <c r="G72" s="23" t="n">
        <f aca="false">SUM(G70:G71)</f>
        <v>44</v>
      </c>
      <c r="H72" s="23" t="n">
        <f aca="false">SUM(H70:H71)</f>
        <v>49</v>
      </c>
      <c r="I72" s="23" t="n">
        <f aca="false">SUM(I70:I71)</f>
        <v>54</v>
      </c>
      <c r="J72" s="23" t="n">
        <f aca="false">SUM(J70:J71)</f>
        <v>59</v>
      </c>
      <c r="K72" s="23" t="n">
        <f aca="false">SUM(K70:K71)</f>
        <v>64</v>
      </c>
    </row>
    <row r="74" customFormat="false" ht="15" hidden="false" customHeight="false" outlineLevel="0" collapsed="false">
      <c r="C74" s="0" t="s">
        <v>57</v>
      </c>
      <c r="G74" s="7" t="n">
        <f aca="false">F60</f>
        <v>-210</v>
      </c>
      <c r="H74" s="7" t="n">
        <f aca="false">G76</f>
        <v>-230</v>
      </c>
      <c r="I74" s="7" t="n">
        <f aca="false">H76</f>
        <v>-250</v>
      </c>
      <c r="J74" s="7" t="n">
        <f aca="false">I76</f>
        <v>-270</v>
      </c>
      <c r="K74" s="7" t="n">
        <f aca="false">J76</f>
        <v>-290</v>
      </c>
    </row>
    <row r="75" customFormat="false" ht="15" hidden="false" customHeight="false" outlineLevel="0" collapsed="false">
      <c r="C75" s="9" t="s">
        <v>58</v>
      </c>
      <c r="D75" s="9"/>
      <c r="E75" s="9"/>
      <c r="F75" s="9"/>
      <c r="G75" s="32" t="n">
        <v>-20</v>
      </c>
      <c r="H75" s="32" t="n">
        <v>-20</v>
      </c>
      <c r="I75" s="32" t="n">
        <v>-20</v>
      </c>
      <c r="J75" s="32" t="n">
        <v>-20</v>
      </c>
      <c r="K75" s="32" t="n">
        <v>-20</v>
      </c>
    </row>
    <row r="76" customFormat="false" ht="15" hidden="false" customHeight="false" outlineLevel="0" collapsed="false">
      <c r="C76" s="4" t="s">
        <v>59</v>
      </c>
      <c r="D76" s="4"/>
      <c r="E76" s="4"/>
      <c r="F76" s="4"/>
      <c r="G76" s="11" t="n">
        <f aca="false">SUM(G74:G75)</f>
        <v>-230</v>
      </c>
      <c r="H76" s="11" t="n">
        <f aca="false">SUM(H74:H75)</f>
        <v>-250</v>
      </c>
      <c r="I76" s="11" t="n">
        <f aca="false">SUM(I74:I75)</f>
        <v>-270</v>
      </c>
      <c r="J76" s="11" t="n">
        <f aca="false">SUM(J74:J75)</f>
        <v>-290</v>
      </c>
      <c r="K76" s="11" t="n">
        <f aca="false">SUM(K74:K75)</f>
        <v>-310</v>
      </c>
    </row>
    <row r="78" customFormat="false" ht="15" hidden="false" customHeight="false" outlineLevel="0" collapsed="false">
      <c r="C78" s="0" t="s">
        <v>60</v>
      </c>
      <c r="G78" s="7" t="n">
        <f aca="false">F62</f>
        <v>807</v>
      </c>
      <c r="H78" s="7" t="n">
        <f aca="false">G81</f>
        <v>860.551884914874</v>
      </c>
      <c r="I78" s="7" t="n">
        <f aca="false">H81</f>
        <v>933.660879480179</v>
      </c>
      <c r="J78" s="7" t="n">
        <f aca="false">I81</f>
        <v>1028.14070576938</v>
      </c>
      <c r="K78" s="7" t="n">
        <f aca="false">J81</f>
        <v>1146.36642819063</v>
      </c>
    </row>
    <row r="79" customFormat="false" ht="15" hidden="false" customHeight="false" outlineLevel="0" collapsed="false">
      <c r="C79" s="0" t="s">
        <v>61</v>
      </c>
      <c r="G79" s="7" t="n">
        <f aca="false">G17</f>
        <v>203.551884914874</v>
      </c>
      <c r="H79" s="7" t="n">
        <f aca="false">H17</f>
        <v>223.108994565306</v>
      </c>
      <c r="I79" s="7" t="n">
        <f aca="false">I17</f>
        <v>244.479826289197</v>
      </c>
      <c r="J79" s="7" t="n">
        <f aca="false">J17</f>
        <v>268.225722421257</v>
      </c>
      <c r="K79" s="7" t="n">
        <f aca="false">K17</f>
        <v>294.580490841839</v>
      </c>
    </row>
    <row r="80" customFormat="false" ht="15" hidden="false" customHeight="false" outlineLevel="0" collapsed="false">
      <c r="C80" s="0" t="s">
        <v>62</v>
      </c>
      <c r="G80" s="32" t="n">
        <v>-150</v>
      </c>
      <c r="H80" s="32" t="n">
        <v>-150</v>
      </c>
      <c r="I80" s="32" t="n">
        <v>-150</v>
      </c>
      <c r="J80" s="32" t="n">
        <v>-150</v>
      </c>
      <c r="K80" s="32" t="n">
        <v>-150</v>
      </c>
    </row>
    <row r="81" customFormat="false" ht="15" hidden="false" customHeight="false" outlineLevel="0" collapsed="false">
      <c r="C81" s="15" t="s">
        <v>63</v>
      </c>
      <c r="D81" s="15"/>
      <c r="E81" s="15"/>
      <c r="F81" s="15"/>
      <c r="G81" s="12" t="n">
        <f aca="false">SUM(G78:G80)</f>
        <v>860.551884914874</v>
      </c>
      <c r="H81" s="12" t="n">
        <f aca="false">SUM(H78:H80)</f>
        <v>933.660879480179</v>
      </c>
      <c r="I81" s="12" t="n">
        <f aca="false">SUM(I78:I80)</f>
        <v>1028.14070576938</v>
      </c>
      <c r="J81" s="12" t="n">
        <f aca="false">SUM(J78:J80)</f>
        <v>1146.36642819063</v>
      </c>
      <c r="K81" s="12" t="n">
        <f aca="false">SUM(K78:K80)</f>
        <v>1290.94691903247</v>
      </c>
    </row>
    <row r="83" customFormat="false" ht="15" hidden="false" customHeight="false" outlineLevel="0" collapsed="false">
      <c r="A83" s="5" t="s">
        <v>3</v>
      </c>
      <c r="B83" s="0" t="s">
        <v>4</v>
      </c>
      <c r="C83" s="4" t="s">
        <v>64</v>
      </c>
    </row>
    <row r="85" customFormat="false" ht="15" hidden="false" customHeight="false" outlineLevel="0" collapsed="false">
      <c r="C85" s="0" t="s">
        <v>65</v>
      </c>
      <c r="G85" s="8" t="n">
        <f aca="false">G17</f>
        <v>203.551884914874</v>
      </c>
      <c r="H85" s="8" t="n">
        <f aca="false">H17</f>
        <v>223.108994565306</v>
      </c>
      <c r="I85" s="8" t="n">
        <f aca="false">I17</f>
        <v>244.479826289197</v>
      </c>
      <c r="J85" s="8" t="n">
        <f aca="false">J17</f>
        <v>268.225722421257</v>
      </c>
      <c r="K85" s="8" t="n">
        <f aca="false">K17</f>
        <v>294.580490841839</v>
      </c>
    </row>
    <row r="86" customFormat="false" ht="15" hidden="false" customHeight="false" outlineLevel="0" collapsed="false">
      <c r="C86" s="0" t="s">
        <v>66</v>
      </c>
      <c r="G86" s="8" t="n">
        <f aca="false">-(G26+G29)</f>
        <v>53.6772727272727</v>
      </c>
      <c r="H86" s="8" t="n">
        <f aca="false">-(H26+H29)</f>
        <v>58.8010123966942</v>
      </c>
      <c r="I86" s="8" t="n">
        <f aca="false">-(I26+I29)</f>
        <v>64.4138363072878</v>
      </c>
      <c r="J86" s="8" t="n">
        <f aca="false">-(J26+J29)</f>
        <v>70.5624297729834</v>
      </c>
      <c r="K86" s="8" t="n">
        <f aca="false">-(K26+K29)</f>
        <v>77.2979344331318</v>
      </c>
    </row>
    <row r="87" customFormat="false" ht="15" hidden="false" customHeight="false" outlineLevel="0" collapsed="false">
      <c r="C87" s="0" t="s">
        <v>29</v>
      </c>
      <c r="G87" s="8" t="n">
        <f aca="false">F38-G38</f>
        <v>-14.7</v>
      </c>
      <c r="H87" s="8" t="n">
        <f aca="false">G38-H38</f>
        <v>-16.1031818181818</v>
      </c>
      <c r="I87" s="8" t="n">
        <f aca="false">H38-I38</f>
        <v>-17.6403037190083</v>
      </c>
      <c r="J87" s="8" t="n">
        <f aca="false">I38-J38</f>
        <v>-19.3241508921863</v>
      </c>
      <c r="K87" s="8" t="n">
        <f aca="false">J38-K38</f>
        <v>-21.168728931895</v>
      </c>
    </row>
    <row r="88" customFormat="false" ht="15" hidden="false" customHeight="false" outlineLevel="0" collapsed="false">
      <c r="C88" s="0" t="s">
        <v>30</v>
      </c>
      <c r="G88" s="7" t="n">
        <f aca="false">F39-G39</f>
        <v>-22.1443215142629</v>
      </c>
      <c r="H88" s="7" t="n">
        <f aca="false">G39-H39</f>
        <v>-35.0455943263615</v>
      </c>
      <c r="I88" s="7" t="n">
        <f aca="false">H39-I39</f>
        <v>-38.3908556029687</v>
      </c>
      <c r="J88" s="7" t="n">
        <f aca="false">I39-J39</f>
        <v>-42.0554372741611</v>
      </c>
      <c r="K88" s="7" t="n">
        <f aca="false">J39-K39</f>
        <v>-46.0698199230584</v>
      </c>
    </row>
    <row r="89" customFormat="false" ht="15" hidden="false" customHeight="false" outlineLevel="0" collapsed="false">
      <c r="C89" s="0" t="s">
        <v>31</v>
      </c>
      <c r="G89" s="7" t="n">
        <f aca="false">F40-G40</f>
        <v>-4.29545454545455</v>
      </c>
      <c r="H89" s="7" t="n">
        <f aca="false">G40-H40</f>
        <v>-4.70547520661157</v>
      </c>
      <c r="I89" s="7" t="n">
        <f aca="false">H40-I40</f>
        <v>-5.15463420360631</v>
      </c>
      <c r="J89" s="7" t="n">
        <f aca="false">I40-J40</f>
        <v>-5.64666746849601</v>
      </c>
      <c r="K89" s="7" t="n">
        <f aca="false">J40-K40</f>
        <v>-6.18566754503426</v>
      </c>
    </row>
    <row r="90" customFormat="false" ht="15" hidden="false" customHeight="false" outlineLevel="0" collapsed="false">
      <c r="C90" s="0" t="s">
        <v>37</v>
      </c>
      <c r="G90" s="8" t="n">
        <f aca="false">G49-F49</f>
        <v>3.14513551941705</v>
      </c>
      <c r="H90" s="8" t="n">
        <f aca="false">H49-G49</f>
        <v>4.97749020867163</v>
      </c>
      <c r="I90" s="8" t="n">
        <f aca="false">I49-H49</f>
        <v>5.45261427404483</v>
      </c>
      <c r="J90" s="8" t="n">
        <f aca="false">J49-I49</f>
        <v>5.97309109111274</v>
      </c>
      <c r="K90" s="8" t="n">
        <f aca="false">K49-J49</f>
        <v>6.5432497861735</v>
      </c>
    </row>
    <row r="91" customFormat="false" ht="15" hidden="false" customHeight="false" outlineLevel="0" collapsed="false">
      <c r="C91" s="0" t="s">
        <v>38</v>
      </c>
      <c r="G91" s="8" t="n">
        <f aca="false">G50-F50</f>
        <v>4.48636363636363</v>
      </c>
      <c r="H91" s="8" t="n">
        <f aca="false">H50-G50</f>
        <v>4.91460743801653</v>
      </c>
      <c r="I91" s="8" t="n">
        <f aca="false">I50-H50</f>
        <v>5.38372905709993</v>
      </c>
      <c r="J91" s="8" t="n">
        <f aca="false">J50-I50</f>
        <v>5.89763046709582</v>
      </c>
      <c r="K91" s="8" t="n">
        <f aca="false">K50-J50</f>
        <v>6.46058610259134</v>
      </c>
    </row>
    <row r="92" customFormat="false" ht="15" hidden="false" customHeight="false" outlineLevel="0" collapsed="false">
      <c r="C92" s="0" t="s">
        <v>39</v>
      </c>
      <c r="G92" s="8" t="n">
        <f aca="false">G51-F51</f>
        <v>15.9409090909091</v>
      </c>
      <c r="H92" s="8" t="n">
        <f aca="false">H51-G51</f>
        <v>17.4625413223141</v>
      </c>
      <c r="I92" s="8" t="n">
        <f aca="false">I51-H51</f>
        <v>19.1294202667168</v>
      </c>
      <c r="J92" s="8" t="n">
        <f aca="false">J51-I51</f>
        <v>20.9554103830852</v>
      </c>
      <c r="K92" s="8" t="n">
        <f aca="false">K51-J51</f>
        <v>22.955699556016</v>
      </c>
    </row>
    <row r="93" customFormat="false" ht="15" hidden="false" customHeight="false" outlineLevel="0" collapsed="false">
      <c r="C93" s="15" t="s">
        <v>67</v>
      </c>
      <c r="D93" s="15"/>
      <c r="E93" s="15"/>
      <c r="F93" s="15"/>
      <c r="G93" s="12" t="n">
        <f aca="false">SUM(G85:G92)</f>
        <v>239.661789829119</v>
      </c>
      <c r="H93" s="12" t="n">
        <f aca="false">SUM(H85:H92)</f>
        <v>253.410394579847</v>
      </c>
      <c r="I93" s="12" t="n">
        <f aca="false">SUM(I85:I92)</f>
        <v>277.673632668763</v>
      </c>
      <c r="J93" s="12" t="n">
        <f aca="false">SUM(J85:J92)</f>
        <v>304.588028500691</v>
      </c>
      <c r="K93" s="12" t="n">
        <f aca="false">SUM(K85:K92)</f>
        <v>334.413744319764</v>
      </c>
    </row>
    <row r="95" customFormat="false" ht="15" hidden="false" customHeight="false" outlineLevel="0" collapsed="false">
      <c r="C95" s="0" t="s">
        <v>68</v>
      </c>
      <c r="G95" s="8" t="n">
        <f aca="false">G27</f>
        <v>-73.3954545454545</v>
      </c>
      <c r="H95" s="8" t="n">
        <f aca="false">H27</f>
        <v>-80.4013842975207</v>
      </c>
      <c r="I95" s="8" t="n">
        <f aca="false">I27</f>
        <v>-88.0760618895567</v>
      </c>
      <c r="J95" s="8" t="n">
        <f aca="false">J27</f>
        <v>-96.4833223426508</v>
      </c>
      <c r="K95" s="8" t="n">
        <f aca="false">K27</f>
        <v>-105.693094020813</v>
      </c>
    </row>
    <row r="96" customFormat="false" ht="15" hidden="false" customHeight="false" outlineLevel="0" collapsed="false">
      <c r="C96" s="0" t="s">
        <v>69</v>
      </c>
      <c r="G96" s="8" t="n">
        <f aca="false">G30</f>
        <v>-23.0045454545455</v>
      </c>
      <c r="H96" s="8" t="n">
        <f aca="false">H30</f>
        <v>-25.2004338842975</v>
      </c>
      <c r="I96" s="8" t="n">
        <f aca="false">I30</f>
        <v>-27.6059298459805</v>
      </c>
      <c r="J96" s="8" t="n">
        <f aca="false">J30</f>
        <v>-30.2410413312786</v>
      </c>
      <c r="K96" s="8" t="n">
        <f aca="false">K30</f>
        <v>-33.1276861856279</v>
      </c>
    </row>
    <row r="97" customFormat="false" ht="15" hidden="false" customHeight="false" outlineLevel="0" collapsed="false">
      <c r="C97" s="15" t="s">
        <v>70</v>
      </c>
      <c r="D97" s="15"/>
      <c r="E97" s="15"/>
      <c r="F97" s="15"/>
      <c r="G97" s="12" t="n">
        <f aca="false">SUM(G95:G96)</f>
        <v>-96.4</v>
      </c>
      <c r="H97" s="12" t="n">
        <f aca="false">SUM(H95:H96)</f>
        <v>-105.601818181818</v>
      </c>
      <c r="I97" s="12" t="n">
        <f aca="false">SUM(I95:I96)</f>
        <v>-115.681991735537</v>
      </c>
      <c r="J97" s="12" t="n">
        <f aca="false">SUM(J95:J96)</f>
        <v>-126.724363673929</v>
      </c>
      <c r="K97" s="12" t="n">
        <f aca="false">SUM(K95:K96)</f>
        <v>-138.820780206441</v>
      </c>
    </row>
    <row r="99" customFormat="false" ht="15" hidden="false" customHeight="false" outlineLevel="0" collapsed="false">
      <c r="C99" s="0" t="s">
        <v>42</v>
      </c>
      <c r="G99" s="8" t="n">
        <f aca="false">G55-F55</f>
        <v>0</v>
      </c>
      <c r="H99" s="8" t="n">
        <f aca="false">H55-G55</f>
        <v>0</v>
      </c>
      <c r="I99" s="8" t="n">
        <f aca="false">I55-H55</f>
        <v>0</v>
      </c>
      <c r="J99" s="8" t="n">
        <f aca="false">J55-I55</f>
        <v>0</v>
      </c>
      <c r="K99" s="8" t="n">
        <f aca="false">K55-J55</f>
        <v>0</v>
      </c>
    </row>
    <row r="100" customFormat="false" ht="15" hidden="false" customHeight="false" outlineLevel="0" collapsed="false">
      <c r="C100" s="0" t="s">
        <v>41</v>
      </c>
      <c r="G100" s="21" t="n">
        <f aca="false">G54-F54</f>
        <v>-5</v>
      </c>
      <c r="H100" s="21" t="n">
        <f aca="false">H54-G54</f>
        <v>0</v>
      </c>
      <c r="I100" s="21" t="n">
        <f aca="false">I54-H54</f>
        <v>0</v>
      </c>
      <c r="J100" s="21" t="n">
        <f aca="false">J54-I54</f>
        <v>0</v>
      </c>
      <c r="K100" s="21" t="n">
        <f aca="false">K54-J54</f>
        <v>0</v>
      </c>
    </row>
    <row r="101" customFormat="false" ht="15" hidden="false" customHeight="false" outlineLevel="0" collapsed="false">
      <c r="C101" s="0" t="s">
        <v>43</v>
      </c>
      <c r="G101" s="8" t="n">
        <f aca="false">G56-F56</f>
        <v>0</v>
      </c>
      <c r="H101" s="8" t="n">
        <f aca="false">H56-G56</f>
        <v>0</v>
      </c>
      <c r="I101" s="8" t="n">
        <f aca="false">I56-H56</f>
        <v>0</v>
      </c>
      <c r="J101" s="8" t="n">
        <f aca="false">J56-I56</f>
        <v>0</v>
      </c>
      <c r="K101" s="8" t="n">
        <f aca="false">K56-J56</f>
        <v>0</v>
      </c>
    </row>
    <row r="102" customFormat="false" ht="15" hidden="false" customHeight="false" outlineLevel="0" collapsed="false">
      <c r="C102" s="0" t="s">
        <v>71</v>
      </c>
      <c r="G102" s="7" t="n">
        <f aca="false">G71</f>
        <v>5</v>
      </c>
      <c r="H102" s="7" t="n">
        <f aca="false">H71</f>
        <v>5</v>
      </c>
      <c r="I102" s="7" t="n">
        <f aca="false">I71</f>
        <v>5</v>
      </c>
      <c r="J102" s="7" t="n">
        <f aca="false">J71</f>
        <v>5</v>
      </c>
      <c r="K102" s="7" t="n">
        <f aca="false">K71</f>
        <v>5</v>
      </c>
    </row>
    <row r="103" customFormat="false" ht="15" hidden="false" customHeight="false" outlineLevel="0" collapsed="false">
      <c r="C103" s="0" t="s">
        <v>46</v>
      </c>
      <c r="G103" s="8" t="n">
        <f aca="false">G75</f>
        <v>-20</v>
      </c>
      <c r="H103" s="8" t="n">
        <f aca="false">H75</f>
        <v>-20</v>
      </c>
      <c r="I103" s="8" t="n">
        <f aca="false">I75</f>
        <v>-20</v>
      </c>
      <c r="J103" s="8" t="n">
        <f aca="false">J75</f>
        <v>-20</v>
      </c>
      <c r="K103" s="8" t="n">
        <f aca="false">K75</f>
        <v>-20</v>
      </c>
    </row>
    <row r="104" customFormat="false" ht="15" hidden="false" customHeight="false" outlineLevel="0" collapsed="false">
      <c r="C104" s="0" t="s">
        <v>47</v>
      </c>
      <c r="G104" s="8" t="n">
        <f aca="false">G61-F61</f>
        <v>0</v>
      </c>
      <c r="H104" s="8" t="n">
        <f aca="false">H61-G61</f>
        <v>0</v>
      </c>
      <c r="I104" s="8" t="n">
        <f aca="false">I61-H61</f>
        <v>0</v>
      </c>
      <c r="J104" s="8" t="n">
        <f aca="false">J61-I61</f>
        <v>0</v>
      </c>
      <c r="K104" s="8" t="n">
        <f aca="false">K61-J61</f>
        <v>0</v>
      </c>
    </row>
    <row r="105" customFormat="false" ht="15" hidden="false" customHeight="false" outlineLevel="0" collapsed="false">
      <c r="C105" s="0" t="s">
        <v>72</v>
      </c>
      <c r="G105" s="7" t="n">
        <f aca="false">G80</f>
        <v>-150</v>
      </c>
      <c r="H105" s="7" t="n">
        <f aca="false">H80</f>
        <v>-150</v>
      </c>
      <c r="I105" s="7" t="n">
        <f aca="false">I80</f>
        <v>-150</v>
      </c>
      <c r="J105" s="7" t="n">
        <f aca="false">J80</f>
        <v>-150</v>
      </c>
      <c r="K105" s="7" t="n">
        <f aca="false">K80</f>
        <v>-150</v>
      </c>
    </row>
    <row r="106" customFormat="false" ht="15" hidden="false" customHeight="false" outlineLevel="0" collapsed="false">
      <c r="C106" s="15" t="s">
        <v>73</v>
      </c>
      <c r="D106" s="15"/>
      <c r="E106" s="15"/>
      <c r="F106" s="15"/>
      <c r="G106" s="12" t="n">
        <f aca="false">SUM(G99:G105)</f>
        <v>-170</v>
      </c>
      <c r="H106" s="12" t="n">
        <f aca="false">SUM(H99:H105)</f>
        <v>-165</v>
      </c>
      <c r="I106" s="12" t="n">
        <f aca="false">SUM(I99:I105)</f>
        <v>-165</v>
      </c>
      <c r="J106" s="12" t="n">
        <f aca="false">SUM(J99:J105)</f>
        <v>-165</v>
      </c>
      <c r="K106" s="12" t="n">
        <f aca="false">SUM(K99:K105)</f>
        <v>-165</v>
      </c>
    </row>
    <row r="108" customFormat="false" ht="15" hidden="false" customHeight="false" outlineLevel="0" collapsed="false">
      <c r="C108" s="15" t="s">
        <v>74</v>
      </c>
      <c r="D108" s="15"/>
      <c r="E108" s="15"/>
      <c r="F108" s="15"/>
      <c r="G108" s="12" t="n">
        <f aca="false">G93+G97+G106</f>
        <v>-26.7382101708812</v>
      </c>
      <c r="H108" s="12" t="n">
        <f aca="false">H93+H97+H106</f>
        <v>-17.1914236019711</v>
      </c>
      <c r="I108" s="12" t="n">
        <f aca="false">I93+I97+I106</f>
        <v>-3.00835906677395</v>
      </c>
      <c r="J108" s="12" t="n">
        <f aca="false">J93+J97+J106</f>
        <v>12.8636648267616</v>
      </c>
      <c r="K108" s="12" t="n">
        <f aca="false">K93+K97+K106</f>
        <v>30.5929641133236</v>
      </c>
    </row>
    <row r="111" customFormat="false" ht="15" hidden="false" customHeight="false" outlineLevel="0" collapsed="false">
      <c r="C111" s="0" t="s">
        <v>75</v>
      </c>
      <c r="G111" s="8" t="n">
        <f aca="false">F37+G93+G97+SUM(G99,G101:G105)</f>
        <v>284.261789829119</v>
      </c>
      <c r="H111" s="8" t="n">
        <f aca="false">G37+H93+H97+SUM(H99,H101:H105)</f>
        <v>262.070366227148</v>
      </c>
      <c r="I111" s="8" t="n">
        <f aca="false">H37+I93+I97+SUM(I99,I101:I105)</f>
        <v>259.062007160374</v>
      </c>
      <c r="J111" s="8" t="n">
        <f aca="false">I37+J93+J97+SUM(J99,J101:J105)</f>
        <v>271.925671987135</v>
      </c>
      <c r="K111" s="8" t="n">
        <f aca="false">J37+K93+K97+SUM(K99,K101:K105)</f>
        <v>302.518636100459</v>
      </c>
    </row>
    <row r="112" s="4" customFormat="true" ht="15" hidden="false" customHeight="false" outlineLevel="0" collapsed="false">
      <c r="C112" s="4" t="s">
        <v>76</v>
      </c>
      <c r="G112" s="11" t="n">
        <f aca="false">-MIN(G111,F54)</f>
        <v>-5</v>
      </c>
      <c r="H112" s="11" t="n">
        <f aca="false">-MIN(H111,G54)</f>
        <v>-0</v>
      </c>
      <c r="I112" s="11" t="n">
        <f aca="false">-MIN(I111,H54)</f>
        <v>-0</v>
      </c>
      <c r="J112" s="11" t="n">
        <f aca="false">-MIN(J111,I54)</f>
        <v>-0</v>
      </c>
      <c r="K112" s="11" t="n">
        <f aca="false">-MIN(K111,J54)</f>
        <v>-0</v>
      </c>
    </row>
  </sheetData>
  <mergeCells count="2">
    <mergeCell ref="D3:F3"/>
    <mergeCell ref="G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2025-11-06T04:16:59Z</dcterms:created>
  <dc:creator/>
  <dc:description/>
  <dc:language>en-US</dc:language>
  <cp:lastModifiedBy>Yana Michel</cp:lastModifiedBy>
  <dcterms:modified xsi:type="dcterms:W3CDTF">2026-01-01T23:16:41Z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