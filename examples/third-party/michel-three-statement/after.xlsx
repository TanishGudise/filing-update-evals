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inancial Stat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<sst xmlns="http://schemas.openxmlformats.org/spreadsheetml/2006/main" count="98" uniqueCount="80">
  <si>
    <t xml:space="preserve">$ in Millions</t>
  </si>
  <si>
    <t xml:space="preserve">Actuals</t>
  </si>
  <si>
    <t xml:space="preserve">Reported</t>
  </si>
  <si>
    <t xml:space="preserve">Projections</t>
  </si>
  <si>
    <t xml:space="preserve">Q1 2024A</t>
  </si>
  <si>
    <t xml:space="preserve">Editable</t>
  </si>
  <si>
    <t xml:space="preserve">X</t>
  </si>
  <si>
    <t xml:space="preserve">Income Statement</t>
  </si>
  <si>
    <t xml:space="preserve">Revenue </t>
  </si>
  <si>
    <t xml:space="preserve">Cost of Goods Sold </t>
  </si>
  <si>
    <t xml:space="preserve">Other Operating Expenses </t>
  </si>
  <si>
    <t xml:space="preserve">Restructuring Charges</t>
  </si>
  <si>
    <t xml:space="preserve">Operating Profit </t>
  </si>
  <si>
    <t xml:space="preserve">Intrest Income</t>
  </si>
  <si>
    <t xml:space="preserve">Interest Expense </t>
  </si>
  <si>
    <t xml:space="preserve">Pre-Tax Proft </t>
  </si>
  <si>
    <t xml:space="preserve">Tax Expense </t>
  </si>
  <si>
    <t xml:space="preserve">Net Income </t>
  </si>
  <si>
    <t xml:space="preserve">Margins / Growth Rates</t>
  </si>
  <si>
    <t xml:space="preserve">Revenue Growth Rate</t>
  </si>
  <si>
    <t xml:space="preserve">Gross Profit Margin </t>
  </si>
  <si>
    <t xml:space="preserve">Operating Expense as % of Revenue</t>
  </si>
  <si>
    <t xml:space="preserve">Tax Rate</t>
  </si>
  <si>
    <t xml:space="preserve">Memo: COGS Growth Rate </t>
  </si>
  <si>
    <t xml:space="preserve">Memo: Depreciation in opex and COGS</t>
  </si>
  <si>
    <t xml:space="preserve">Memo: Capital Expenditures</t>
  </si>
  <si>
    <t xml:space="preserve">Memo: Amortization in opex and COGS</t>
  </si>
  <si>
    <t xml:space="preserve">Memo: Purchases of Intangibles</t>
  </si>
  <si>
    <t xml:space="preserve">Memo: % Interest Earned on Cash</t>
  </si>
  <si>
    <t xml:space="preserve">Memo: % Interest Rate on Debt</t>
  </si>
  <si>
    <t xml:space="preserve">Balance Sheet</t>
  </si>
  <si>
    <t xml:space="preserve">Cash and Equivalents</t>
  </si>
  <si>
    <t xml:space="preserve">Accounts Receivable </t>
  </si>
  <si>
    <t xml:space="preserve">Inventory </t>
  </si>
  <si>
    <t xml:space="preserve">Prepaid Expenses and Other WC Assets</t>
  </si>
  <si>
    <t xml:space="preserve">Current Assets</t>
  </si>
  <si>
    <t xml:space="preserve">Property Plant and Equipments</t>
  </si>
  <si>
    <t xml:space="preserve">Intangible Assets</t>
  </si>
  <si>
    <t xml:space="preserve">Non Currents Assets</t>
  </si>
  <si>
    <t xml:space="preserve">Total Assets</t>
  </si>
  <si>
    <t xml:space="preserve">Accounts Payable </t>
  </si>
  <si>
    <t xml:space="preserve">Accrued Expenses and Other</t>
  </si>
  <si>
    <t xml:space="preserve">Other Current Liabilities </t>
  </si>
  <si>
    <t xml:space="preserve">Total Current Liabilities </t>
  </si>
  <si>
    <t xml:space="preserve">Revolver </t>
  </si>
  <si>
    <t xml:space="preserve">Long Term Debt </t>
  </si>
  <si>
    <t xml:space="preserve">Other Liabilities </t>
  </si>
  <si>
    <t xml:space="preserve">Total Liabilities </t>
  </si>
  <si>
    <t xml:space="preserve">Common Stock and APIC</t>
  </si>
  <si>
    <t xml:space="preserve">Treasury Stock</t>
  </si>
  <si>
    <t xml:space="preserve">Other Comprehensive Income </t>
  </si>
  <si>
    <t xml:space="preserve">Plug</t>
  </si>
  <si>
    <t xml:space="preserve">Retained Earnings </t>
  </si>
  <si>
    <t xml:space="preserve">Total Equity</t>
  </si>
  <si>
    <t xml:space="preserve">Total Liabilities and Equity </t>
  </si>
  <si>
    <t xml:space="preserve">Balance Check</t>
  </si>
  <si>
    <t xml:space="preserve">Cash Flow Statement </t>
  </si>
  <si>
    <t xml:space="preserve">Net Income (GAAP)</t>
  </si>
  <si>
    <t xml:space="preserve">Depreciation and Amortization</t>
  </si>
  <si>
    <t xml:space="preserve">Cash Flow from Operations </t>
  </si>
  <si>
    <t xml:space="preserve">Capital Expenditures </t>
  </si>
  <si>
    <t xml:space="preserve">Purchases of Intangible Assets</t>
  </si>
  <si>
    <t xml:space="preserve">Cash for Investing Activities </t>
  </si>
  <si>
    <t xml:space="preserve">Issuances of Common Stock</t>
  </si>
  <si>
    <t xml:space="preserve">Dividends </t>
  </si>
  <si>
    <t xml:space="preserve">Cash from Financing Activities </t>
  </si>
  <si>
    <t xml:space="preserve">Total Change in Cash </t>
  </si>
  <si>
    <t xml:space="preserve">Total Cash Flow Before any Revolver Borrowing </t>
  </si>
  <si>
    <t xml:space="preserve">Total Revolver Borrowing Needed</t>
  </si>
  <si>
    <t xml:space="preserve">Schedules </t>
  </si>
  <si>
    <t xml:space="preserve">Common Stock and APIC - BOP</t>
  </si>
  <si>
    <t xml:space="preserve">New Issuances of Common Stock</t>
  </si>
  <si>
    <t xml:space="preserve">Common Stock and APIC - EOP</t>
  </si>
  <si>
    <t xml:space="preserve">Treasury Stock - BOP </t>
  </si>
  <si>
    <t xml:space="preserve">New Repurchases</t>
  </si>
  <si>
    <t xml:space="preserve">Treasury Stock - EOP </t>
  </si>
  <si>
    <t xml:space="preserve">Retained Earnings - BOP</t>
  </si>
  <si>
    <t xml:space="preserve">Net Income</t>
  </si>
  <si>
    <t xml:space="preserve">Common Divedends</t>
  </si>
  <si>
    <t xml:space="preserve">Retained Earnings - EOP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</si>
</sst>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_);\(#,##0.0\)"/>
    <numFmt numFmtId="166" formatCode="0.0_);\(0.0\)"/>
    <numFmt numFmtId="167" formatCode="0.00"/>
    <numFmt numFmtId="168" formatCode="0%"/>
    <numFmt numFmtId="169" formatCode="0.0%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9"/>
        <bgColor rgb="FFD9D9D9"/>
      </patternFill>
    </fill>
    <fill>
      <patternFill patternType="solid">
        <fgColor theme="0" tint="-0.15"/>
        <bgColor rgb="FFF2CFEE"/>
      </patternFill>
    </fill>
    <fill>
      <patternFill patternType="solid">
        <fgColor theme="8" tint="0.799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84" activeCellId="0" sqref="M84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3" style="0" width="35.57"/>
    <col collapsed="false" customWidth="true" hidden="false" outlineLevel="0" max="6" min="4" style="0" width="11.28"/>
    <col collapsed="false" customWidth="true" hidden="false" outlineLevel="0" max="8" min="7" style="0" width="10.86"/>
    <col collapsed="false" customWidth="true" hidden="false" outlineLevel="0" max="12" min="9" style="0" width="9.28"/>
    <col collapsed="false" customWidth="true" hidden="false" outlineLevel="0" max="14" min="14" style="0" width="27.28"/>
    <col collapsed="false" customWidth="true" hidden="false" outlineLevel="0" max="15" min="15" style="0" width="9.57"/>
  </cols>
  <sheetData>
    <row r="1" customFormat="false" ht="15" hidden="false" customHeight="false" outlineLevel="0" collapsed="false">
      <c r="A1" s="0" t="s">
        <v>0</v>
      </c>
      <c r="C1" s="1"/>
    </row>
    <row r="2" customFormat="false" ht="15" hidden="false" customHeight="false" outlineLevel="0" collapsed="false">
      <c r="C2" s="1"/>
    </row>
    <row r="3" customFormat="false" ht="15" hidden="false" customHeight="false" outlineLevel="0" collapsed="false">
      <c r="D3" s="2" t="s">
        <v>1</v>
      </c>
      <c r="E3" s="2"/>
      <c r="F3" s="2"/>
      <c r="G3" s="2" t="s">
        <v>2</v>
      </c>
      <c r="H3" s="3" t="s">
        <v>3</v>
      </c>
      <c r="I3" s="3"/>
      <c r="J3" s="3"/>
      <c r="K3" s="3"/>
      <c r="L3" s="3"/>
    </row>
    <row r="4" customFormat="false" ht="15" hidden="false" customHeight="false" outlineLevel="0" collapsed="false">
      <c r="D4" s="4" t="n">
        <f aca="false">E4-1</f>
        <v>2021</v>
      </c>
      <c r="E4" s="4" t="n">
        <f aca="false">F4-1</f>
        <v>2022</v>
      </c>
      <c r="F4" s="4" t="n">
        <v>2023</v>
      </c>
      <c r="G4" s="4" t="s">
        <v>4</v>
      </c>
      <c r="H4" s="4" t="n">
        <f aca="false">F4+1</f>
        <v>2024</v>
      </c>
      <c r="I4" s="4" t="n">
        <f aca="false">H4+1</f>
        <v>2025</v>
      </c>
      <c r="J4" s="4" t="n">
        <f aca="false">I4+1</f>
        <v>2026</v>
      </c>
      <c r="K4" s="4" t="n">
        <f aca="false">J4+1</f>
        <v>2027</v>
      </c>
      <c r="L4" s="4" t="n">
        <f aca="false">K4+1</f>
        <v>2028</v>
      </c>
    </row>
    <row r="5" customFormat="false" ht="15" hidden="false" customHeight="false" outlineLevel="0" collapsed="false">
      <c r="A5" s="5" t="s">
        <v>5</v>
      </c>
      <c r="B5" s="0" t="s">
        <v>6</v>
      </c>
      <c r="C5" s="4" t="s">
        <v>7</v>
      </c>
    </row>
    <row r="6" customFormat="false" ht="15" hidden="false" customHeight="false" outlineLevel="0" collapsed="false">
      <c r="C6" s="4"/>
    </row>
    <row r="7" customFormat="false" ht="15" hidden="false" customHeight="false" outlineLevel="0" collapsed="false">
      <c r="C7" s="0" t="s">
        <v>8</v>
      </c>
      <c r="D7" s="6" t="n">
        <v>1000</v>
      </c>
      <c r="E7" s="6" t="n">
        <v>1100</v>
      </c>
      <c r="F7" s="6" t="n">
        <v>1200</v>
      </c>
      <c r="G7" s="6" t="n">
        <v>310</v>
      </c>
      <c r="H7" s="7" t="n">
        <f aca="false">F7*(1+H21)</f>
        <v>1314.54545454545</v>
      </c>
      <c r="I7" s="7" t="n">
        <f aca="false">H7*(1+I21)</f>
        <v>1440.02479338843</v>
      </c>
      <c r="J7" s="7" t="n">
        <f aca="false">I7*(1+J21)</f>
        <v>1577.4817054846</v>
      </c>
      <c r="K7" s="7" t="n">
        <f aca="false">J7*(1+K21)</f>
        <v>1728.05950464449</v>
      </c>
      <c r="L7" s="7" t="n">
        <f aca="false">K7*(1+L21)</f>
        <v>1893.01063917874</v>
      </c>
    </row>
    <row r="8" customFormat="false" ht="15" hidden="false" customHeight="false" outlineLevel="0" collapsed="false">
      <c r="C8" s="0" t="s">
        <v>9</v>
      </c>
      <c r="D8" s="6" t="n">
        <v>-600</v>
      </c>
      <c r="E8" s="6" t="n">
        <v>-700</v>
      </c>
      <c r="F8" s="6" t="n">
        <v>-775</v>
      </c>
      <c r="G8" s="6" t="n">
        <v>-200</v>
      </c>
      <c r="H8" s="8" t="n">
        <f aca="false">-(1-H22)*H7</f>
        <v>-824.744490358127</v>
      </c>
      <c r="I8" s="8" t="n">
        <f aca="false">-(1-I22)*I7</f>
        <v>-903.470100801403</v>
      </c>
      <c r="J8" s="8" t="n">
        <f aca="false">-(1-J22)*J7</f>
        <v>-989.710428605173</v>
      </c>
      <c r="K8" s="8" t="n">
        <f aca="false">-(1-K22)*K7</f>
        <v>-1084.1827876993</v>
      </c>
      <c r="L8" s="8" t="n">
        <f aca="false">-(1-L22)*L7</f>
        <v>-1187.67296288878</v>
      </c>
    </row>
    <row r="9" customFormat="false" ht="15" hidden="false" customHeight="false" outlineLevel="0" collapsed="false">
      <c r="C9" s="9" t="s">
        <v>10</v>
      </c>
      <c r="D9" s="10" t="n">
        <v>-150</v>
      </c>
      <c r="E9" s="10" t="n">
        <v>-165</v>
      </c>
      <c r="F9" s="10" t="n">
        <v>-175</v>
      </c>
      <c r="G9" s="10" t="n">
        <v>-45</v>
      </c>
      <c r="H9" s="7" t="n">
        <f aca="false">-(H7*H23)</f>
        <v>-195.356060606061</v>
      </c>
      <c r="I9" s="7" t="n">
        <f aca="false">-(I7*I23)</f>
        <v>-214.003684573003</v>
      </c>
      <c r="J9" s="7" t="n">
        <f aca="false">-(J7*J23)</f>
        <v>-234.431309009517</v>
      </c>
      <c r="K9" s="7" t="n">
        <f aca="false">-(K7*K23)</f>
        <v>-256.808843051334</v>
      </c>
      <c r="L9" s="7" t="n">
        <f aca="false">-(L7*L23)</f>
        <v>-281.322414433507</v>
      </c>
    </row>
    <row r="10" customFormat="false" ht="15" hidden="false" customHeight="false" outlineLevel="0" collapsed="false">
      <c r="C10" s="9" t="s">
        <v>11</v>
      </c>
      <c r="D10" s="10"/>
      <c r="E10" s="10"/>
      <c r="F10" s="10"/>
      <c r="G10" s="10" t="n">
        <v>-8</v>
      </c>
      <c r="H10" s="7"/>
      <c r="I10" s="7"/>
      <c r="J10" s="7"/>
      <c r="K10" s="7"/>
      <c r="L10" s="7"/>
    </row>
    <row r="11" customFormat="false" ht="15" hidden="false" customHeight="false" outlineLevel="0" collapsed="false">
      <c r="C11" s="4" t="s">
        <v>12</v>
      </c>
      <c r="D11" s="11" t="n">
        <f aca="false">SUM(D7:D10)</f>
        <v>250</v>
      </c>
      <c r="E11" s="11" t="n">
        <f aca="false">SUM(E7:E10)</f>
        <v>235</v>
      </c>
      <c r="F11" s="11" t="n">
        <f aca="false">SUM(F7:F10)</f>
        <v>250</v>
      </c>
      <c r="G11" s="11" t="n">
        <f aca="false">SUM(G7:G10)</f>
        <v>57</v>
      </c>
      <c r="H11" s="12" t="n">
        <f aca="false">SUM(H7:H10)</f>
        <v>294.444903581267</v>
      </c>
      <c r="I11" s="12" t="n">
        <f aca="false">SUM(I7:I10)</f>
        <v>322.551008014024</v>
      </c>
      <c r="J11" s="12" t="n">
        <f aca="false">SUM(J7:J10)</f>
        <v>353.339967869909</v>
      </c>
      <c r="K11" s="12" t="n">
        <f aca="false">SUM(K7:K10)</f>
        <v>387.067873893854</v>
      </c>
      <c r="L11" s="12" t="n">
        <f aca="false">SUM(L7:L10)</f>
        <v>424.015261856449</v>
      </c>
    </row>
    <row r="13" customFormat="false" ht="15" hidden="false" customHeight="false" outlineLevel="0" collapsed="false">
      <c r="C13" s="0" t="s">
        <v>13</v>
      </c>
      <c r="D13" s="6" t="n">
        <v>5</v>
      </c>
      <c r="E13" s="6" t="n">
        <v>6</v>
      </c>
      <c r="F13" s="6" t="n">
        <v>7</v>
      </c>
      <c r="G13" s="6" t="n">
        <v>2</v>
      </c>
      <c r="H13" s="13" t="n">
        <f aca="false">H33*F38</f>
        <v>9.18</v>
      </c>
      <c r="I13" s="13" t="n">
        <f aca="false">I33*H38</f>
        <v>8.37785369487356</v>
      </c>
      <c r="J13" s="13" t="n">
        <f aca="false">J33*I38</f>
        <v>7.86211098681443</v>
      </c>
      <c r="K13" s="13" t="n">
        <f aca="false">K33*J38</f>
        <v>7.77186021481121</v>
      </c>
      <c r="L13" s="13" t="n">
        <f aca="false">L33*K38</f>
        <v>8.15777015961406</v>
      </c>
    </row>
    <row r="14" customFormat="false" ht="15" hidden="false" customHeight="false" outlineLevel="0" collapsed="false">
      <c r="C14" s="9" t="s">
        <v>14</v>
      </c>
      <c r="D14" s="10" t="n">
        <v>-13</v>
      </c>
      <c r="E14" s="10" t="n">
        <v>-14</v>
      </c>
      <c r="F14" s="6" t="n">
        <v>-15</v>
      </c>
      <c r="G14" s="6" t="n">
        <v>-4</v>
      </c>
      <c r="H14" s="14" t="n">
        <f aca="false">-H34*SUM(F55,F56)</f>
        <v>-15.28</v>
      </c>
      <c r="I14" s="14" t="n">
        <f aca="false">-I34*SUM(H55,H56)</f>
        <v>-14.88</v>
      </c>
      <c r="J14" s="14" t="n">
        <f aca="false">-J34*SUM(I55,I56)</f>
        <v>-14.88</v>
      </c>
      <c r="K14" s="14" t="n">
        <f aca="false">-K34*SUM(J55,J56)</f>
        <v>-14.88</v>
      </c>
      <c r="L14" s="14" t="n">
        <f aca="false">-L34*SUM(K55,K56)</f>
        <v>-14.88</v>
      </c>
    </row>
    <row r="15" customFormat="false" ht="15" hidden="false" customHeight="false" outlineLevel="0" collapsed="false">
      <c r="C15" s="4" t="s">
        <v>15</v>
      </c>
      <c r="D15" s="11" t="n">
        <f aca="false">D11+SUM(D13:D14)</f>
        <v>242</v>
      </c>
      <c r="E15" s="11" t="n">
        <f aca="false">E11+SUM(E13:E14)</f>
        <v>227</v>
      </c>
      <c r="F15" s="12" t="n">
        <f aca="false">F11+SUM(F13:F14)</f>
        <v>242</v>
      </c>
      <c r="G15" s="12" t="n">
        <f aca="false">G11+SUM(G13:G14)</f>
        <v>55</v>
      </c>
      <c r="H15" s="12" t="n">
        <f aca="false">H11+SUM(H13:H14)</f>
        <v>288.344903581267</v>
      </c>
      <c r="I15" s="12" t="n">
        <f aca="false">I11+SUM(I13:I14)</f>
        <v>316.048861708898</v>
      </c>
      <c r="J15" s="12" t="n">
        <f aca="false">J11+SUM(J13:J14)</f>
        <v>346.322078856723</v>
      </c>
      <c r="K15" s="12" t="n">
        <f aca="false">K11+SUM(K13:K14)</f>
        <v>379.959734108666</v>
      </c>
      <c r="L15" s="12" t="n">
        <f aca="false">L11+SUM(L13:L14)</f>
        <v>417.293032016064</v>
      </c>
    </row>
    <row r="17" customFormat="false" ht="15" hidden="false" customHeight="false" outlineLevel="0" collapsed="false">
      <c r="C17" s="0" t="s">
        <v>16</v>
      </c>
      <c r="D17" s="6" t="n">
        <v>-70</v>
      </c>
      <c r="E17" s="6" t="n">
        <v>-68</v>
      </c>
      <c r="F17" s="6" t="n">
        <v>-71</v>
      </c>
      <c r="G17" s="6" t="n">
        <v>-13</v>
      </c>
      <c r="H17" s="8" t="n">
        <f aca="false">-H24*H15</f>
        <v>-84.7930186663933</v>
      </c>
      <c r="I17" s="8" t="n">
        <f aca="false">-I24*I15</f>
        <v>-92.9398671435925</v>
      </c>
      <c r="J17" s="8" t="n">
        <f aca="false">-J24*J15</f>
        <v>-101.842252567526</v>
      </c>
      <c r="K17" s="8" t="n">
        <f aca="false">-K24*K15</f>
        <v>-111.734011687408</v>
      </c>
      <c r="L17" s="8" t="n">
        <f aca="false">-L24*L15</f>
        <v>-122.712541174224</v>
      </c>
    </row>
    <row r="18" customFormat="false" ht="15" hidden="false" customHeight="false" outlineLevel="0" collapsed="false">
      <c r="C18" s="15" t="s">
        <v>17</v>
      </c>
      <c r="D18" s="12" t="n">
        <f aca="false">D15+D17</f>
        <v>172</v>
      </c>
      <c r="E18" s="12" t="n">
        <f aca="false">E15+E17</f>
        <v>159</v>
      </c>
      <c r="F18" s="12" t="n">
        <f aca="false">F15+F17</f>
        <v>171</v>
      </c>
      <c r="G18" s="12" t="n">
        <f aca="false">G15+G17</f>
        <v>42</v>
      </c>
      <c r="H18" s="12" t="n">
        <f aca="false">H15+H17</f>
        <v>203.551884914874</v>
      </c>
      <c r="I18" s="12" t="n">
        <f aca="false">I15+I17</f>
        <v>223.108994565306</v>
      </c>
      <c r="J18" s="12" t="n">
        <f aca="false">J15+J17</f>
        <v>244.479826289197</v>
      </c>
      <c r="K18" s="12" t="n">
        <f aca="false">K15+K17</f>
        <v>268.225722421257</v>
      </c>
      <c r="L18" s="12" t="n">
        <f aca="false">L15+L17</f>
        <v>294.580490841839</v>
      </c>
    </row>
    <row r="20" customFormat="false" ht="15" hidden="false" customHeight="false" outlineLevel="0" collapsed="false">
      <c r="C20" s="16" t="s">
        <v>18</v>
      </c>
      <c r="D20" s="9"/>
      <c r="E20" s="9"/>
      <c r="F20" s="9"/>
      <c r="G20" s="9"/>
      <c r="H20" s="9"/>
      <c r="I20" s="9"/>
      <c r="J20" s="9"/>
      <c r="K20" s="9"/>
      <c r="L20" s="9"/>
    </row>
    <row r="21" customFormat="false" ht="15" hidden="false" customHeight="false" outlineLevel="0" collapsed="false">
      <c r="C21" s="0" t="s">
        <v>19</v>
      </c>
      <c r="D21" s="17"/>
      <c r="E21" s="18" t="n">
        <f aca="false">E7/D7-1</f>
        <v>0.1</v>
      </c>
      <c r="F21" s="18" t="n">
        <f aca="false">F7/E7-1</f>
        <v>0.0909090909090908</v>
      </c>
      <c r="G21" s="18"/>
      <c r="H21" s="18" t="n">
        <f aca="false">AVERAGE(E21:F21)</f>
        <v>0.0954545454545455</v>
      </c>
      <c r="I21" s="18" t="n">
        <f aca="false">H21</f>
        <v>0.0954545454545455</v>
      </c>
      <c r="J21" s="18" t="n">
        <f aca="false">I21</f>
        <v>0.0954545454545455</v>
      </c>
      <c r="K21" s="18" t="n">
        <f aca="false">J21</f>
        <v>0.0954545454545455</v>
      </c>
      <c r="L21" s="18" t="n">
        <f aca="false">K21</f>
        <v>0.0954545454545455</v>
      </c>
    </row>
    <row r="22" customFormat="false" ht="15" hidden="false" customHeight="false" outlineLevel="0" collapsed="false">
      <c r="C22" s="0" t="s">
        <v>20</v>
      </c>
      <c r="D22" s="17" t="n">
        <f aca="false">1+D8/D7</f>
        <v>0.4</v>
      </c>
      <c r="E22" s="17" t="n">
        <f aca="false">1+E8/E7</f>
        <v>0.363636363636364</v>
      </c>
      <c r="F22" s="17" t="n">
        <f aca="false">1+F8/F7</f>
        <v>0.354166666666667</v>
      </c>
      <c r="G22" s="17" t="n">
        <f aca="false">1+G8/G7</f>
        <v>0.354838709677419</v>
      </c>
      <c r="H22" s="17" t="n">
        <f aca="false">AVERAGE(D22:F22)</f>
        <v>0.37260101010101</v>
      </c>
      <c r="I22" s="17" t="n">
        <f aca="false">H22</f>
        <v>0.37260101010101</v>
      </c>
      <c r="J22" s="17" t="n">
        <f aca="false">I22</f>
        <v>0.37260101010101</v>
      </c>
      <c r="K22" s="17" t="n">
        <f aca="false">J22</f>
        <v>0.37260101010101</v>
      </c>
      <c r="L22" s="17" t="n">
        <f aca="false">K22</f>
        <v>0.37260101010101</v>
      </c>
    </row>
    <row r="23" customFormat="false" ht="15" hidden="false" customHeight="false" outlineLevel="0" collapsed="false">
      <c r="C23" s="0" t="s">
        <v>21</v>
      </c>
      <c r="D23" s="17" t="n">
        <f aca="false">-D9/D7</f>
        <v>0.15</v>
      </c>
      <c r="E23" s="17" t="n">
        <f aca="false">-E9/E7</f>
        <v>0.15</v>
      </c>
      <c r="F23" s="17" t="n">
        <f aca="false">-F9/F7</f>
        <v>0.145833333333333</v>
      </c>
      <c r="G23" s="17" t="n">
        <f aca="false">-G9/G7</f>
        <v>0.145161290322581</v>
      </c>
      <c r="H23" s="17" t="n">
        <f aca="false">AVERAGE(D23:F23)</f>
        <v>0.148611111111111</v>
      </c>
      <c r="I23" s="17" t="n">
        <f aca="false">H23</f>
        <v>0.148611111111111</v>
      </c>
      <c r="J23" s="17" t="n">
        <f aca="false">I23</f>
        <v>0.148611111111111</v>
      </c>
      <c r="K23" s="17" t="n">
        <f aca="false">J23</f>
        <v>0.148611111111111</v>
      </c>
      <c r="L23" s="17" t="n">
        <f aca="false">K23</f>
        <v>0.148611111111111</v>
      </c>
    </row>
    <row r="24" customFormat="false" ht="15" hidden="false" customHeight="false" outlineLevel="0" collapsed="false">
      <c r="C24" s="0" t="s">
        <v>22</v>
      </c>
      <c r="D24" s="17" t="n">
        <f aca="false">-D17/D15</f>
        <v>0.289256198347107</v>
      </c>
      <c r="E24" s="17" t="n">
        <f aca="false">-E17/E15</f>
        <v>0.299559471365639</v>
      </c>
      <c r="F24" s="17" t="n">
        <f aca="false">-F17/F15</f>
        <v>0.293388429752066</v>
      </c>
      <c r="G24" s="17" t="n">
        <f aca="false">-G17/G15</f>
        <v>0.236363636363636</v>
      </c>
      <c r="H24" s="17" t="n">
        <f aca="false">AVERAGE(D24:F24)</f>
        <v>0.294068033154937</v>
      </c>
      <c r="I24" s="17" t="n">
        <f aca="false">H24</f>
        <v>0.294068033154937</v>
      </c>
      <c r="J24" s="17" t="n">
        <f aca="false">I24</f>
        <v>0.294068033154937</v>
      </c>
      <c r="K24" s="17" t="n">
        <f aca="false">J24</f>
        <v>0.294068033154937</v>
      </c>
      <c r="L24" s="17" t="n">
        <f aca="false">K24</f>
        <v>0.294068033154937</v>
      </c>
    </row>
    <row r="25" customFormat="false" ht="15" hidden="false" customHeight="false" outlineLevel="0" collapsed="false">
      <c r="C25" s="19" t="s">
        <v>23</v>
      </c>
      <c r="H25" s="17" t="n">
        <f aca="false">H8/F8-1</f>
        <v>0.0641864391717766</v>
      </c>
      <c r="I25" s="17" t="n">
        <f aca="false">I8/H8-1</f>
        <v>0.0954545454545455</v>
      </c>
      <c r="J25" s="17" t="n">
        <f aca="false">J8/I8-1</f>
        <v>0.0954545454545455</v>
      </c>
      <c r="K25" s="17" t="n">
        <f aca="false">K8/J8-1</f>
        <v>0.0954545454545455</v>
      </c>
      <c r="L25" s="17" t="n">
        <f aca="false">L8/K8-1</f>
        <v>0.0954545454545455</v>
      </c>
    </row>
    <row r="26" customFormat="false" ht="15" hidden="false" customHeight="false" outlineLevel="0" collapsed="false">
      <c r="C26" s="19"/>
      <c r="H26" s="17"/>
      <c r="I26" s="17"/>
      <c r="J26" s="17"/>
      <c r="K26" s="17"/>
      <c r="L26" s="17"/>
    </row>
    <row r="27" customFormat="false" ht="15" hidden="false" customHeight="false" outlineLevel="0" collapsed="false">
      <c r="C27" s="19" t="s">
        <v>24</v>
      </c>
      <c r="D27" s="6" t="n">
        <v>-25</v>
      </c>
      <c r="E27" s="6" t="n">
        <v>-30</v>
      </c>
      <c r="F27" s="6" t="n">
        <v>-35</v>
      </c>
      <c r="G27" s="6"/>
      <c r="H27" s="8" t="n">
        <f aca="false">F27*(1+H21)</f>
        <v>-38.3409090909091</v>
      </c>
      <c r="I27" s="8" t="n">
        <f aca="false">H27*(1+I21)</f>
        <v>-42.0007231404959</v>
      </c>
      <c r="J27" s="8" t="n">
        <f aca="false">I27*(1+J21)</f>
        <v>-46.0098830766341</v>
      </c>
      <c r="K27" s="8" t="n">
        <f aca="false">J27*(1+K21)</f>
        <v>-50.401735552131</v>
      </c>
      <c r="L27" s="8" t="n">
        <f aca="false">K27*(1+L21)</f>
        <v>-55.2128103093799</v>
      </c>
    </row>
    <row r="28" customFormat="false" ht="15" hidden="false" customHeight="false" outlineLevel="0" collapsed="false">
      <c r="C28" s="19" t="s">
        <v>25</v>
      </c>
      <c r="D28" s="6" t="n">
        <v>-35</v>
      </c>
      <c r="E28" s="6" t="n">
        <v>-40</v>
      </c>
      <c r="F28" s="6" t="n">
        <v>-67</v>
      </c>
      <c r="G28" s="6"/>
      <c r="H28" s="8" t="n">
        <f aca="false">F28*(1+H21)</f>
        <v>-73.3954545454545</v>
      </c>
      <c r="I28" s="8" t="n">
        <f aca="false">H28*(1+I21)</f>
        <v>-80.4013842975207</v>
      </c>
      <c r="J28" s="8" t="n">
        <f aca="false">I28*(1+J21)</f>
        <v>-88.0760618895567</v>
      </c>
      <c r="K28" s="8" t="n">
        <f aca="false">J28*(1+K21)</f>
        <v>-96.4833223426508</v>
      </c>
      <c r="L28" s="8" t="n">
        <f aca="false">K28*(1+L21)</f>
        <v>-105.693094020813</v>
      </c>
    </row>
    <row r="30" customFormat="false" ht="15" hidden="false" customHeight="false" outlineLevel="0" collapsed="false">
      <c r="C30" s="19" t="s">
        <v>26</v>
      </c>
      <c r="D30" s="6" t="n">
        <v>-10</v>
      </c>
      <c r="E30" s="6" t="n">
        <v>-12</v>
      </c>
      <c r="F30" s="6" t="n">
        <v>-14</v>
      </c>
      <c r="G30" s="6"/>
      <c r="H30" s="8" t="n">
        <f aca="false">F30*(1+H21)</f>
        <v>-15.3363636363636</v>
      </c>
      <c r="I30" s="8" t="n">
        <f aca="false">H30*(1+I21)</f>
        <v>-16.8002892561983</v>
      </c>
      <c r="J30" s="8" t="n">
        <f aca="false">I30*(1+J21)</f>
        <v>-18.4039532306536</v>
      </c>
      <c r="K30" s="8" t="n">
        <f aca="false">J30*(1+K21)</f>
        <v>-20.1606942208524</v>
      </c>
      <c r="L30" s="8" t="n">
        <f aca="false">K30*(1+L21)</f>
        <v>-22.085124123752</v>
      </c>
    </row>
    <row r="31" customFormat="false" ht="15" hidden="false" customHeight="false" outlineLevel="0" collapsed="false">
      <c r="C31" s="19" t="s">
        <v>27</v>
      </c>
      <c r="D31" s="6" t="n">
        <v>-16</v>
      </c>
      <c r="E31" s="6" t="n">
        <v>-18</v>
      </c>
      <c r="F31" s="6" t="n">
        <v>-21</v>
      </c>
      <c r="G31" s="6"/>
      <c r="H31" s="8" t="n">
        <f aca="false">F31*(1+H21)</f>
        <v>-23.0045454545455</v>
      </c>
      <c r="I31" s="8" t="n">
        <f aca="false">H31*(1+I21)</f>
        <v>-25.2004338842975</v>
      </c>
      <c r="J31" s="8" t="n">
        <f aca="false">I31*(1+J21)</f>
        <v>-27.6059298459805</v>
      </c>
      <c r="K31" s="8" t="n">
        <f aca="false">J31*(1+K21)</f>
        <v>-30.2410413312786</v>
      </c>
      <c r="L31" s="8" t="n">
        <f aca="false">K31*(1+L21)</f>
        <v>-33.1276861856279</v>
      </c>
    </row>
    <row r="32" customFormat="false" ht="15" hidden="false" customHeight="false" outlineLevel="0" collapsed="false">
      <c r="C32" s="19"/>
      <c r="D32" s="8"/>
      <c r="E32" s="8"/>
      <c r="F32" s="8"/>
      <c r="G32" s="8"/>
      <c r="H32" s="8"/>
      <c r="I32" s="8"/>
      <c r="J32" s="8"/>
      <c r="K32" s="8"/>
      <c r="L32" s="8"/>
    </row>
    <row r="33" customFormat="false" ht="15" hidden="false" customHeight="false" outlineLevel="0" collapsed="false">
      <c r="C33" s="19" t="s">
        <v>28</v>
      </c>
      <c r="D33" s="8"/>
      <c r="E33" s="8"/>
      <c r="F33" s="8"/>
      <c r="G33" s="8"/>
      <c r="H33" s="20" t="n">
        <v>0.03</v>
      </c>
      <c r="I33" s="20" t="n">
        <v>0.03</v>
      </c>
      <c r="J33" s="20" t="n">
        <v>0.03</v>
      </c>
      <c r="K33" s="20" t="n">
        <v>0.03</v>
      </c>
      <c r="L33" s="20" t="n">
        <v>0.03</v>
      </c>
    </row>
    <row r="34" customFormat="false" ht="15" hidden="false" customHeight="false" outlineLevel="0" collapsed="false">
      <c r="C34" s="19" t="s">
        <v>29</v>
      </c>
      <c r="D34" s="8"/>
      <c r="E34" s="8"/>
      <c r="F34" s="8"/>
      <c r="G34" s="8"/>
      <c r="H34" s="20" t="n">
        <v>0.08</v>
      </c>
      <c r="I34" s="20" t="n">
        <v>0.08</v>
      </c>
      <c r="J34" s="20" t="n">
        <v>0.08</v>
      </c>
      <c r="K34" s="20" t="n">
        <v>0.08</v>
      </c>
      <c r="L34" s="20" t="n">
        <v>0.08</v>
      </c>
    </row>
    <row r="35" customFormat="false" ht="15" hidden="false" customHeight="false" outlineLevel="0" collapsed="false">
      <c r="C35" s="19"/>
      <c r="D35" s="8"/>
      <c r="E35" s="8"/>
      <c r="F35" s="8"/>
      <c r="G35" s="8"/>
      <c r="H35" s="8"/>
      <c r="I35" s="8"/>
      <c r="J35" s="8"/>
      <c r="K35" s="8"/>
      <c r="L35" s="8"/>
    </row>
    <row r="36" customFormat="false" ht="15" hidden="false" customHeight="false" outlineLevel="0" collapsed="false">
      <c r="A36" s="5" t="s">
        <v>5</v>
      </c>
      <c r="B36" s="0" t="s">
        <v>6</v>
      </c>
      <c r="C36" s="4" t="s">
        <v>30</v>
      </c>
    </row>
    <row r="38" customFormat="false" ht="15" hidden="false" customHeight="false" outlineLevel="0" collapsed="false">
      <c r="C38" s="0" t="s">
        <v>31</v>
      </c>
      <c r="D38" s="6" t="n">
        <v>286</v>
      </c>
      <c r="E38" s="6" t="n">
        <v>296</v>
      </c>
      <c r="F38" s="6" t="n">
        <v>306</v>
      </c>
      <c r="G38" s="6" t="n">
        <v>282</v>
      </c>
      <c r="H38" s="21" t="n">
        <f aca="false">F38+H96</f>
        <v>279.261789829119</v>
      </c>
      <c r="I38" s="21" t="n">
        <f aca="false">H38+I96</f>
        <v>262.070366227148</v>
      </c>
      <c r="J38" s="21" t="n">
        <f aca="false">I38+J96</f>
        <v>259.062007160374</v>
      </c>
      <c r="K38" s="21" t="n">
        <f aca="false">J38+K96</f>
        <v>271.925671987135</v>
      </c>
      <c r="L38" s="21" t="n">
        <f aca="false">K38+L96</f>
        <v>302.518636100459</v>
      </c>
    </row>
    <row r="39" customFormat="false" ht="15" hidden="false" customHeight="false" outlineLevel="0" collapsed="false">
      <c r="C39" s="0" t="s">
        <v>32</v>
      </c>
      <c r="D39" s="6" t="n">
        <v>135</v>
      </c>
      <c r="E39" s="6" t="n">
        <v>145</v>
      </c>
      <c r="F39" s="6" t="n">
        <v>154</v>
      </c>
      <c r="G39" s="6" t="n">
        <v>160</v>
      </c>
      <c r="H39" s="0" t="n">
        <f aca="false">F39*(1+H21)</f>
        <v>168.7</v>
      </c>
      <c r="I39" s="7" t="n">
        <f aca="false">H39*(1+I21)</f>
        <v>184.803181818182</v>
      </c>
      <c r="J39" s="7" t="n">
        <f aca="false">I39*(1+J21)</f>
        <v>202.44348553719</v>
      </c>
      <c r="K39" s="7" t="n">
        <f aca="false">J39*(1+K21)</f>
        <v>221.767636429376</v>
      </c>
      <c r="L39" s="7" t="n">
        <f aca="false">K39*(1+L21)</f>
        <v>242.936365361271</v>
      </c>
      <c r="M39" s="22"/>
      <c r="N39" s="22"/>
      <c r="O39" s="22"/>
      <c r="P39" s="22"/>
    </row>
    <row r="40" customFormat="false" ht="15" hidden="false" customHeight="false" outlineLevel="0" collapsed="false">
      <c r="C40" s="0" t="s">
        <v>33</v>
      </c>
      <c r="D40" s="6" t="n">
        <v>265</v>
      </c>
      <c r="E40" s="6" t="n">
        <v>297</v>
      </c>
      <c r="F40" s="6" t="n">
        <v>345</v>
      </c>
      <c r="G40" s="6" t="n">
        <v>352</v>
      </c>
      <c r="H40" s="7" t="n">
        <f aca="false">F40*(1+H25)</f>
        <v>367.144321514263</v>
      </c>
      <c r="I40" s="7" t="n">
        <f aca="false">H40*(1+I25)</f>
        <v>402.189915840624</v>
      </c>
      <c r="J40" s="7" t="n">
        <f aca="false">I40*(1+J25)</f>
        <v>440.580771443593</v>
      </c>
      <c r="K40" s="7" t="n">
        <f aca="false">J40*(1+K25)</f>
        <v>482.636208717754</v>
      </c>
      <c r="L40" s="7" t="n">
        <f aca="false">K40*(1+L25)</f>
        <v>528.706028640813</v>
      </c>
      <c r="M40" s="22"/>
      <c r="N40" s="22"/>
      <c r="O40" s="22"/>
      <c r="P40" s="22"/>
    </row>
    <row r="41" customFormat="false" ht="15" hidden="false" customHeight="false" outlineLevel="0" collapsed="false">
      <c r="C41" s="0" t="s">
        <v>34</v>
      </c>
      <c r="D41" s="6" t="n">
        <v>39</v>
      </c>
      <c r="E41" s="6" t="n">
        <v>41</v>
      </c>
      <c r="F41" s="6" t="n">
        <v>45</v>
      </c>
      <c r="G41" s="6" t="n">
        <v>47</v>
      </c>
      <c r="H41" s="7" t="n">
        <f aca="false">F41*(1+H21)</f>
        <v>49.2954545454546</v>
      </c>
      <c r="I41" s="7" t="n">
        <f aca="false">H41*(1+I21)</f>
        <v>54.0009297520661</v>
      </c>
      <c r="J41" s="7" t="n">
        <f aca="false">I41*(1+J21)</f>
        <v>59.1555639556724</v>
      </c>
      <c r="K41" s="7" t="n">
        <f aca="false">J41*(1+K21)</f>
        <v>64.8022314241684</v>
      </c>
      <c r="L41" s="7" t="n">
        <f aca="false">K41*(1+L21)</f>
        <v>70.9878989692027</v>
      </c>
      <c r="M41" s="22"/>
      <c r="N41" s="22"/>
      <c r="O41" s="22"/>
      <c r="P41" s="22"/>
    </row>
    <row r="42" customFormat="false" ht="15" hidden="false" customHeight="false" outlineLevel="0" collapsed="false">
      <c r="B42" s="0" t="n">
        <v>1</v>
      </c>
      <c r="C42" s="15" t="s">
        <v>35</v>
      </c>
      <c r="D42" s="23" t="n">
        <f aca="false">SUM(D38:D41)</f>
        <v>725</v>
      </c>
      <c r="E42" s="23" t="n">
        <f aca="false">SUM(E38:E41)</f>
        <v>779</v>
      </c>
      <c r="F42" s="23" t="n">
        <f aca="false">SUM(F38:F41)</f>
        <v>850</v>
      </c>
      <c r="G42" s="23" t="n">
        <f aca="false">SUM(G38:G41)</f>
        <v>841</v>
      </c>
      <c r="H42" s="23" t="n">
        <f aca="false">SUM(H38:H41)</f>
        <v>864.401565888836</v>
      </c>
      <c r="I42" s="23" t="n">
        <f aca="false">SUM(I38:I41)</f>
        <v>903.06439363802</v>
      </c>
      <c r="J42" s="23" t="n">
        <f aca="false">SUM(J38:J41)</f>
        <v>961.241828096829</v>
      </c>
      <c r="K42" s="23" t="n">
        <f aca="false">SUM(K38:K41)</f>
        <v>1041.13174855843</v>
      </c>
      <c r="L42" s="23" t="n">
        <f aca="false">SUM(L38:L41)</f>
        <v>1145.14892907175</v>
      </c>
      <c r="M42" s="22"/>
      <c r="N42" s="24"/>
      <c r="O42" s="24"/>
      <c r="P42" s="24"/>
    </row>
    <row r="43" customFormat="false" ht="15" hidden="false" customHeight="false" outlineLevel="0" collapsed="false">
      <c r="M43" s="22"/>
      <c r="N43" s="22"/>
      <c r="O43" s="22"/>
      <c r="P43" s="22"/>
    </row>
    <row r="44" customFormat="false" ht="15" hidden="false" customHeight="false" outlineLevel="0" collapsed="false">
      <c r="C44" s="0" t="s">
        <v>36</v>
      </c>
      <c r="D44" s="6" t="n">
        <v>210</v>
      </c>
      <c r="E44" s="6" t="n">
        <v>243</v>
      </c>
      <c r="F44" s="6" t="n">
        <v>265</v>
      </c>
      <c r="G44" s="6" t="n">
        <v>270</v>
      </c>
      <c r="H44" s="8" t="n">
        <f aca="false">F44-H28+H27</f>
        <v>300.054545454545</v>
      </c>
      <c r="I44" s="8" t="n">
        <f aca="false">H44-I28+I27</f>
        <v>338.45520661157</v>
      </c>
      <c r="J44" s="8" t="n">
        <f aca="false">I44-J28+J27</f>
        <v>380.521385424493</v>
      </c>
      <c r="K44" s="8" t="n">
        <f aca="false">J44-K28+K27</f>
        <v>426.602972215013</v>
      </c>
      <c r="L44" s="8" t="n">
        <f aca="false">K44-L28+L27</f>
        <v>477.083255926446</v>
      </c>
      <c r="M44" s="22"/>
      <c r="N44" s="22"/>
      <c r="O44" s="22"/>
      <c r="P44" s="22"/>
    </row>
    <row r="45" customFormat="false" ht="15" hidden="false" customHeight="false" outlineLevel="0" collapsed="false">
      <c r="C45" s="0" t="s">
        <v>37</v>
      </c>
      <c r="D45" s="6" t="n">
        <v>47</v>
      </c>
      <c r="E45" s="6" t="n">
        <v>56</v>
      </c>
      <c r="F45" s="10" t="n">
        <v>67</v>
      </c>
      <c r="G45" s="10" t="n">
        <v>69</v>
      </c>
      <c r="H45" s="25" t="n">
        <f aca="false">F45-H31+H30</f>
        <v>74.6681818181818</v>
      </c>
      <c r="I45" s="25" t="n">
        <f aca="false">H45-I31+I30</f>
        <v>83.068326446281</v>
      </c>
      <c r="J45" s="25" t="n">
        <f aca="false">I45-J31+J30</f>
        <v>92.2703030616078</v>
      </c>
      <c r="K45" s="25" t="n">
        <f aca="false">J45-K31+K30</f>
        <v>102.350650172034</v>
      </c>
      <c r="L45" s="25" t="n">
        <f aca="false">K45-L31+L30</f>
        <v>113.39321223391</v>
      </c>
      <c r="M45" s="22"/>
      <c r="N45" s="22"/>
      <c r="O45" s="22"/>
      <c r="P45" s="22"/>
    </row>
    <row r="46" customFormat="false" ht="15" hidden="false" customHeight="false" outlineLevel="0" collapsed="false">
      <c r="B46" s="0" t="n">
        <v>2</v>
      </c>
      <c r="C46" s="15" t="s">
        <v>38</v>
      </c>
      <c r="D46" s="23" t="n">
        <f aca="false">SUM(D44:D45)</f>
        <v>257</v>
      </c>
      <c r="E46" s="23" t="n">
        <f aca="false">SUM(E44:E45)</f>
        <v>299</v>
      </c>
      <c r="F46" s="23" t="n">
        <f aca="false">SUM(F44:F45)</f>
        <v>332</v>
      </c>
      <c r="G46" s="23" t="n">
        <f aca="false">SUM(G44:G45)</f>
        <v>339</v>
      </c>
      <c r="H46" s="23" t="n">
        <f aca="false">SUM(H44:H45)</f>
        <v>374.722727272727</v>
      </c>
      <c r="I46" s="23" t="n">
        <f aca="false">SUM(I44:I45)</f>
        <v>421.523533057851</v>
      </c>
      <c r="J46" s="23" t="n">
        <f aca="false">SUM(J44:J45)</f>
        <v>472.791688486101</v>
      </c>
      <c r="K46" s="23" t="n">
        <f aca="false">SUM(K44:K45)</f>
        <v>528.953622387047</v>
      </c>
      <c r="L46" s="23" t="n">
        <f aca="false">SUM(L44:L45)</f>
        <v>590.476468160356</v>
      </c>
      <c r="M46" s="22"/>
      <c r="N46" s="22"/>
      <c r="O46" s="22"/>
      <c r="P46" s="22"/>
    </row>
    <row r="47" customFormat="false" ht="15" hidden="false" customHeight="false" outlineLevel="0" collapsed="false">
      <c r="H47" s="9"/>
      <c r="I47" s="9"/>
      <c r="J47" s="9"/>
      <c r="K47" s="9"/>
      <c r="L47" s="9"/>
      <c r="M47" s="22"/>
      <c r="N47" s="24"/>
      <c r="O47" s="24"/>
      <c r="P47" s="24"/>
    </row>
    <row r="48" customFormat="false" ht="15" hidden="false" customHeight="false" outlineLevel="0" collapsed="false">
      <c r="B48" s="0" t="n">
        <v>3</v>
      </c>
      <c r="C48" s="15" t="s">
        <v>39</v>
      </c>
      <c r="D48" s="23" t="n">
        <f aca="false">D42+D46</f>
        <v>982</v>
      </c>
      <c r="E48" s="23" t="n">
        <f aca="false">E42+E46</f>
        <v>1078</v>
      </c>
      <c r="F48" s="23" t="n">
        <f aca="false">F42+F46</f>
        <v>1182</v>
      </c>
      <c r="G48" s="23" t="n">
        <f aca="false">G42+G46</f>
        <v>1180</v>
      </c>
      <c r="H48" s="23" t="n">
        <f aca="false">H42+H46</f>
        <v>1239.12429316156</v>
      </c>
      <c r="I48" s="23" t="n">
        <f aca="false">I42+I46</f>
        <v>1324.58792669587</v>
      </c>
      <c r="J48" s="23" t="n">
        <f aca="false">J42+J46</f>
        <v>1434.03351658293</v>
      </c>
      <c r="K48" s="23" t="n">
        <f aca="false">K42+K46</f>
        <v>1570.08537094548</v>
      </c>
      <c r="L48" s="23" t="n">
        <f aca="false">L42+L46</f>
        <v>1735.6253972321</v>
      </c>
    </row>
    <row r="50" customFormat="false" ht="15" hidden="false" customHeight="false" outlineLevel="0" collapsed="false">
      <c r="C50" s="0" t="s">
        <v>40</v>
      </c>
      <c r="D50" s="6" t="n">
        <v>45</v>
      </c>
      <c r="E50" s="6" t="n">
        <v>47</v>
      </c>
      <c r="F50" s="6" t="n">
        <v>49</v>
      </c>
      <c r="G50" s="6" t="n">
        <v>52</v>
      </c>
      <c r="H50" s="8" t="n">
        <f aca="false">F50*(1+H25)</f>
        <v>52.1451355194171</v>
      </c>
      <c r="I50" s="8" t="n">
        <f aca="false">H50*(1+I25)</f>
        <v>57.1226257280887</v>
      </c>
      <c r="J50" s="8" t="n">
        <f aca="false">I50*(1+J25)</f>
        <v>62.5752400021335</v>
      </c>
      <c r="K50" s="8" t="n">
        <f aca="false">J50*(1+K25)</f>
        <v>68.5483310932463</v>
      </c>
      <c r="L50" s="8" t="n">
        <f aca="false">K50*(1+L25)</f>
        <v>75.0915808794198</v>
      </c>
    </row>
    <row r="51" customFormat="false" ht="15" hidden="false" customHeight="false" outlineLevel="0" collapsed="false">
      <c r="C51" s="0" t="s">
        <v>41</v>
      </c>
      <c r="D51" s="6" t="n">
        <v>32</v>
      </c>
      <c r="E51" s="6" t="n">
        <v>37</v>
      </c>
      <c r="F51" s="6" t="n">
        <v>47</v>
      </c>
      <c r="G51" s="6" t="n">
        <v>45</v>
      </c>
      <c r="H51" s="8" t="n">
        <f aca="false">F51*(1+H21)</f>
        <v>51.4863636363636</v>
      </c>
      <c r="I51" s="8" t="n">
        <f aca="false">H51*(1+I21)</f>
        <v>56.4009710743802</v>
      </c>
      <c r="J51" s="8" t="n">
        <f aca="false">I51*(1+J21)</f>
        <v>61.7847001314801</v>
      </c>
      <c r="K51" s="8" t="n">
        <f aca="false">J51*(1+K21)</f>
        <v>67.6823305985759</v>
      </c>
      <c r="L51" s="8" t="n">
        <f aca="false">K51*(1+L21)</f>
        <v>74.1429167011673</v>
      </c>
    </row>
    <row r="52" customFormat="false" ht="15" hidden="false" customHeight="false" outlineLevel="0" collapsed="false">
      <c r="C52" s="0" t="s">
        <v>42</v>
      </c>
      <c r="D52" s="6" t="n">
        <v>112</v>
      </c>
      <c r="E52" s="6" t="n">
        <v>143</v>
      </c>
      <c r="F52" s="6" t="n">
        <v>167</v>
      </c>
      <c r="G52" s="6" t="n">
        <v>170</v>
      </c>
      <c r="H52" s="8" t="n">
        <f aca="false">F52*(1+H21)</f>
        <v>182.940909090909</v>
      </c>
      <c r="I52" s="8" t="n">
        <f aca="false">H52*(1+I21)</f>
        <v>200.403450413223</v>
      </c>
      <c r="J52" s="8" t="n">
        <f aca="false">I52*(1+J21)</f>
        <v>219.53287067994</v>
      </c>
      <c r="K52" s="8" t="n">
        <f aca="false">J52*(1+K21)</f>
        <v>240.488281063025</v>
      </c>
      <c r="L52" s="8" t="n">
        <f aca="false">K52*(1+L21)</f>
        <v>263.443980619041</v>
      </c>
    </row>
    <row r="53" customFormat="false" ht="15" hidden="false" customHeight="false" outlineLevel="0" collapsed="false">
      <c r="B53" s="0" t="n">
        <v>1</v>
      </c>
      <c r="C53" s="15" t="s">
        <v>43</v>
      </c>
      <c r="D53" s="23" t="n">
        <f aca="false">SUM(D50:D52)</f>
        <v>189</v>
      </c>
      <c r="E53" s="23" t="n">
        <f aca="false">SUM(E50:E52)</f>
        <v>227</v>
      </c>
      <c r="F53" s="23" t="n">
        <f aca="false">SUM(F50:F52)</f>
        <v>263</v>
      </c>
      <c r="G53" s="23" t="n">
        <f aca="false">SUM(G50:G52)</f>
        <v>267</v>
      </c>
      <c r="H53" s="23" t="n">
        <f aca="false">SUM(H50:H52)</f>
        <v>286.57240824669</v>
      </c>
      <c r="I53" s="23" t="n">
        <f aca="false">SUM(I50:I52)</f>
        <v>313.927047215692</v>
      </c>
      <c r="J53" s="23" t="n">
        <f aca="false">SUM(J50:J52)</f>
        <v>343.892810813553</v>
      </c>
      <c r="K53" s="23" t="n">
        <f aca="false">SUM(K50:K52)</f>
        <v>376.718942754847</v>
      </c>
      <c r="L53" s="23" t="n">
        <f aca="false">SUM(L50:L52)</f>
        <v>412.678478199628</v>
      </c>
    </row>
    <row r="55" customFormat="false" ht="15" hidden="false" customHeight="false" outlineLevel="0" collapsed="false">
      <c r="C55" s="0" t="s">
        <v>44</v>
      </c>
      <c r="D55" s="6" t="n">
        <v>0</v>
      </c>
      <c r="E55" s="6" t="n">
        <v>12</v>
      </c>
      <c r="F55" s="6" t="n">
        <v>5</v>
      </c>
      <c r="G55" s="6" t="n">
        <v>0</v>
      </c>
      <c r="H55" s="21" t="n">
        <f aca="false">F55+H100</f>
        <v>0</v>
      </c>
      <c r="I55" s="21" t="n">
        <f aca="false">H55+I100</f>
        <v>0</v>
      </c>
      <c r="J55" s="21" t="n">
        <f aca="false">I55+J100</f>
        <v>0</v>
      </c>
      <c r="K55" s="21" t="n">
        <f aca="false">J55+K100</f>
        <v>0</v>
      </c>
      <c r="L55" s="21" t="n">
        <f aca="false">K55+L100</f>
        <v>0</v>
      </c>
    </row>
    <row r="56" customFormat="false" ht="15" hidden="false" customHeight="false" outlineLevel="0" collapsed="false">
      <c r="C56" s="0" t="s">
        <v>45</v>
      </c>
      <c r="D56" s="6" t="n">
        <v>167</v>
      </c>
      <c r="E56" s="6" t="n">
        <v>178</v>
      </c>
      <c r="F56" s="6" t="n">
        <v>186</v>
      </c>
      <c r="G56" s="6" t="n">
        <v>186</v>
      </c>
      <c r="H56" s="8" t="n">
        <f aca="false">F56</f>
        <v>186</v>
      </c>
      <c r="I56" s="8" t="n">
        <f aca="false">H56</f>
        <v>186</v>
      </c>
      <c r="J56" s="8" t="n">
        <f aca="false">I56</f>
        <v>186</v>
      </c>
      <c r="K56" s="8" t="n">
        <f aca="false">J56</f>
        <v>186</v>
      </c>
      <c r="L56" s="8" t="n">
        <f aca="false">K56</f>
        <v>186</v>
      </c>
    </row>
    <row r="57" customFormat="false" ht="15" hidden="false" customHeight="false" outlineLevel="0" collapsed="false">
      <c r="C57" s="0" t="s">
        <v>46</v>
      </c>
      <c r="D57" s="6" t="n">
        <v>45</v>
      </c>
      <c r="E57" s="6" t="n">
        <v>47</v>
      </c>
      <c r="F57" s="6" t="n">
        <v>49</v>
      </c>
      <c r="G57" s="6" t="n">
        <v>50</v>
      </c>
      <c r="H57" s="8" t="n">
        <f aca="false">F57</f>
        <v>49</v>
      </c>
      <c r="I57" s="8" t="n">
        <f aca="false">H57</f>
        <v>49</v>
      </c>
      <c r="J57" s="8" t="n">
        <f aca="false">I57</f>
        <v>49</v>
      </c>
      <c r="K57" s="8" t="n">
        <f aca="false">J57</f>
        <v>49</v>
      </c>
      <c r="L57" s="8" t="n">
        <f aca="false">K57</f>
        <v>49</v>
      </c>
    </row>
    <row r="58" customFormat="false" ht="15" hidden="false" customHeight="false" outlineLevel="0" collapsed="false">
      <c r="B58" s="0" t="n">
        <v>2</v>
      </c>
      <c r="C58" s="15" t="s">
        <v>47</v>
      </c>
      <c r="D58" s="23" t="n">
        <f aca="false">SUM(D55:D57)+D53</f>
        <v>401</v>
      </c>
      <c r="E58" s="23" t="n">
        <f aca="false">SUM(E55:E57)+E53</f>
        <v>464</v>
      </c>
      <c r="F58" s="23" t="n">
        <f aca="false">SUM(F55:F57)+F53</f>
        <v>503</v>
      </c>
      <c r="G58" s="23" t="n">
        <f aca="false">SUM(G55:G57)+G53</f>
        <v>503</v>
      </c>
      <c r="H58" s="23" t="n">
        <f aca="false">SUM(H55:H57)+H53</f>
        <v>521.57240824669</v>
      </c>
      <c r="I58" s="23" t="n">
        <f aca="false">SUM(I55:I57)+I53</f>
        <v>548.927047215692</v>
      </c>
      <c r="J58" s="23" t="n">
        <f aca="false">SUM(J55:J57)+J53</f>
        <v>578.892810813554</v>
      </c>
      <c r="K58" s="23" t="n">
        <f aca="false">SUM(K55:K57)+K53</f>
        <v>611.718942754847</v>
      </c>
      <c r="L58" s="23" t="n">
        <f aca="false">SUM(L55:L57)+L53</f>
        <v>647.678478199628</v>
      </c>
    </row>
    <row r="60" customFormat="false" ht="15" hidden="false" customHeight="false" outlineLevel="0" collapsed="false">
      <c r="C60" s="0" t="s">
        <v>48</v>
      </c>
      <c r="D60" s="6" t="n">
        <v>35</v>
      </c>
      <c r="E60" s="6" t="n">
        <v>37</v>
      </c>
      <c r="F60" s="6" t="n">
        <v>39</v>
      </c>
      <c r="G60" s="6" t="n">
        <v>40</v>
      </c>
      <c r="H60" s="7" t="n">
        <f aca="false">H106</f>
        <v>44</v>
      </c>
      <c r="I60" s="7" t="n">
        <f aca="false">I106</f>
        <v>49</v>
      </c>
      <c r="J60" s="7" t="n">
        <f aca="false">J106</f>
        <v>54</v>
      </c>
      <c r="K60" s="7" t="n">
        <f aca="false">K106</f>
        <v>59</v>
      </c>
      <c r="L60" s="7" t="n">
        <f aca="false">L106</f>
        <v>64</v>
      </c>
    </row>
    <row r="61" customFormat="false" ht="15" hidden="false" customHeight="false" outlineLevel="0" collapsed="false">
      <c r="C61" s="0" t="s">
        <v>49</v>
      </c>
      <c r="D61" s="6" t="n">
        <v>-145</v>
      </c>
      <c r="E61" s="6" t="n">
        <v>-178</v>
      </c>
      <c r="F61" s="6" t="n">
        <v>-210</v>
      </c>
      <c r="G61" s="6" t="n">
        <v>-215</v>
      </c>
      <c r="H61" s="8" t="n">
        <f aca="false">H110</f>
        <v>-230</v>
      </c>
      <c r="I61" s="8" t="n">
        <f aca="false">I110</f>
        <v>-250</v>
      </c>
      <c r="J61" s="8" t="n">
        <f aca="false">J110</f>
        <v>-270</v>
      </c>
      <c r="K61" s="8" t="n">
        <f aca="false">K110</f>
        <v>-290</v>
      </c>
      <c r="L61" s="8" t="n">
        <f aca="false">L110</f>
        <v>-310</v>
      </c>
    </row>
    <row r="62" customFormat="false" ht="15" hidden="false" customHeight="false" outlineLevel="0" collapsed="false">
      <c r="C62" s="0" t="s">
        <v>50</v>
      </c>
      <c r="D62" s="6" t="n">
        <v>-7</v>
      </c>
      <c r="E62" s="6" t="n">
        <v>12</v>
      </c>
      <c r="F62" s="6" t="n">
        <v>43</v>
      </c>
      <c r="G62" s="6" t="n">
        <v>41</v>
      </c>
      <c r="H62" s="8" t="n">
        <f aca="false">F62</f>
        <v>43</v>
      </c>
      <c r="I62" s="8" t="n">
        <f aca="false">H62</f>
        <v>43</v>
      </c>
      <c r="J62" s="8" t="n">
        <f aca="false">I62</f>
        <v>43</v>
      </c>
      <c r="K62" s="8" t="n">
        <f aca="false">J62</f>
        <v>43</v>
      </c>
      <c r="L62" s="8" t="n">
        <f aca="false">K62</f>
        <v>43</v>
      </c>
    </row>
    <row r="63" customFormat="false" ht="15" hidden="false" customHeight="false" outlineLevel="0" collapsed="false">
      <c r="A63" s="26" t="s">
        <v>51</v>
      </c>
      <c r="C63" s="0" t="s">
        <v>52</v>
      </c>
      <c r="D63" s="27" t="n">
        <v>698</v>
      </c>
      <c r="E63" s="27" t="n">
        <v>743</v>
      </c>
      <c r="F63" s="27" t="n">
        <v>807</v>
      </c>
      <c r="G63" s="27" t="n">
        <v>811</v>
      </c>
      <c r="H63" s="25" t="n">
        <f aca="false">H115</f>
        <v>860.551884914874</v>
      </c>
      <c r="I63" s="25" t="n">
        <f aca="false">I115</f>
        <v>933.660879480179</v>
      </c>
      <c r="J63" s="25" t="n">
        <f aca="false">J115</f>
        <v>1028.14070576938</v>
      </c>
      <c r="K63" s="25" t="n">
        <f aca="false">K115</f>
        <v>1146.36642819063</v>
      </c>
      <c r="L63" s="25" t="n">
        <f aca="false">L115</f>
        <v>1290.94691903247</v>
      </c>
    </row>
    <row r="64" customFormat="false" ht="15" hidden="false" customHeight="false" outlineLevel="0" collapsed="false">
      <c r="B64" s="0" t="n">
        <v>3</v>
      </c>
      <c r="C64" s="15" t="s">
        <v>53</v>
      </c>
      <c r="D64" s="23" t="n">
        <f aca="false">SUM(D60:D63)</f>
        <v>581</v>
      </c>
      <c r="E64" s="23" t="n">
        <f aca="false">SUM(E60:E63)</f>
        <v>614</v>
      </c>
      <c r="F64" s="23" t="n">
        <f aca="false">SUM(F60:F63)</f>
        <v>679</v>
      </c>
      <c r="G64" s="23" t="n">
        <f aca="false">SUM(G60:G63)</f>
        <v>677</v>
      </c>
      <c r="H64" s="11" t="n">
        <f aca="false">SUM(H60:H63)</f>
        <v>717.551884914874</v>
      </c>
      <c r="I64" s="11" t="n">
        <f aca="false">SUM(I60:I63)</f>
        <v>775.660879480179</v>
      </c>
      <c r="J64" s="11" t="n">
        <f aca="false">SUM(J60:J63)</f>
        <v>855.140705769376</v>
      </c>
      <c r="K64" s="11" t="n">
        <f aca="false">SUM(K60:K63)</f>
        <v>958.366428190634</v>
      </c>
      <c r="L64" s="11" t="n">
        <f aca="false">SUM(L60:L63)</f>
        <v>1087.94691903247</v>
      </c>
    </row>
    <row r="66" customFormat="false" ht="15" hidden="false" customHeight="false" outlineLevel="0" collapsed="false">
      <c r="C66" s="15" t="s">
        <v>54</v>
      </c>
      <c r="D66" s="23" t="n">
        <f aca="false">D58+D64</f>
        <v>982</v>
      </c>
      <c r="E66" s="23" t="n">
        <f aca="false">E58+E64</f>
        <v>1078</v>
      </c>
      <c r="F66" s="23" t="n">
        <f aca="false">F58+F64</f>
        <v>1182</v>
      </c>
      <c r="G66" s="23" t="n">
        <f aca="false">G58+G64</f>
        <v>1180</v>
      </c>
      <c r="H66" s="23" t="n">
        <f aca="false">H58+H64</f>
        <v>1239.12429316156</v>
      </c>
      <c r="I66" s="23" t="n">
        <f aca="false">I58+I64</f>
        <v>1324.58792669587</v>
      </c>
      <c r="J66" s="23" t="n">
        <f aca="false">J58+J64</f>
        <v>1434.03351658293</v>
      </c>
      <c r="K66" s="23" t="n">
        <f aca="false">K58+K64</f>
        <v>1570.08537094548</v>
      </c>
      <c r="L66" s="23" t="n">
        <f aca="false">L58+L64</f>
        <v>1735.6253972321</v>
      </c>
    </row>
    <row r="67" customFormat="false" ht="15" hidden="false" customHeight="false" outlineLevel="0" collapsed="false">
      <c r="C67" s="0" t="s">
        <v>39</v>
      </c>
      <c r="D67" s="7" t="n">
        <f aca="false">D48</f>
        <v>982</v>
      </c>
      <c r="E67" s="7" t="n">
        <f aca="false">E48</f>
        <v>1078</v>
      </c>
      <c r="F67" s="7" t="n">
        <f aca="false">F48</f>
        <v>1182</v>
      </c>
      <c r="G67" s="7" t="n">
        <f aca="false">G48</f>
        <v>1180</v>
      </c>
      <c r="H67" s="7" t="n">
        <f aca="false">H48</f>
        <v>1239.12429316156</v>
      </c>
      <c r="I67" s="7" t="n">
        <f aca="false">I48</f>
        <v>1324.58792669587</v>
      </c>
      <c r="J67" s="7" t="n">
        <f aca="false">J48</f>
        <v>1434.03351658293</v>
      </c>
      <c r="K67" s="7" t="n">
        <f aca="false">K48</f>
        <v>1570.08537094548</v>
      </c>
      <c r="L67" s="7" t="n">
        <f aca="false">L48</f>
        <v>1735.6253972321</v>
      </c>
    </row>
    <row r="68" customFormat="false" ht="15" hidden="false" customHeight="false" outlineLevel="0" collapsed="false">
      <c r="C68" s="28" t="s">
        <v>55</v>
      </c>
      <c r="D68" s="29" t="n">
        <f aca="false">D66-D67</f>
        <v>0</v>
      </c>
      <c r="E68" s="29" t="n">
        <f aca="false">E66-E67</f>
        <v>0</v>
      </c>
      <c r="F68" s="29" t="n">
        <f aca="false">F66-F67</f>
        <v>0</v>
      </c>
      <c r="G68" s="29" t="n">
        <f aca="false">G66-G67</f>
        <v>0</v>
      </c>
      <c r="H68" s="29" t="n">
        <f aca="false">H66-H67</f>
        <v>0</v>
      </c>
      <c r="I68" s="29" t="n">
        <f aca="false">I66-I67</f>
        <v>0</v>
      </c>
      <c r="J68" s="29" t="n">
        <f aca="false">J66-J67</f>
        <v>0</v>
      </c>
      <c r="K68" s="29" t="n">
        <f aca="false">K66-K67</f>
        <v>0</v>
      </c>
      <c r="L68" s="29" t="n">
        <f aca="false">L66-L67</f>
        <v>0</v>
      </c>
    </row>
    <row r="71" customFormat="false" ht="15" hidden="false" customHeight="false" outlineLevel="0" collapsed="false">
      <c r="A71" s="5" t="s">
        <v>5</v>
      </c>
      <c r="B71" s="0" t="s">
        <v>6</v>
      </c>
      <c r="C71" s="4" t="s">
        <v>56</v>
      </c>
    </row>
    <row r="73" customFormat="false" ht="15" hidden="false" customHeight="false" outlineLevel="0" collapsed="false">
      <c r="C73" s="0" t="s">
        <v>57</v>
      </c>
      <c r="H73" s="8" t="n">
        <f aca="false">H18</f>
        <v>203.551884914874</v>
      </c>
      <c r="I73" s="8" t="n">
        <f aca="false">I18</f>
        <v>223.108994565306</v>
      </c>
      <c r="J73" s="8" t="n">
        <f aca="false">J18</f>
        <v>244.479826289197</v>
      </c>
      <c r="K73" s="8" t="n">
        <f aca="false">K18</f>
        <v>268.225722421257</v>
      </c>
      <c r="L73" s="8" t="n">
        <f aca="false">L18</f>
        <v>294.580490841839</v>
      </c>
    </row>
    <row r="74" customFormat="false" ht="15" hidden="false" customHeight="false" outlineLevel="0" collapsed="false">
      <c r="C74" s="0" t="s">
        <v>58</v>
      </c>
      <c r="H74" s="8" t="n">
        <f aca="false">-(H27+H30)</f>
        <v>53.6772727272727</v>
      </c>
      <c r="I74" s="8" t="n">
        <f aca="false">-(I27+I30)</f>
        <v>58.8010123966942</v>
      </c>
      <c r="J74" s="8" t="n">
        <f aca="false">-(J27+J30)</f>
        <v>64.4138363072878</v>
      </c>
      <c r="K74" s="8" t="n">
        <f aca="false">-(K27+K30)</f>
        <v>70.5624297729834</v>
      </c>
      <c r="L74" s="8" t="n">
        <f aca="false">-(L27+L30)</f>
        <v>77.2979344331318</v>
      </c>
    </row>
    <row r="75" customFormat="false" ht="15" hidden="false" customHeight="false" outlineLevel="0" collapsed="false">
      <c r="C75" s="0" t="s">
        <v>32</v>
      </c>
      <c r="H75" s="8" t="n">
        <f aca="false">F39-H39</f>
        <v>-14.7</v>
      </c>
      <c r="I75" s="8" t="n">
        <f aca="false">H39-I39</f>
        <v>-16.1031818181818</v>
      </c>
      <c r="J75" s="8" t="n">
        <f aca="false">I39-J39</f>
        <v>-17.6403037190083</v>
      </c>
      <c r="K75" s="8" t="n">
        <f aca="false">J39-K39</f>
        <v>-19.3241508921863</v>
      </c>
      <c r="L75" s="8" t="n">
        <f aca="false">K39-L39</f>
        <v>-21.168728931895</v>
      </c>
    </row>
    <row r="76" customFormat="false" ht="15" hidden="false" customHeight="false" outlineLevel="0" collapsed="false">
      <c r="C76" s="0" t="s">
        <v>33</v>
      </c>
      <c r="H76" s="7" t="n">
        <f aca="false">F40-H40</f>
        <v>-22.1443215142629</v>
      </c>
      <c r="I76" s="7" t="n">
        <f aca="false">H40-I40</f>
        <v>-35.0455943263615</v>
      </c>
      <c r="J76" s="7" t="n">
        <f aca="false">I40-J40</f>
        <v>-38.3908556029687</v>
      </c>
      <c r="K76" s="7" t="n">
        <f aca="false">J40-K40</f>
        <v>-42.0554372741611</v>
      </c>
      <c r="L76" s="7" t="n">
        <f aca="false">K40-L40</f>
        <v>-46.0698199230584</v>
      </c>
    </row>
    <row r="77" customFormat="false" ht="15" hidden="false" customHeight="false" outlineLevel="0" collapsed="false">
      <c r="C77" s="0" t="s">
        <v>34</v>
      </c>
      <c r="H77" s="7" t="n">
        <f aca="false">F41-H41</f>
        <v>-4.29545454545455</v>
      </c>
      <c r="I77" s="7" t="n">
        <f aca="false">H41-I41</f>
        <v>-4.70547520661157</v>
      </c>
      <c r="J77" s="7" t="n">
        <f aca="false">I41-J41</f>
        <v>-5.15463420360631</v>
      </c>
      <c r="K77" s="7" t="n">
        <f aca="false">J41-K41</f>
        <v>-5.64666746849601</v>
      </c>
      <c r="L77" s="7" t="n">
        <f aca="false">K41-L41</f>
        <v>-6.18566754503426</v>
      </c>
    </row>
    <row r="78" customFormat="false" ht="15" hidden="false" customHeight="false" outlineLevel="0" collapsed="false">
      <c r="C78" s="0" t="s">
        <v>40</v>
      </c>
      <c r="H78" s="8" t="n">
        <f aca="false">H50-F50</f>
        <v>3.14513551941705</v>
      </c>
      <c r="I78" s="8" t="n">
        <f aca="false">I50-H50</f>
        <v>4.97749020867163</v>
      </c>
      <c r="J78" s="8" t="n">
        <f aca="false">J50-I50</f>
        <v>5.45261427404483</v>
      </c>
      <c r="K78" s="8" t="n">
        <f aca="false">K50-J50</f>
        <v>5.97309109111274</v>
      </c>
      <c r="L78" s="8" t="n">
        <f aca="false">L50-K50</f>
        <v>6.5432497861735</v>
      </c>
    </row>
    <row r="79" customFormat="false" ht="15" hidden="false" customHeight="false" outlineLevel="0" collapsed="false">
      <c r="C79" s="0" t="s">
        <v>41</v>
      </c>
      <c r="H79" s="8" t="n">
        <f aca="false">H51-F51</f>
        <v>4.48636363636363</v>
      </c>
      <c r="I79" s="8" t="n">
        <f aca="false">I51-H51</f>
        <v>4.91460743801653</v>
      </c>
      <c r="J79" s="8" t="n">
        <f aca="false">J51-I51</f>
        <v>5.38372905709993</v>
      </c>
      <c r="K79" s="8" t="n">
        <f aca="false">K51-J51</f>
        <v>5.89763046709582</v>
      </c>
      <c r="L79" s="8" t="n">
        <f aca="false">L51-K51</f>
        <v>6.46058610259134</v>
      </c>
    </row>
    <row r="80" customFormat="false" ht="15" hidden="false" customHeight="false" outlineLevel="0" collapsed="false">
      <c r="C80" s="0" t="s">
        <v>42</v>
      </c>
      <c r="H80" s="8" t="n">
        <f aca="false">H52-F52</f>
        <v>15.9409090909091</v>
      </c>
      <c r="I80" s="8" t="n">
        <f aca="false">I52-H52</f>
        <v>17.4625413223141</v>
      </c>
      <c r="J80" s="8" t="n">
        <f aca="false">J52-I52</f>
        <v>19.1294202667168</v>
      </c>
      <c r="K80" s="8" t="n">
        <f aca="false">K52-J52</f>
        <v>20.9554103830852</v>
      </c>
      <c r="L80" s="8" t="n">
        <f aca="false">L52-K52</f>
        <v>22.955699556016</v>
      </c>
    </row>
    <row r="81" customFormat="false" ht="15" hidden="false" customHeight="false" outlineLevel="0" collapsed="false">
      <c r="C81" s="15" t="s">
        <v>59</v>
      </c>
      <c r="D81" s="15"/>
      <c r="E81" s="15"/>
      <c r="F81" s="15"/>
      <c r="G81" s="15"/>
      <c r="H81" s="12" t="n">
        <f aca="false">SUM(H73:H80)</f>
        <v>239.661789829119</v>
      </c>
      <c r="I81" s="12" t="n">
        <f aca="false">SUM(I73:I80)</f>
        <v>253.410394579847</v>
      </c>
      <c r="J81" s="12" t="n">
        <f aca="false">SUM(J73:J80)</f>
        <v>277.673632668763</v>
      </c>
      <c r="K81" s="12" t="n">
        <f aca="false">SUM(K73:K80)</f>
        <v>304.588028500691</v>
      </c>
      <c r="L81" s="12" t="n">
        <f aca="false">SUM(L73:L80)</f>
        <v>334.413744319764</v>
      </c>
    </row>
    <row r="83" customFormat="false" ht="15" hidden="false" customHeight="false" outlineLevel="0" collapsed="false">
      <c r="C83" s="0" t="s">
        <v>60</v>
      </c>
      <c r="H83" s="8" t="n">
        <f aca="false">H28</f>
        <v>-73.3954545454545</v>
      </c>
      <c r="I83" s="8" t="n">
        <f aca="false">I28</f>
        <v>-80.4013842975207</v>
      </c>
      <c r="J83" s="8" t="n">
        <f aca="false">J28</f>
        <v>-88.0760618895567</v>
      </c>
      <c r="K83" s="8" t="n">
        <f aca="false">K28</f>
        <v>-96.4833223426508</v>
      </c>
      <c r="L83" s="8" t="n">
        <f aca="false">L28</f>
        <v>-105.693094020813</v>
      </c>
    </row>
    <row r="84" customFormat="false" ht="15" hidden="false" customHeight="false" outlineLevel="0" collapsed="false">
      <c r="C84" s="0" t="s">
        <v>61</v>
      </c>
      <c r="H84" s="8" t="n">
        <f aca="false">H31</f>
        <v>-23.0045454545455</v>
      </c>
      <c r="I84" s="8" t="n">
        <f aca="false">I31</f>
        <v>-25.2004338842975</v>
      </c>
      <c r="J84" s="8" t="n">
        <f aca="false">J31</f>
        <v>-27.6059298459805</v>
      </c>
      <c r="K84" s="8" t="n">
        <f aca="false">K31</f>
        <v>-30.2410413312786</v>
      </c>
      <c r="L84" s="8" t="n">
        <f aca="false">L31</f>
        <v>-33.1276861856279</v>
      </c>
    </row>
    <row r="85" customFormat="false" ht="15" hidden="false" customHeight="false" outlineLevel="0" collapsed="false">
      <c r="C85" s="15" t="s">
        <v>62</v>
      </c>
      <c r="D85" s="15"/>
      <c r="E85" s="15"/>
      <c r="F85" s="15"/>
      <c r="G85" s="15"/>
      <c r="H85" s="12" t="n">
        <f aca="false">SUM(H83:H84)</f>
        <v>-96.4</v>
      </c>
      <c r="I85" s="12" t="n">
        <f aca="false">SUM(I83:I84)</f>
        <v>-105.601818181818</v>
      </c>
      <c r="J85" s="12" t="n">
        <f aca="false">SUM(J83:J84)</f>
        <v>-115.681991735537</v>
      </c>
      <c r="K85" s="12" t="n">
        <f aca="false">SUM(K83:K84)</f>
        <v>-126.724363673929</v>
      </c>
      <c r="L85" s="12" t="n">
        <f aca="false">SUM(L83:L84)</f>
        <v>-138.820780206441</v>
      </c>
    </row>
    <row r="87" customFormat="false" ht="15" hidden="false" customHeight="false" outlineLevel="0" collapsed="false">
      <c r="C87" s="0" t="s">
        <v>45</v>
      </c>
      <c r="H87" s="8" t="n">
        <f aca="false">H56-F56</f>
        <v>0</v>
      </c>
      <c r="I87" s="8" t="n">
        <f aca="false">I56-H56</f>
        <v>0</v>
      </c>
      <c r="J87" s="8" t="n">
        <f aca="false">J56-I56</f>
        <v>0</v>
      </c>
      <c r="K87" s="8" t="n">
        <f aca="false">K56-J56</f>
        <v>0</v>
      </c>
      <c r="L87" s="8" t="n">
        <f aca="false">L56-K56</f>
        <v>0</v>
      </c>
    </row>
    <row r="88" customFormat="false" ht="15" hidden="false" customHeight="false" outlineLevel="0" collapsed="false">
      <c r="C88" s="0" t="s">
        <v>44</v>
      </c>
      <c r="H88" s="21" t="n">
        <f aca="false">H55-F55</f>
        <v>-5</v>
      </c>
      <c r="I88" s="21" t="n">
        <f aca="false">I55-H55</f>
        <v>0</v>
      </c>
      <c r="J88" s="21" t="n">
        <f aca="false">J55-I55</f>
        <v>0</v>
      </c>
      <c r="K88" s="21" t="n">
        <f aca="false">K55-J55</f>
        <v>0</v>
      </c>
      <c r="L88" s="21" t="n">
        <f aca="false">L55-K55</f>
        <v>0</v>
      </c>
    </row>
    <row r="89" customFormat="false" ht="15" hidden="false" customHeight="false" outlineLevel="0" collapsed="false">
      <c r="C89" s="0" t="s">
        <v>46</v>
      </c>
      <c r="H89" s="8" t="n">
        <f aca="false">H57-F57</f>
        <v>0</v>
      </c>
      <c r="I89" s="8" t="n">
        <f aca="false">I57-H57</f>
        <v>0</v>
      </c>
      <c r="J89" s="8" t="n">
        <f aca="false">J57-I57</f>
        <v>0</v>
      </c>
      <c r="K89" s="8" t="n">
        <f aca="false">K57-J57</f>
        <v>0</v>
      </c>
      <c r="L89" s="8" t="n">
        <f aca="false">L57-K57</f>
        <v>0</v>
      </c>
    </row>
    <row r="90" customFormat="false" ht="15" hidden="false" customHeight="false" outlineLevel="0" collapsed="false">
      <c r="C90" s="0" t="s">
        <v>63</v>
      </c>
      <c r="H90" s="7" t="n">
        <f aca="false">H105</f>
        <v>5</v>
      </c>
      <c r="I90" s="7" t="n">
        <f aca="false">I105</f>
        <v>5</v>
      </c>
      <c r="J90" s="7" t="n">
        <f aca="false">J105</f>
        <v>5</v>
      </c>
      <c r="K90" s="7" t="n">
        <f aca="false">K105</f>
        <v>5</v>
      </c>
      <c r="L90" s="7" t="n">
        <f aca="false">L105</f>
        <v>5</v>
      </c>
    </row>
    <row r="91" customFormat="false" ht="15" hidden="false" customHeight="false" outlineLevel="0" collapsed="false">
      <c r="C91" s="0" t="s">
        <v>49</v>
      </c>
      <c r="H91" s="8" t="n">
        <f aca="false">H109</f>
        <v>-20</v>
      </c>
      <c r="I91" s="8" t="n">
        <f aca="false">I109</f>
        <v>-20</v>
      </c>
      <c r="J91" s="8" t="n">
        <f aca="false">J109</f>
        <v>-20</v>
      </c>
      <c r="K91" s="8" t="n">
        <f aca="false">K109</f>
        <v>-20</v>
      </c>
      <c r="L91" s="8" t="n">
        <f aca="false">L109</f>
        <v>-20</v>
      </c>
    </row>
    <row r="92" customFormat="false" ht="15" hidden="false" customHeight="false" outlineLevel="0" collapsed="false">
      <c r="C92" s="0" t="s">
        <v>50</v>
      </c>
      <c r="H92" s="8" t="n">
        <f aca="false">H62-F62</f>
        <v>0</v>
      </c>
      <c r="I92" s="8" t="n">
        <f aca="false">I62-H62</f>
        <v>0</v>
      </c>
      <c r="J92" s="8" t="n">
        <f aca="false">J62-I62</f>
        <v>0</v>
      </c>
      <c r="K92" s="8" t="n">
        <f aca="false">K62-J62</f>
        <v>0</v>
      </c>
      <c r="L92" s="8" t="n">
        <f aca="false">L62-K62</f>
        <v>0</v>
      </c>
    </row>
    <row r="93" customFormat="false" ht="15" hidden="false" customHeight="false" outlineLevel="0" collapsed="false">
      <c r="C93" s="0" t="s">
        <v>64</v>
      </c>
      <c r="H93" s="7" t="n">
        <f aca="false">H114</f>
        <v>-150</v>
      </c>
      <c r="I93" s="7" t="n">
        <f aca="false">I114</f>
        <v>-150</v>
      </c>
      <c r="J93" s="7" t="n">
        <f aca="false">J114</f>
        <v>-150</v>
      </c>
      <c r="K93" s="7" t="n">
        <f aca="false">K114</f>
        <v>-150</v>
      </c>
      <c r="L93" s="7" t="n">
        <f aca="false">L114</f>
        <v>-150</v>
      </c>
    </row>
    <row r="94" customFormat="false" ht="15" hidden="false" customHeight="false" outlineLevel="0" collapsed="false">
      <c r="C94" s="15" t="s">
        <v>65</v>
      </c>
      <c r="D94" s="15"/>
      <c r="E94" s="15"/>
      <c r="F94" s="15"/>
      <c r="G94" s="15"/>
      <c r="H94" s="12" t="n">
        <f aca="false">SUM(H87:H93)</f>
        <v>-170</v>
      </c>
      <c r="I94" s="12" t="n">
        <f aca="false">SUM(I87:I93)</f>
        <v>-165</v>
      </c>
      <c r="J94" s="12" t="n">
        <f aca="false">SUM(J87:J93)</f>
        <v>-165</v>
      </c>
      <c r="K94" s="12" t="n">
        <f aca="false">SUM(K87:K93)</f>
        <v>-165</v>
      </c>
      <c r="L94" s="12" t="n">
        <f aca="false">SUM(L87:L93)</f>
        <v>-165</v>
      </c>
    </row>
    <row r="96" customFormat="false" ht="15" hidden="false" customHeight="false" outlineLevel="0" collapsed="false">
      <c r="C96" s="15" t="s">
        <v>66</v>
      </c>
      <c r="D96" s="15"/>
      <c r="E96" s="15"/>
      <c r="F96" s="15"/>
      <c r="G96" s="15"/>
      <c r="H96" s="12" t="n">
        <f aca="false">H81+H85+H94</f>
        <v>-26.7382101708812</v>
      </c>
      <c r="I96" s="12" t="n">
        <f aca="false">I81+I85+I94</f>
        <v>-17.1914236019711</v>
      </c>
      <c r="J96" s="12" t="n">
        <f aca="false">J81+J85+J94</f>
        <v>-3.00835906677395</v>
      </c>
      <c r="K96" s="12" t="n">
        <f aca="false">K81+K85+K94</f>
        <v>12.8636648267616</v>
      </c>
      <c r="L96" s="12" t="n">
        <f aca="false">L81+L85+L94</f>
        <v>30.5929641133236</v>
      </c>
    </row>
    <row r="99" customFormat="false" ht="15" hidden="false" customHeight="false" outlineLevel="0" collapsed="false">
      <c r="C99" s="0" t="s">
        <v>67</v>
      </c>
      <c r="H99" s="8" t="n">
        <f aca="false">F38+H81+H85+SUM(H87,H89:H93)</f>
        <v>284.261789829119</v>
      </c>
      <c r="I99" s="8" t="n">
        <f aca="false">H38+I81+I85+SUM(I87,I89:I93)</f>
        <v>262.070366227148</v>
      </c>
      <c r="J99" s="8" t="n">
        <f aca="false">I38+J81+J85+SUM(J87,J89:J93)</f>
        <v>259.062007160374</v>
      </c>
      <c r="K99" s="8" t="n">
        <f aca="false">J38+K81+K85+SUM(K87,K89:K93)</f>
        <v>271.925671987135</v>
      </c>
      <c r="L99" s="8" t="n">
        <f aca="false">K38+L81+L85+SUM(L87,L89:L93)</f>
        <v>302.518636100459</v>
      </c>
    </row>
    <row r="100" s="4" customFormat="true" ht="15" hidden="false" customHeight="false" outlineLevel="0" collapsed="false">
      <c r="C100" s="4" t="s">
        <v>68</v>
      </c>
      <c r="H100" s="11" t="n">
        <f aca="false">-MIN(H99,F55)</f>
        <v>-5</v>
      </c>
      <c r="I100" s="11" t="n">
        <f aca="false">-MIN(I99,H55)</f>
        <v>-0</v>
      </c>
      <c r="J100" s="11" t="n">
        <f aca="false">-MIN(J99,I55)</f>
        <v>-0</v>
      </c>
      <c r="K100" s="11" t="n">
        <f aca="false">-MIN(K99,J55)</f>
        <v>-0</v>
      </c>
      <c r="L100" s="11" t="n">
        <f aca="false">-MIN(L99,K55)</f>
        <v>-0</v>
      </c>
    </row>
    <row r="103" customFormat="false" ht="15" hidden="false" customHeight="false" outlineLevel="0" collapsed="false">
      <c r="A103" s="5" t="s">
        <v>5</v>
      </c>
      <c r="B103" s="0" t="s">
        <v>6</v>
      </c>
      <c r="C103" s="4" t="s">
        <v>69</v>
      </c>
    </row>
    <row r="104" customFormat="false" ht="15" hidden="false" customHeight="false" outlineLevel="0" collapsed="false">
      <c r="C104" s="0" t="s">
        <v>70</v>
      </c>
      <c r="H104" s="7" t="n">
        <f aca="false">F60</f>
        <v>39</v>
      </c>
      <c r="I104" s="7" t="n">
        <f aca="false">H106</f>
        <v>44</v>
      </c>
      <c r="J104" s="7" t="n">
        <f aca="false">I106</f>
        <v>49</v>
      </c>
      <c r="K104" s="7" t="n">
        <f aca="false">J106</f>
        <v>54</v>
      </c>
      <c r="L104" s="7" t="n">
        <f aca="false">K106</f>
        <v>59</v>
      </c>
    </row>
    <row r="105" customFormat="false" ht="15" hidden="false" customHeight="false" outlineLevel="0" collapsed="false">
      <c r="C105" s="0" t="s">
        <v>71</v>
      </c>
      <c r="H105" s="30" t="n">
        <v>5</v>
      </c>
      <c r="I105" s="30" t="n">
        <v>5</v>
      </c>
      <c r="J105" s="30" t="n">
        <v>5</v>
      </c>
      <c r="K105" s="30" t="n">
        <v>5</v>
      </c>
      <c r="L105" s="30" t="n">
        <v>5</v>
      </c>
    </row>
    <row r="106" customFormat="false" ht="15" hidden="false" customHeight="false" outlineLevel="0" collapsed="false">
      <c r="C106" s="15" t="s">
        <v>72</v>
      </c>
      <c r="D106" s="15"/>
      <c r="E106" s="15"/>
      <c r="F106" s="15"/>
      <c r="G106" s="15"/>
      <c r="H106" s="23" t="n">
        <f aca="false">SUM(H104:H105)</f>
        <v>44</v>
      </c>
      <c r="I106" s="23" t="n">
        <f aca="false">SUM(I104:I105)</f>
        <v>49</v>
      </c>
      <c r="J106" s="23" t="n">
        <f aca="false">SUM(J104:J105)</f>
        <v>54</v>
      </c>
      <c r="K106" s="23" t="n">
        <f aca="false">SUM(K104:K105)</f>
        <v>59</v>
      </c>
      <c r="L106" s="23" t="n">
        <f aca="false">SUM(L104:L105)</f>
        <v>64</v>
      </c>
    </row>
    <row r="108" customFormat="false" ht="15" hidden="false" customHeight="false" outlineLevel="0" collapsed="false">
      <c r="C108" s="0" t="s">
        <v>73</v>
      </c>
      <c r="H108" s="7" t="n">
        <f aca="false">F61</f>
        <v>-210</v>
      </c>
      <c r="I108" s="7" t="n">
        <f aca="false">H110</f>
        <v>-230</v>
      </c>
      <c r="J108" s="7" t="n">
        <f aca="false">I110</f>
        <v>-250</v>
      </c>
      <c r="K108" s="7" t="n">
        <f aca="false">J110</f>
        <v>-270</v>
      </c>
      <c r="L108" s="7" t="n">
        <f aca="false">K110</f>
        <v>-290</v>
      </c>
    </row>
    <row r="109" customFormat="false" ht="15" hidden="false" customHeight="false" outlineLevel="0" collapsed="false">
      <c r="C109" s="9" t="s">
        <v>74</v>
      </c>
      <c r="D109" s="9"/>
      <c r="E109" s="9"/>
      <c r="F109" s="9"/>
      <c r="G109" s="9"/>
      <c r="H109" s="31" t="n">
        <v>-20</v>
      </c>
      <c r="I109" s="31" t="n">
        <v>-20</v>
      </c>
      <c r="J109" s="31" t="n">
        <v>-20</v>
      </c>
      <c r="K109" s="31" t="n">
        <v>-20</v>
      </c>
      <c r="L109" s="31" t="n">
        <v>-20</v>
      </c>
    </row>
    <row r="110" customFormat="false" ht="15" hidden="false" customHeight="false" outlineLevel="0" collapsed="false">
      <c r="C110" s="4" t="s">
        <v>75</v>
      </c>
      <c r="D110" s="4"/>
      <c r="E110" s="4"/>
      <c r="F110" s="4"/>
      <c r="G110" s="4"/>
      <c r="H110" s="11" t="n">
        <f aca="false">SUM(H108:H109)</f>
        <v>-230</v>
      </c>
      <c r="I110" s="11" t="n">
        <f aca="false">SUM(I108:I109)</f>
        <v>-250</v>
      </c>
      <c r="J110" s="11" t="n">
        <f aca="false">SUM(J108:J109)</f>
        <v>-270</v>
      </c>
      <c r="K110" s="11" t="n">
        <f aca="false">SUM(K108:K109)</f>
        <v>-290</v>
      </c>
      <c r="L110" s="11" t="n">
        <f aca="false">SUM(L108:L109)</f>
        <v>-310</v>
      </c>
    </row>
    <row r="112" customFormat="false" ht="15" hidden="false" customHeight="false" outlineLevel="0" collapsed="false">
      <c r="C112" s="0" t="s">
        <v>76</v>
      </c>
      <c r="H112" s="7" t="n">
        <f aca="false">F63</f>
        <v>807</v>
      </c>
      <c r="I112" s="7" t="n">
        <f aca="false">H115</f>
        <v>860.551884914874</v>
      </c>
      <c r="J112" s="7" t="n">
        <f aca="false">I115</f>
        <v>933.660879480179</v>
      </c>
      <c r="K112" s="7" t="n">
        <f aca="false">J115</f>
        <v>1028.14070576938</v>
      </c>
      <c r="L112" s="7" t="n">
        <f aca="false">K115</f>
        <v>1146.36642819063</v>
      </c>
    </row>
    <row r="113" customFormat="false" ht="15" hidden="false" customHeight="false" outlineLevel="0" collapsed="false">
      <c r="C113" s="0" t="s">
        <v>77</v>
      </c>
      <c r="H113" s="7" t="n">
        <f aca="false">H18</f>
        <v>203.551884914874</v>
      </c>
      <c r="I113" s="7" t="n">
        <f aca="false">I18</f>
        <v>223.108994565306</v>
      </c>
      <c r="J113" s="7" t="n">
        <f aca="false">J18</f>
        <v>244.479826289197</v>
      </c>
      <c r="K113" s="7" t="n">
        <f aca="false">K18</f>
        <v>268.225722421257</v>
      </c>
      <c r="L113" s="7" t="n">
        <f aca="false">L18</f>
        <v>294.580490841839</v>
      </c>
    </row>
    <row r="114" customFormat="false" ht="15" hidden="false" customHeight="false" outlineLevel="0" collapsed="false">
      <c r="C114" s="0" t="s">
        <v>78</v>
      </c>
      <c r="H114" s="31" t="n">
        <v>-150</v>
      </c>
      <c r="I114" s="31" t="n">
        <v>-150</v>
      </c>
      <c r="J114" s="31" t="n">
        <v>-150</v>
      </c>
      <c r="K114" s="31" t="n">
        <v>-150</v>
      </c>
      <c r="L114" s="31" t="n">
        <v>-150</v>
      </c>
    </row>
    <row r="115" customFormat="false" ht="15" hidden="false" customHeight="false" outlineLevel="0" collapsed="false">
      <c r="C115" s="15" t="s">
        <v>79</v>
      </c>
      <c r="D115" s="15"/>
      <c r="E115" s="15"/>
      <c r="F115" s="15"/>
      <c r="G115" s="15"/>
      <c r="H115" s="12" t="n">
        <f aca="false">SUM(H112:H114)</f>
        <v>860.551884914874</v>
      </c>
      <c r="I115" s="12" t="n">
        <f aca="false">SUM(I112:I114)</f>
        <v>933.660879480179</v>
      </c>
      <c r="J115" s="12" t="n">
        <f aca="false">SUM(J112:J114)</f>
        <v>1028.14070576938</v>
      </c>
      <c r="K115" s="12" t="n">
        <f aca="false">SUM(K112:K114)</f>
        <v>1146.36642819063</v>
      </c>
      <c r="L115" s="12" t="n">
        <f aca="false">SUM(L112:L114)</f>
        <v>1290.94691903247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D3:F3"/>
    <mergeCell ref="H3:L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2025-11-06T04:16:59Z</dcterms:created>
  <dc:creator/>
  <dc:description/>
  <dc:language>en-US</dc:language>
  <cp:lastModifiedBy/>
  <dcterms:modified xsi:type="dcterms:W3CDTF">2026-10-14T14:02:34Z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