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3 Statement Model" sheetId="1" state="visible" r:id="rId3"/>
  </sheets>
  <definedNames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false" name="IQ_NTM" vbProcedure="false">6000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Amgad</author>
  </authors>
  <commentList>
    <comment ref="B19" authorId="0">
      <text>
        <r>
          <rPr>
            <sz val="10"/>
            <rFont val="Arial"/>
            <family val="2"/>
          </rPr>
          <t xml:space="preserve">Amgad:
</t>
        </r>
        <r>
          <rPr>
            <sz val="9"/>
            <color rgb="FF000000"/>
            <rFont val="Tahoma"/>
            <family val="2"/>
            <charset val="1"/>
          </rPr>
          <t xml:space="preserve">Includes Fulfilment costs
</t>
        </r>
      </text>
    </comment>
    <comment ref="B52" authorId="0">
      <text>
        <r>
          <rPr>
            <sz val="10"/>
            <rFont val="Arial"/>
            <family val="2"/>
          </rPr>
          <t xml:space="preserve">Amgad:
</t>
        </r>
        <r>
          <rPr>
            <sz val="9"/>
            <color rgb="FF000000"/>
            <rFont val="Tahoma"/>
            <family val="2"/>
            <charset val="1"/>
          </rPr>
          <t xml:space="preserve">Inlcudes Goodwill, Operating Leases among other assests</t>
        </r>
      </text>
    </comment>
    <comment ref="B58" authorId="0">
      <text>
        <r>
          <rPr>
            <sz val="10"/>
            <rFont val="Arial"/>
            <family val="2"/>
          </rPr>
          <t xml:space="preserve">Amgad:
</t>
        </r>
        <r>
          <rPr>
            <sz val="9"/>
            <color rgb="FF000000"/>
            <rFont val="Tahoma"/>
            <family val="2"/>
            <charset val="1"/>
          </rPr>
          <t xml:space="preserve">Includes majority operating and minority financing leases. Operating lease expense kept embedded in opearting costs hence no interest forecast to avoid double counting.</t>
        </r>
      </text>
    </comment>
    <comment ref="B133" authorId="0">
      <text>
        <r>
          <rPr>
            <sz val="10"/>
            <rFont val="Arial"/>
            <family val="2"/>
          </rPr>
          <t xml:space="preserve">Amgad:
</t>
        </r>
        <r>
          <rPr>
            <sz val="9"/>
            <color rgb="FF000000"/>
            <rFont val="Tahoma"/>
            <family val="2"/>
            <charset val="1"/>
          </rPr>
          <t xml:space="preserve">We estimate this figure given that Amzn does not provide an explicit figure
</t>
        </r>
      </text>
    </comment>
    <comment ref="F191" authorId="0">
      <text>
        <r>
          <rPr>
            <sz val="10"/>
            <rFont val="Arial"/>
            <family val="2"/>
          </rPr>
          <t xml:space="preserve">Amgad:
</t>
        </r>
        <r>
          <rPr>
            <sz val="9"/>
            <color rgb="FF000000"/>
            <rFont val="Tahoma"/>
            <family val="2"/>
            <charset val="1"/>
          </rPr>
          <t xml:space="preserve">Based on spot price (current share price)
</t>
        </r>
      </text>
    </comment>
  </commentList>
</comments>
</file>

<file path=xl/sharedStrings.xml><?xml version="1.0" encoding="utf-8"?>
<sst xmlns="http://schemas.openxmlformats.org/spreadsheetml/2006/main" count="161" uniqueCount="128">
  <si>
    <t xml:space="preserve">$ and shares in millions, except per share data </t>
  </si>
  <si>
    <t xml:space="preserve">Company name</t>
  </si>
  <si>
    <t xml:space="preserve">Amazon</t>
  </si>
  <si>
    <t xml:space="preserve">Ticker</t>
  </si>
  <si>
    <t xml:space="preserve">AMZN</t>
  </si>
  <si>
    <t xml:space="preserve">Circ break 1=off, 0=on</t>
  </si>
  <si>
    <t xml:space="preserve">Latest closing share price</t>
  </si>
  <si>
    <t xml:space="preserve">Latest closing share price date</t>
  </si>
  <si>
    <t xml:space="preserve">Latest fiscal year end date</t>
  </si>
  <si>
    <t xml:space="preserve">Shares outstanding (millions)</t>
  </si>
  <si>
    <t xml:space="preserve">Select an operating scenario:</t>
  </si>
  <si>
    <t xml:space="preserve">Base case</t>
  </si>
  <si>
    <t xml:space="preserve">INCOME STATEMENT</t>
  </si>
  <si>
    <t xml:space="preserve">Fiscal year  </t>
  </si>
  <si>
    <t xml:space="preserve">Fiscal year end date</t>
  </si>
  <si>
    <t xml:space="preserve">Revenue - products</t>
  </si>
  <si>
    <t xml:space="preserve">Cost of Sales </t>
  </si>
  <si>
    <t xml:space="preserve">Gross Profit</t>
  </si>
  <si>
    <t xml:space="preserve">Selling, general &amp; administrative</t>
  </si>
  <si>
    <t xml:space="preserve">R&amp;D: Technology and Infrastructure </t>
  </si>
  <si>
    <t xml:space="preserve">Other operating expense, net</t>
  </si>
  <si>
    <t xml:space="preserve">Operating profit (EBIT)</t>
  </si>
  <si>
    <t xml:space="preserve">Interest income</t>
  </si>
  <si>
    <t xml:space="preserve">Interest expense </t>
  </si>
  <si>
    <t xml:space="preserve">Other expense, net</t>
  </si>
  <si>
    <t xml:space="preserve">Pretax profit</t>
  </si>
  <si>
    <t xml:space="preserve">Taxes </t>
  </si>
  <si>
    <t xml:space="preserve">Equity method investment, net of tax</t>
  </si>
  <si>
    <t xml:space="preserve">Net income</t>
  </si>
  <si>
    <t xml:space="preserve">Depreciation &amp; amortization</t>
  </si>
  <si>
    <t xml:space="preserve">EBITDA</t>
  </si>
  <si>
    <t xml:space="preserve">Stock based compensation</t>
  </si>
  <si>
    <t xml:space="preserve">Adjusted EBITDA</t>
  </si>
  <si>
    <t xml:space="preserve">Growth rates &amp; margins</t>
  </si>
  <si>
    <t xml:space="preserve">Revenue growth</t>
  </si>
  <si>
    <t xml:space="preserve">Gross profit margin</t>
  </si>
  <si>
    <t xml:space="preserve">R&amp;D % of sales </t>
  </si>
  <si>
    <t xml:space="preserve">SG&amp;A % of sales</t>
  </si>
  <si>
    <t xml:space="preserve">Tax rate</t>
  </si>
  <si>
    <t xml:space="preserve">BALANCE SHEET</t>
  </si>
  <si>
    <t xml:space="preserve">Cash &amp; equivalents, ST and LT marketable securities</t>
  </si>
  <si>
    <t xml:space="preserve">Accounts receivable</t>
  </si>
  <si>
    <t xml:space="preserve">Inventories</t>
  </si>
  <si>
    <t xml:space="preserve">Property, plant &amp; equipment</t>
  </si>
  <si>
    <t xml:space="preserve">Other non current assets</t>
  </si>
  <si>
    <t xml:space="preserve">Total assets</t>
  </si>
  <si>
    <t xml:space="preserve">Accounts payable</t>
  </si>
  <si>
    <t xml:space="preserve">Other current liabilities</t>
  </si>
  <si>
    <t xml:space="preserve">Deferred revenue (current)</t>
  </si>
  <si>
    <t xml:space="preserve">Long term lease liabilities</t>
  </si>
  <si>
    <t xml:space="preserve">Long term debt (includes current portion)</t>
  </si>
  <si>
    <t xml:space="preserve">Other non current liabilities</t>
  </si>
  <si>
    <t xml:space="preserve">Total liabilities</t>
  </si>
  <si>
    <t xml:space="preserve">Common stock</t>
  </si>
  <si>
    <t xml:space="preserve">Treasury stock </t>
  </si>
  <si>
    <t xml:space="preserve">APIC</t>
  </si>
  <si>
    <t xml:space="preserve">Retained earnings </t>
  </si>
  <si>
    <t xml:space="preserve">Other comprehensive income</t>
  </si>
  <si>
    <t xml:space="preserve">Total equity</t>
  </si>
  <si>
    <t xml:space="preserve">Balance check</t>
  </si>
  <si>
    <t xml:space="preserve">CASH FLOW STATEMENT</t>
  </si>
  <si>
    <t xml:space="preserve">Depreciation and amortization</t>
  </si>
  <si>
    <t xml:space="preserve">Decreases / (Increases) in working capital assets</t>
  </si>
  <si>
    <t xml:space="preserve">Increases / (Decreases) in working capital liabilities</t>
  </si>
  <si>
    <t xml:space="preserve">Cash from operating activities</t>
  </si>
  <si>
    <t xml:space="preserve">Capital expenditures</t>
  </si>
  <si>
    <t xml:space="preserve">Cash from investing activities</t>
  </si>
  <si>
    <t xml:space="preserve">Long term debt</t>
  </si>
  <si>
    <t xml:space="preserve">Share repurchases</t>
  </si>
  <si>
    <t xml:space="preserve">Common dividends</t>
  </si>
  <si>
    <t xml:space="preserve">Cash from financing activities</t>
  </si>
  <si>
    <t xml:space="preserve">Net change in cash during period</t>
  </si>
  <si>
    <t xml:space="preserve">PROPERTY, PLANT &amp; EQUIPMENT</t>
  </si>
  <si>
    <t xml:space="preserve">Forecast</t>
  </si>
  <si>
    <t xml:space="preserve">Beginning of period</t>
  </si>
  <si>
    <t xml:space="preserve">Plus: Capital expenditures</t>
  </si>
  <si>
    <t xml:space="preserve">Less: Depreciation</t>
  </si>
  <si>
    <t xml:space="preserve">End of period</t>
  </si>
  <si>
    <t xml:space="preserve">Step</t>
  </si>
  <si>
    <t xml:space="preserve">D&amp;A related to PP&amp;E as a % of capex</t>
  </si>
  <si>
    <t xml:space="preserve">IMPUTING TOTAL DEPRECIATION &amp; AMORTIZATION</t>
  </si>
  <si>
    <r>
      <rPr>
        <sz val="11"/>
        <color theme="1"/>
        <rFont val="Aptos Narrow"/>
        <family val="2"/>
        <charset val="1"/>
      </rPr>
      <t xml:space="preserve">D&amp;A </t>
    </r>
    <r>
      <rPr>
        <u val="single"/>
        <sz val="11"/>
        <color theme="1"/>
        <rFont val="Aptos Narrow"/>
        <family val="2"/>
        <charset val="1"/>
      </rPr>
      <t xml:space="preserve">not</t>
    </r>
    <r>
      <rPr>
        <sz val="11"/>
        <color theme="1"/>
        <rFont val="Aptos Narrow"/>
        <family val="2"/>
        <charset val="1"/>
      </rPr>
      <t xml:space="preserve"> related to PP&amp;E</t>
    </r>
  </si>
  <si>
    <t xml:space="preserve">as % of revenue</t>
  </si>
  <si>
    <t xml:space="preserve">Depreciation &amp; Amortization - Total </t>
  </si>
  <si>
    <t xml:space="preserve">OTHER NON-CURRENT ASSETS</t>
  </si>
  <si>
    <t xml:space="preserve">Less: Amortization of intangible assets</t>
  </si>
  <si>
    <t xml:space="preserve">Plus: Additions </t>
  </si>
  <si>
    <t xml:space="preserve">RETAINED EARNINGS</t>
  </si>
  <si>
    <t xml:space="preserve">Plus: Net income</t>
  </si>
  <si>
    <t xml:space="preserve">Less: Dividends</t>
  </si>
  <si>
    <t xml:space="preserve">Less: Repurchases</t>
  </si>
  <si>
    <t xml:space="preserve">INTEREST EXPENSE AND INTEREST INCOME</t>
  </si>
  <si>
    <t xml:space="preserve">Total interest expense (from I/S)</t>
  </si>
  <si>
    <t xml:space="preserve">End of period balance (from B/S)</t>
  </si>
  <si>
    <t xml:space="preserve">Weighted average interest rate</t>
  </si>
  <si>
    <t xml:space="preserve">Interest rate on cash</t>
  </si>
  <si>
    <t xml:space="preserve">Weighted average interest rate on cash</t>
  </si>
  <si>
    <t xml:space="preserve">SENSITIVITY ANALYSIS</t>
  </si>
  <si>
    <t xml:space="preserve">First forecast year net income  sensitivity</t>
  </si>
  <si>
    <t xml:space="preserve">Revenue growth rate</t>
  </si>
  <si>
    <t xml:space="preserve">Gross</t>
  </si>
  <si>
    <t xml:space="preserve">Profit</t>
  </si>
  <si>
    <t xml:space="preserve">Margin:</t>
  </si>
  <si>
    <t xml:space="preserve">SCENARIO ANALYSIS</t>
  </si>
  <si>
    <t xml:space="preserve">Active case:</t>
  </si>
  <si>
    <t xml:space="preserve">Variance from </t>
  </si>
  <si>
    <t xml:space="preserve">base case</t>
  </si>
  <si>
    <t xml:space="preserve">R&amp;D % of sales</t>
  </si>
  <si>
    <t xml:space="preserve">Best case</t>
  </si>
  <si>
    <t xml:space="preserve">NM</t>
  </si>
  <si>
    <t xml:space="preserve">Weak case</t>
  </si>
  <si>
    <t xml:space="preserve">EARNINGS PER SHARE</t>
  </si>
  <si>
    <t xml:space="preserve">Basic shares </t>
  </si>
  <si>
    <t xml:space="preserve">Basic EPS</t>
  </si>
  <si>
    <t xml:space="preserve">Diluted Shares</t>
  </si>
  <si>
    <t xml:space="preserve">Diluted EPS</t>
  </si>
  <si>
    <t xml:space="preserve">$ amount of shares repurchased</t>
  </si>
  <si>
    <t xml:space="preserve">$ amount of new shares issued</t>
  </si>
  <si>
    <t xml:space="preserve">Average share price</t>
  </si>
  <si>
    <t xml:space="preserve">Share price increase</t>
  </si>
  <si>
    <t xml:space="preserve">Alternative method for calculating weighted average basic shares</t>
  </si>
  <si>
    <t xml:space="preserve">Basic Shares - BOP</t>
  </si>
  <si>
    <t xml:space="preserve">Reference from latest share count &gt;</t>
  </si>
  <si>
    <t xml:space="preserve">Net change in basic shares</t>
  </si>
  <si>
    <t xml:space="preserve">Basic shares - EOP</t>
  </si>
  <si>
    <t xml:space="preserve">Basic shares - average</t>
  </si>
  <si>
    <t xml:space="preserve">Alternative method for estimating share price growth</t>
  </si>
  <si>
    <t xml:space="preserve">yoy % growth in net income</t>
  </si>
</sst>
</file>

<file path=xl/styles.xml><?xml version="1.0" encoding="utf-8"?>
<styleSheet xmlns="http://schemas.openxmlformats.org/spreadsheetml/2006/main">
  <numFmts count="24">
    <numFmt numFmtId="164" formatCode="General"/>
    <numFmt numFmtId="165" formatCode="#,##0_);\(#,##0\)"/>
    <numFmt numFmtId="166" formatCode="_(#,##0_)_%;\(#,##0\)_%;_(\–_)_%;_(@_)_%"/>
    <numFmt numFmtId="167" formatCode="\$#,##0.00_);[RED]&quot;($&quot;#,##0.00\)"/>
    <numFmt numFmtId="168" formatCode="m/d/yyyy"/>
    <numFmt numFmtId="169" formatCode="m/d/yy;@"/>
    <numFmt numFmtId="170" formatCode="#,##0.000_);\(#,##0.000\)"/>
    <numFmt numFmtId="171" formatCode="0\A;[RED]0\A"/>
    <numFmt numFmtId="172" formatCode="0\P_);\(0&quot;P)&quot;"/>
    <numFmt numFmtId="173" formatCode="0%"/>
    <numFmt numFmtId="174" formatCode="0.0%"/>
    <numFmt numFmtId="175" formatCode="#,##0.00"/>
    <numFmt numFmtId="176" formatCode="0.0%_);\(0.0%\);@_)"/>
    <numFmt numFmtId="177" formatCode="#,##0"/>
    <numFmt numFmtId="178" formatCode="_(#,##0.0%_);\(#,##0.0%\);_(\–_)_%;_(@_)_%"/>
    <numFmt numFmtId="179" formatCode="_(#,##0.00%_);\(#,##0.00%\);_(\–_)_%;_(@_)_%"/>
    <numFmt numFmtId="180" formatCode="0.00%"/>
    <numFmt numFmtId="181" formatCode="0.00%_);\(0.00%\);@_)"/>
    <numFmt numFmtId="182" formatCode="\$#,##0_);&quot;($&quot;#,##0\)"/>
    <numFmt numFmtId="183" formatCode="0.0%;\(0.0%\)"/>
    <numFmt numFmtId="184" formatCode="0.0%;&quot; (&quot;0.0%\)"/>
    <numFmt numFmtId="185" formatCode="#,##0_);\(#,##0\);@_)"/>
    <numFmt numFmtId="186" formatCode="0%_);\(0%\);@_)"/>
    <numFmt numFmtId="187" formatCode="\$#,##0.00_);&quot;($&quot;#,##0.00\)"/>
  </numFmts>
  <fonts count="2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i val="true"/>
      <sz val="9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1"/>
      <color rgb="FF0000FF"/>
      <name val="Aptos Narrow"/>
      <family val="2"/>
      <charset val="1"/>
    </font>
    <font>
      <i val="true"/>
      <sz val="11"/>
      <color theme="1"/>
      <name val="Aptos Narrow"/>
      <family val="2"/>
      <charset val="1"/>
    </font>
    <font>
      <i val="true"/>
      <sz val="11"/>
      <color rgb="FF0000FF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u val="single"/>
      <sz val="11"/>
      <color theme="1"/>
      <name val="Aptos Narrow"/>
      <family val="2"/>
      <charset val="1"/>
    </font>
    <font>
      <i val="true"/>
      <sz val="11"/>
      <color rgb="FF000000"/>
      <name val="Aptos Narrow"/>
      <family val="2"/>
      <charset val="1"/>
    </font>
    <font>
      <sz val="9"/>
      <color rgb="FF008000"/>
      <name val="Aptos Narrow"/>
      <family val="2"/>
      <charset val="1"/>
    </font>
    <font>
      <sz val="8"/>
      <color rgb="FFFF0000"/>
      <name val="Aptos Narrow"/>
      <family val="2"/>
      <charset val="1"/>
    </font>
    <font>
      <sz val="11"/>
      <color rgb="FF000000"/>
      <name val="Times New Roman"/>
      <family val="1"/>
      <charset val="1"/>
    </font>
    <font>
      <b val="true"/>
      <u val="single"/>
      <sz val="11"/>
      <color theme="1"/>
      <name val="Aptos Narrow"/>
      <family val="2"/>
      <charset val="1"/>
    </font>
    <font>
      <sz val="11"/>
      <name val="Aptos Narrow"/>
      <family val="2"/>
      <charset val="1"/>
    </font>
    <font>
      <b val="true"/>
      <sz val="9"/>
      <color theme="1"/>
      <name val="Aptos Narrow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CE5CD"/>
        <bgColor rgb="FFFFFFFF"/>
      </patternFill>
    </fill>
    <fill>
      <patternFill patternType="solid">
        <fgColor rgb="FFC9DAF8"/>
        <bgColor rgb="FFC0C0C0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3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2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8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6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7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8"/>
        </patternFill>
      </fill>
      <border diagonalUp="false" diagonalDown="false">
        <left/>
        <right/>
        <top style="thin">
          <color rgb="FF9C0006"/>
        </top>
        <bottom style="thin">
          <color rgb="FF9C0006"/>
        </bottom>
        <diagonal/>
      </border>
    </dxf>
    <dxf>
      <fill>
        <patternFill>
          <bgColor theme="8"/>
        </patternFill>
      </fill>
      <border diagonalUp="false" diagonalDown="false">
        <left/>
        <right/>
        <top style="thin">
          <color rgb="FF9C0006"/>
        </top>
        <bottom style="thin">
          <color rgb="FF9C0006"/>
        </bottom>
        <diagonal/>
      </border>
    </dxf>
    <dxf>
      <fill>
        <patternFill>
          <bgColor theme="8"/>
        </patternFill>
      </fill>
      <border diagonalUp="false" diagonalDown="false">
        <left/>
        <right/>
        <top style="thin">
          <color rgb="FF9C0006"/>
        </top>
        <bottom style="thin">
          <color rgb="FF9C0006"/>
        </bottom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02B93"/>
      <rgbColor rgb="FFFCE5CD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AA8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AA84"/>
    <pageSetUpPr fitToPage="false"/>
  </sheetPr>
  <dimension ref="B2:S2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5546875" defaultRowHeight="15" customHeight="false" zeroHeight="false" outlineLevelRow="0" outlineLevelCol="0"/>
  <cols>
    <col collapsed="false" customWidth="true" hidden="false" outlineLevel="0" max="1" min="1" style="0" width="1.42"/>
    <col collapsed="false" customWidth="true" hidden="false" outlineLevel="0" max="2" min="2" style="0" width="46.72"/>
    <col collapsed="false" customWidth="true" hidden="false" outlineLevel="0" max="3" min="3" style="0" width="13.28"/>
    <col collapsed="false" customWidth="true" hidden="false" outlineLevel="0" max="10" min="4" style="0" width="11.42"/>
    <col collapsed="false" customWidth="true" hidden="false" outlineLevel="0" max="11" min="11" style="0" width="1.72"/>
    <col collapsed="false" customWidth="true" hidden="false" outlineLevel="0" max="12" min="12" style="0" width="11.42"/>
    <col collapsed="false" customWidth="true" hidden="false" outlineLevel="0" max="13" min="13" style="0" width="11.86"/>
    <col collapsed="false" customWidth="true" hidden="false" outlineLevel="0" max="16" min="14" style="0" width="10.28"/>
    <col collapsed="false" customWidth="true" hidden="false" outlineLevel="0" max="18" min="17" style="0" width="9.42"/>
  </cols>
  <sheetData>
    <row r="2" customFormat="false" ht="15" hidden="false" customHeight="false" outlineLevel="0" collapsed="false">
      <c r="B2" s="1" t="str">
        <f aca="false">"Financial Statement Model for "&amp;C5</f>
        <v>Financial Statement Model for Amazon</v>
      </c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B3" s="3" t="s">
        <v>0</v>
      </c>
      <c r="C3" s="4"/>
      <c r="D3" s="4"/>
      <c r="E3" s="4"/>
      <c r="F3" s="4"/>
      <c r="G3" s="4"/>
    </row>
    <row r="5" customFormat="false" ht="15" hidden="false" customHeight="false" outlineLevel="0" collapsed="false">
      <c r="B5" s="5" t="s">
        <v>1</v>
      </c>
      <c r="C5" s="6" t="s">
        <v>2</v>
      </c>
    </row>
    <row r="6" customFormat="false" ht="15" hidden="false" customHeight="false" outlineLevel="0" collapsed="false">
      <c r="B6" s="5" t="s">
        <v>3</v>
      </c>
      <c r="C6" s="6" t="s">
        <v>4</v>
      </c>
      <c r="E6" s="7"/>
      <c r="F6" s="7"/>
      <c r="G6" s="7"/>
    </row>
    <row r="7" customFormat="false" ht="15" hidden="false" customHeight="false" outlineLevel="0" collapsed="false">
      <c r="B7" s="0" t="s">
        <v>5</v>
      </c>
      <c r="C7" s="8" t="n">
        <v>1</v>
      </c>
    </row>
    <row r="8" customFormat="false" ht="15" hidden="false" customHeight="false" outlineLevel="0" collapsed="false">
      <c r="B8" s="0" t="s">
        <v>6</v>
      </c>
      <c r="C8" s="9" t="n">
        <v>198.79</v>
      </c>
    </row>
    <row r="9" customFormat="false" ht="15" hidden="false" customHeight="false" outlineLevel="0" collapsed="false">
      <c r="B9" s="0" t="s">
        <v>7</v>
      </c>
      <c r="C9" s="10" t="n">
        <v>46066</v>
      </c>
    </row>
    <row r="10" customFormat="false" ht="15" hidden="false" customHeight="false" outlineLevel="0" collapsed="false">
      <c r="B10" s="5" t="s">
        <v>8</v>
      </c>
      <c r="C10" s="11" t="n">
        <v>46022</v>
      </c>
    </row>
    <row r="11" customFormat="false" ht="15" hidden="false" customHeight="true" outlineLevel="0" collapsed="false">
      <c r="B11" s="0" t="s">
        <v>9</v>
      </c>
      <c r="C11" s="12" t="n">
        <v>10734.92087</v>
      </c>
    </row>
    <row r="12" customFormat="false" ht="15" hidden="false" customHeight="false" outlineLevel="0" collapsed="false">
      <c r="B12" s="0" t="s">
        <v>10</v>
      </c>
      <c r="C12" s="8" t="s">
        <v>11</v>
      </c>
    </row>
    <row r="13" customFormat="false" ht="15" hidden="false" customHeight="false" outlineLevel="0" collapsed="false">
      <c r="B13" s="13"/>
      <c r="C13" s="13"/>
    </row>
    <row r="14" customFormat="false" ht="15" hidden="false" customHeight="false" outlineLevel="0" collapsed="false">
      <c r="B14" s="14" t="s">
        <v>12</v>
      </c>
      <c r="C14" s="15"/>
      <c r="D14" s="15"/>
      <c r="E14" s="15"/>
      <c r="F14" s="15"/>
      <c r="G14" s="15"/>
      <c r="H14" s="15"/>
      <c r="I14" s="15"/>
      <c r="J14" s="15"/>
    </row>
    <row r="15" customFormat="false" ht="15" hidden="false" customHeight="false" outlineLevel="0" collapsed="false">
      <c r="B15" s="0" t="s">
        <v>13</v>
      </c>
      <c r="C15" s="16" t="n">
        <f aca="false">D15-1</f>
        <v>2023</v>
      </c>
      <c r="D15" s="16" t="n">
        <f aca="false">E15-1</f>
        <v>2024</v>
      </c>
      <c r="E15" s="16" t="n">
        <f aca="false">YEAR(C10)</f>
        <v>2025</v>
      </c>
      <c r="F15" s="17" t="n">
        <f aca="false">E15+1</f>
        <v>2026</v>
      </c>
      <c r="G15" s="17" t="n">
        <f aca="false">F15+1</f>
        <v>2027</v>
      </c>
      <c r="H15" s="17" t="n">
        <f aca="false">G15+1</f>
        <v>2028</v>
      </c>
      <c r="I15" s="17" t="n">
        <f aca="false">H15+1</f>
        <v>2029</v>
      </c>
      <c r="J15" s="17" t="n">
        <f aca="false">I15+1</f>
        <v>2030</v>
      </c>
    </row>
    <row r="16" customFormat="false" ht="15" hidden="false" customHeight="false" outlineLevel="0" collapsed="false">
      <c r="B16" s="18" t="s">
        <v>14</v>
      </c>
      <c r="C16" s="19" t="n">
        <f aca="false">EOMONTH(D16,-12)</f>
        <v>45291</v>
      </c>
      <c r="D16" s="19" t="n">
        <f aca="false">EOMONTH(E16,-12)</f>
        <v>45657</v>
      </c>
      <c r="E16" s="19" t="n">
        <f aca="false">C10</f>
        <v>46022</v>
      </c>
      <c r="F16" s="19" t="n">
        <f aca="false">EOMONTH(E16,12)</f>
        <v>46387</v>
      </c>
      <c r="G16" s="19" t="n">
        <f aca="false">EOMONTH(F16,12)</f>
        <v>46752</v>
      </c>
      <c r="H16" s="19" t="n">
        <f aca="false">EOMONTH(G16,12)</f>
        <v>47118</v>
      </c>
      <c r="I16" s="19" t="n">
        <f aca="false">EOMONTH(H16,12)</f>
        <v>47483</v>
      </c>
      <c r="J16" s="19" t="n">
        <f aca="false">EOMONTH(I16,12)</f>
        <v>47848</v>
      </c>
    </row>
    <row r="17" customFormat="false" ht="15" hidden="false" customHeight="false" outlineLevel="0" collapsed="false">
      <c r="B17" s="20"/>
      <c r="C17" s="21"/>
      <c r="D17" s="22"/>
      <c r="E17" s="22"/>
      <c r="F17" s="23"/>
      <c r="G17" s="24"/>
      <c r="H17" s="24"/>
      <c r="I17" s="22"/>
      <c r="J17" s="22"/>
    </row>
    <row r="18" customFormat="false" ht="15" hidden="false" customHeight="true" outlineLevel="0" collapsed="false">
      <c r="B18" s="0" t="s">
        <v>15</v>
      </c>
      <c r="C18" s="7" t="n">
        <f aca="false">255887+318898</f>
        <v>574785</v>
      </c>
      <c r="D18" s="7" t="n">
        <f aca="false">272311+365648</f>
        <v>637959</v>
      </c>
      <c r="E18" s="7" t="n">
        <f aca="false">296266+420658</f>
        <v>716924</v>
      </c>
      <c r="F18" s="25" t="n">
        <f aca="false">E18*(1+F39)</f>
        <v>805056.42799816</v>
      </c>
      <c r="G18" s="25" t="n">
        <f aca="false">F18*(1+G39)</f>
        <v>895555.179884767</v>
      </c>
      <c r="H18" s="25" t="n">
        <f aca="false">G18*(1+H39)</f>
        <v>1009191.81843827</v>
      </c>
      <c r="I18" s="25" t="n">
        <f aca="false">H18*(1+I39)</f>
        <v>1137247.76460318</v>
      </c>
      <c r="J18" s="25" t="n">
        <f aca="false">I18*(1+J39)</f>
        <v>1281552.67855457</v>
      </c>
    </row>
    <row r="19" customFormat="false" ht="15" hidden="false" customHeight="false" outlineLevel="0" collapsed="false">
      <c r="B19" s="0" t="s">
        <v>16</v>
      </c>
      <c r="C19" s="7" t="n">
        <f aca="false">-304739-90619</f>
        <v>-395358</v>
      </c>
      <c r="D19" s="7" t="n">
        <f aca="false">-326288-98505</f>
        <v>-424793</v>
      </c>
      <c r="E19" s="7" t="n">
        <f aca="false">-356414-109074</f>
        <v>-465488</v>
      </c>
      <c r="F19" s="25" t="n">
        <f aca="false">F20-F18</f>
        <v>-522481.621770806</v>
      </c>
      <c r="G19" s="25" t="n">
        <f aca="false">G20-G18</f>
        <v>-573155.315126251</v>
      </c>
      <c r="H19" s="25" t="n">
        <f aca="false">H20-H18</f>
        <v>-635790.845616112</v>
      </c>
      <c r="I19" s="25" t="n">
        <f aca="false">I20-I18</f>
        <v>-716466.091700002</v>
      </c>
      <c r="J19" s="25" t="n">
        <f aca="false">J20-J18</f>
        <v>-807378.187489379</v>
      </c>
    </row>
    <row r="20" customFormat="false" ht="15" hidden="false" customHeight="false" outlineLevel="0" collapsed="false">
      <c r="B20" s="13" t="s">
        <v>17</v>
      </c>
      <c r="C20" s="26" t="n">
        <f aca="false">SUM(C18:C19)</f>
        <v>179427</v>
      </c>
      <c r="D20" s="26" t="n">
        <f aca="false">SUM(D18:D19)</f>
        <v>213166</v>
      </c>
      <c r="E20" s="26" t="n">
        <f aca="false">SUM(E18:E19)</f>
        <v>251436</v>
      </c>
      <c r="F20" s="26" t="n">
        <f aca="false">F18*F40</f>
        <v>282574.806227354</v>
      </c>
      <c r="G20" s="26" t="n">
        <f aca="false">G18*G40</f>
        <v>322399.864758516</v>
      </c>
      <c r="H20" s="26" t="n">
        <f aca="false">H18*H40</f>
        <v>373400.972822161</v>
      </c>
      <c r="I20" s="26" t="n">
        <f aca="false">I18*I40</f>
        <v>420781.672903176</v>
      </c>
      <c r="J20" s="26" t="n">
        <f aca="false">J18*J40</f>
        <v>474174.491065191</v>
      </c>
    </row>
    <row r="21" customFormat="false" ht="15" hidden="false" customHeight="false" outlineLevel="0" collapsed="false">
      <c r="B21" s="0" t="s">
        <v>18</v>
      </c>
      <c r="C21" s="7" t="n">
        <f aca="false">-44370-11816</f>
        <v>-56186</v>
      </c>
      <c r="D21" s="7" t="n">
        <f aca="false">-43907-11359</f>
        <v>-55266</v>
      </c>
      <c r="E21" s="7" t="n">
        <f aca="false">-47129-11172</f>
        <v>-58301</v>
      </c>
      <c r="F21" s="25" t="n">
        <f aca="false">-F18*F42</f>
        <v>-61140.9998479678</v>
      </c>
      <c r="G21" s="25" t="n">
        <f aca="false">-G18*G42</f>
        <v>-66852.9999913979</v>
      </c>
      <c r="H21" s="25" t="n">
        <f aca="false">-H18*H42</f>
        <v>-66852.9998965448</v>
      </c>
      <c r="I21" s="25" t="n">
        <f aca="false">-I18*I42</f>
        <v>-75335.9503122175</v>
      </c>
      <c r="J21" s="25" t="n">
        <f aca="false">-J18*J42</f>
        <v>-84895.2989129546</v>
      </c>
    </row>
    <row r="22" customFormat="false" ht="15" hidden="false" customHeight="false" outlineLevel="0" collapsed="false">
      <c r="B22" s="0" t="s">
        <v>19</v>
      </c>
      <c r="C22" s="7" t="n">
        <v>-85622</v>
      </c>
      <c r="D22" s="7" t="n">
        <v>-88544</v>
      </c>
      <c r="E22" s="7" t="n">
        <v>-108521</v>
      </c>
      <c r="F22" s="25" t="n">
        <f aca="false">F18*F41*-1</f>
        <v>-120758.464199724</v>
      </c>
      <c r="G22" s="25" t="n">
        <f aca="false">G18*G41*-1</f>
        <v>-138811.052882139</v>
      </c>
      <c r="H22" s="25" t="n">
        <f aca="false">H18*H41*-1</f>
        <v>-158443.115494809</v>
      </c>
      <c r="I22" s="25" t="n">
        <f aca="false">I18*I41*-1</f>
        <v>-178547.899042699</v>
      </c>
      <c r="J22" s="25" t="n">
        <f aca="false">J18*J41*-1</f>
        <v>-201203.770533067</v>
      </c>
    </row>
    <row r="23" customFormat="false" ht="15" hidden="false" customHeight="false" outlineLevel="0" collapsed="false">
      <c r="B23" s="0" t="s">
        <v>20</v>
      </c>
      <c r="C23" s="7" t="n">
        <v>-767</v>
      </c>
      <c r="D23" s="7" t="n">
        <v>-763</v>
      </c>
      <c r="E23" s="7" t="n">
        <v>-4639</v>
      </c>
      <c r="F23" s="27" t="n">
        <f aca="false">$D$23</f>
        <v>-763</v>
      </c>
      <c r="G23" s="27" t="n">
        <f aca="false">$D$23</f>
        <v>-763</v>
      </c>
      <c r="H23" s="27" t="n">
        <f aca="false">$D$23</f>
        <v>-763</v>
      </c>
      <c r="I23" s="27" t="n">
        <f aca="false">$D$23</f>
        <v>-763</v>
      </c>
      <c r="J23" s="27" t="n">
        <f aca="false">$D$23</f>
        <v>-763</v>
      </c>
    </row>
    <row r="24" customFormat="false" ht="15" hidden="false" customHeight="false" outlineLevel="0" collapsed="false">
      <c r="B24" s="13" t="s">
        <v>21</v>
      </c>
      <c r="C24" s="26" t="n">
        <f aca="false">SUM(C20:C23)</f>
        <v>36852</v>
      </c>
      <c r="D24" s="26" t="n">
        <f aca="false">SUM(D20:D23)</f>
        <v>68593</v>
      </c>
      <c r="E24" s="26" t="n">
        <f aca="false">SUM(E20:E23)</f>
        <v>79975</v>
      </c>
      <c r="F24" s="26" t="n">
        <f aca="false">SUM(F20:F23)</f>
        <v>99912.3421796624</v>
      </c>
      <c r="G24" s="26" t="n">
        <f aca="false">SUM(G20:G23)</f>
        <v>115972.811884979</v>
      </c>
      <c r="H24" s="26" t="n">
        <f aca="false">SUM(H20:H23)</f>
        <v>147341.857430807</v>
      </c>
      <c r="I24" s="26" t="n">
        <f aca="false">SUM(I20:I23)</f>
        <v>166134.82354826</v>
      </c>
      <c r="J24" s="26" t="n">
        <f aca="false">SUM(J20:J23)</f>
        <v>187312.421619169</v>
      </c>
      <c r="L24" s="13"/>
    </row>
    <row r="25" customFormat="false" ht="15" hidden="false" customHeight="false" outlineLevel="0" collapsed="false">
      <c r="B25" s="0" t="s">
        <v>22</v>
      </c>
      <c r="C25" s="7" t="n">
        <v>2949</v>
      </c>
      <c r="D25" s="7" t="n">
        <v>4677</v>
      </c>
      <c r="E25" s="7" t="n">
        <v>4381</v>
      </c>
      <c r="F25" s="27" t="n">
        <f aca="false">F138</f>
        <v>3512.49783503308</v>
      </c>
      <c r="G25" s="27" t="n">
        <f aca="false">G138</f>
        <v>3399.51683235778</v>
      </c>
      <c r="H25" s="27" t="n">
        <f aca="false">H138</f>
        <v>3823.67804582984</v>
      </c>
      <c r="I25" s="27" t="n">
        <f aca="false">I138</f>
        <v>4665.83625014621</v>
      </c>
      <c r="J25" s="27" t="n">
        <f aca="false">J138</f>
        <v>5755.96612632746</v>
      </c>
    </row>
    <row r="26" customFormat="false" ht="15" hidden="false" customHeight="false" outlineLevel="0" collapsed="false">
      <c r="B26" s="0" t="s">
        <v>23</v>
      </c>
      <c r="C26" s="7" t="n">
        <v>-3182</v>
      </c>
      <c r="D26" s="7" t="n">
        <v>-2406</v>
      </c>
      <c r="E26" s="7" t="n">
        <v>-2274</v>
      </c>
      <c r="F26" s="27" t="n">
        <f aca="false">F134</f>
        <v>-2524.43205857734</v>
      </c>
      <c r="G26" s="27" t="n">
        <f aca="false">G134</f>
        <v>-2524.43205857734</v>
      </c>
      <c r="H26" s="27" t="n">
        <f aca="false">H134</f>
        <v>-2524.43205857734</v>
      </c>
      <c r="I26" s="27" t="n">
        <f aca="false">I134</f>
        <v>-2524.43205857734</v>
      </c>
      <c r="J26" s="27" t="n">
        <f aca="false">J134</f>
        <v>-2524.43205857734</v>
      </c>
    </row>
    <row r="27" customFormat="false" ht="15" hidden="false" customHeight="false" outlineLevel="0" collapsed="false">
      <c r="B27" s="0" t="s">
        <v>24</v>
      </c>
      <c r="C27" s="7" t="n">
        <v>938</v>
      </c>
      <c r="D27" s="7" t="n">
        <v>-2250</v>
      </c>
      <c r="E27" s="7" t="n">
        <v>15229</v>
      </c>
      <c r="F27" s="27" t="n">
        <f aca="false">E27</f>
        <v>15229</v>
      </c>
      <c r="G27" s="27" t="n">
        <f aca="false">F27</f>
        <v>15229</v>
      </c>
      <c r="H27" s="27" t="n">
        <f aca="false">G27</f>
        <v>15229</v>
      </c>
      <c r="I27" s="27" t="n">
        <f aca="false">H27</f>
        <v>15229</v>
      </c>
      <c r="J27" s="27" t="n">
        <f aca="false">I27</f>
        <v>15229</v>
      </c>
    </row>
    <row r="28" customFormat="false" ht="15" hidden="false" customHeight="false" outlineLevel="0" collapsed="false">
      <c r="B28" s="13" t="s">
        <v>25</v>
      </c>
      <c r="C28" s="26" t="n">
        <f aca="false">SUM(C24:C27)</f>
        <v>37557</v>
      </c>
      <c r="D28" s="26" t="n">
        <f aca="false">SUM(D24:D27)</f>
        <v>68614</v>
      </c>
      <c r="E28" s="26" t="n">
        <f aca="false">SUM(E24:E27)</f>
        <v>97311</v>
      </c>
      <c r="F28" s="26" t="n">
        <f aca="false">SUM(F24:F27)</f>
        <v>116129.407956118</v>
      </c>
      <c r="G28" s="26" t="n">
        <f aca="false">SUM(G24:G27)</f>
        <v>132076.89665876</v>
      </c>
      <c r="H28" s="26" t="n">
        <f aca="false">SUM(H24:H27)</f>
        <v>163870.10341806</v>
      </c>
      <c r="I28" s="26" t="n">
        <f aca="false">SUM(I24:I27)</f>
        <v>183505.227739828</v>
      </c>
      <c r="J28" s="26" t="n">
        <f aca="false">SUM(J24:J27)</f>
        <v>205772.955686919</v>
      </c>
      <c r="L28" s="13"/>
      <c r="M28" s="13"/>
    </row>
    <row r="29" customFormat="false" ht="15" hidden="false" customHeight="false" outlineLevel="0" collapsed="false">
      <c r="B29" s="0" t="s">
        <v>26</v>
      </c>
      <c r="C29" s="7" t="n">
        <v>-7120</v>
      </c>
      <c r="D29" s="7" t="n">
        <v>-9265</v>
      </c>
      <c r="E29" s="7" t="n">
        <v>-19087</v>
      </c>
      <c r="F29" s="25" t="n">
        <f aca="false">-F43*F28</f>
        <v>-21530.3922350643</v>
      </c>
      <c r="G29" s="25" t="n">
        <f aca="false">-G43*G28</f>
        <v>-24764.4181235175</v>
      </c>
      <c r="H29" s="25" t="n">
        <f aca="false">-H43*H28</f>
        <v>-30479.8392357591</v>
      </c>
      <c r="I29" s="25" t="n">
        <f aca="false">-I43*I28</f>
        <v>-34131.9723596081</v>
      </c>
      <c r="J29" s="25" t="n">
        <f aca="false">-J43*J28</f>
        <v>-38273.7697577669</v>
      </c>
    </row>
    <row r="30" customFormat="false" ht="15" hidden="false" customHeight="false" outlineLevel="0" collapsed="false">
      <c r="B30" s="0" t="s">
        <v>27</v>
      </c>
      <c r="C30" s="7" t="n">
        <v>-12</v>
      </c>
      <c r="D30" s="7" t="n">
        <v>-101</v>
      </c>
      <c r="E30" s="7" t="n">
        <v>-554</v>
      </c>
      <c r="F30" s="25"/>
      <c r="G30" s="25"/>
      <c r="H30" s="25"/>
      <c r="I30" s="25"/>
      <c r="J30" s="25"/>
    </row>
    <row r="31" customFormat="false" ht="15" hidden="false" customHeight="false" outlineLevel="0" collapsed="false">
      <c r="B31" s="13" t="s">
        <v>28</v>
      </c>
      <c r="C31" s="26" t="n">
        <f aca="false">SUM(C28:C30)</f>
        <v>30425</v>
      </c>
      <c r="D31" s="26" t="n">
        <f aca="false">SUM(D28:D30)</f>
        <v>59248</v>
      </c>
      <c r="E31" s="26" t="n">
        <f aca="false">SUM(E28:E30)</f>
        <v>77670</v>
      </c>
      <c r="F31" s="26" t="n">
        <f aca="false">SUM(F28:F30)</f>
        <v>94599.0157210538</v>
      </c>
      <c r="G31" s="26" t="n">
        <f aca="false">SUM(G28:G30)</f>
        <v>107312.478535242</v>
      </c>
      <c r="H31" s="26" t="n">
        <f aca="false">SUM(H28:H30)</f>
        <v>133390.264182301</v>
      </c>
      <c r="I31" s="26" t="n">
        <f aca="false">SUM(I28:I30)</f>
        <v>149373.25538022</v>
      </c>
      <c r="J31" s="26" t="n">
        <f aca="false">SUM(J28:J30)</f>
        <v>167499.185929152</v>
      </c>
      <c r="L31" s="13"/>
    </row>
    <row r="32" customFormat="false" ht="15" hidden="false" customHeight="false" outlineLevel="0" collapsed="false">
      <c r="B32" s="28"/>
      <c r="C32" s="27"/>
      <c r="D32" s="27"/>
      <c r="E32" s="27"/>
      <c r="F32" s="27"/>
      <c r="G32" s="27"/>
      <c r="H32" s="27"/>
      <c r="I32" s="27"/>
      <c r="J32" s="27"/>
    </row>
    <row r="33" customFormat="false" ht="15" hidden="false" customHeight="false" outlineLevel="0" collapsed="false">
      <c r="B33" s="29" t="s">
        <v>29</v>
      </c>
      <c r="C33" s="7" t="n">
        <v>48663</v>
      </c>
      <c r="D33" s="7" t="n">
        <v>52795</v>
      </c>
      <c r="E33" s="7" t="n">
        <v>65756</v>
      </c>
      <c r="F33" s="27" t="n">
        <f aca="false">F109</f>
        <v>86990.2580172689</v>
      </c>
      <c r="G33" s="27" t="n">
        <f aca="false">G109</f>
        <v>94008.7770834064</v>
      </c>
      <c r="H33" s="27" t="n">
        <f aca="false">H109</f>
        <v>107411.247389416</v>
      </c>
      <c r="I33" s="27" t="n">
        <f aca="false">I109</f>
        <v>125444.265290766</v>
      </c>
      <c r="J33" s="27" t="n">
        <f aca="false">J109</f>
        <v>146324.262713652</v>
      </c>
    </row>
    <row r="34" customFormat="false" ht="15" hidden="false" customHeight="false" outlineLevel="0" collapsed="false">
      <c r="B34" s="30" t="s">
        <v>30</v>
      </c>
      <c r="C34" s="26" t="n">
        <f aca="false">C24+C33</f>
        <v>85515</v>
      </c>
      <c r="D34" s="26" t="n">
        <f aca="false">D24+D33</f>
        <v>121388</v>
      </c>
      <c r="E34" s="26" t="n">
        <f aca="false">E24+E33</f>
        <v>145731</v>
      </c>
      <c r="F34" s="26" t="n">
        <f aca="false">F24+F33</f>
        <v>186902.600196931</v>
      </c>
      <c r="G34" s="26" t="n">
        <f aca="false">G24+G33</f>
        <v>209981.588968386</v>
      </c>
      <c r="H34" s="26" t="n">
        <f aca="false">H24+H33</f>
        <v>254753.104820223</v>
      </c>
      <c r="I34" s="26" t="n">
        <f aca="false">I24+I33</f>
        <v>291579.088839025</v>
      </c>
      <c r="J34" s="26" t="n">
        <f aca="false">J24+J33</f>
        <v>333636.68433282</v>
      </c>
      <c r="L34" s="13"/>
    </row>
    <row r="35" customFormat="false" ht="15" hidden="false" customHeight="false" outlineLevel="0" collapsed="false">
      <c r="B35" s="29" t="s">
        <v>31</v>
      </c>
      <c r="C35" s="7" t="n">
        <v>24023</v>
      </c>
      <c r="D35" s="7" t="n">
        <v>22011</v>
      </c>
      <c r="E35" s="7" t="n">
        <v>19467</v>
      </c>
      <c r="F35" s="27" t="n">
        <f aca="false">E35*(1+F39)</f>
        <v>21860.10439578</v>
      </c>
      <c r="G35" s="27" t="n">
        <f aca="false">F35*(1+G39)</f>
        <v>24317.4627810155</v>
      </c>
      <c r="H35" s="27" t="n">
        <f aca="false">G35*(1+H39)</f>
        <v>27403.0959063135</v>
      </c>
      <c r="I35" s="27" t="n">
        <f aca="false">H35*(1+I39)</f>
        <v>30880.2637846272</v>
      </c>
      <c r="J35" s="27" t="n">
        <f aca="false">I35*(1+J39)</f>
        <v>34798.648104153</v>
      </c>
    </row>
    <row r="36" customFormat="false" ht="15" hidden="false" customHeight="false" outlineLevel="0" collapsed="false">
      <c r="B36" s="30" t="s">
        <v>32</v>
      </c>
      <c r="C36" s="26" t="n">
        <f aca="false">SUM(C34:C35)</f>
        <v>109538</v>
      </c>
      <c r="D36" s="26" t="n">
        <f aca="false">SUM(D34:D35)</f>
        <v>143399</v>
      </c>
      <c r="E36" s="26" t="n">
        <f aca="false">SUM(E34:E35)</f>
        <v>165198</v>
      </c>
      <c r="F36" s="26" t="n">
        <f aca="false">SUM(F34:F35)</f>
        <v>208762.704592711</v>
      </c>
      <c r="G36" s="26" t="n">
        <f aca="false">SUM(G34:G35)</f>
        <v>234299.051749401</v>
      </c>
      <c r="H36" s="26" t="n">
        <f aca="false">SUM(H34:H35)</f>
        <v>282156.200726537</v>
      </c>
      <c r="I36" s="26" t="n">
        <f aca="false">SUM(I34:I35)</f>
        <v>322459.352623652</v>
      </c>
      <c r="J36" s="26" t="n">
        <f aca="false">SUM(J34:J35)</f>
        <v>368435.332436973</v>
      </c>
      <c r="L36" s="13"/>
    </row>
    <row r="37" customFormat="false" ht="15" hidden="false" customHeight="false" outlineLevel="0" collapsed="false">
      <c r="B37" s="28"/>
      <c r="F37" s="31"/>
    </row>
    <row r="38" customFormat="false" ht="15" hidden="false" customHeight="false" outlineLevel="0" collapsed="false">
      <c r="B38" s="32" t="s">
        <v>33</v>
      </c>
    </row>
    <row r="39" customFormat="false" ht="15" hidden="false" customHeight="false" outlineLevel="0" collapsed="false">
      <c r="B39" s="28" t="s">
        <v>34</v>
      </c>
      <c r="C39" s="33"/>
      <c r="D39" s="33" t="n">
        <f aca="false">D18/C18-1</f>
        <v>0.109908922466661</v>
      </c>
      <c r="E39" s="33" t="n">
        <f aca="false">E18/D18-1</f>
        <v>0.123777546832947</v>
      </c>
      <c r="F39" s="33" t="n">
        <f aca="false">F156</f>
        <v>0.12293134</v>
      </c>
      <c r="G39" s="33" t="n">
        <f aca="false">G156</f>
        <v>0.11241293</v>
      </c>
      <c r="H39" s="33" t="n">
        <f aca="false">H156</f>
        <v>0.1268896</v>
      </c>
      <c r="I39" s="33" t="n">
        <f aca="false">I156</f>
        <v>0.1268896</v>
      </c>
      <c r="J39" s="33" t="n">
        <f aca="false">J156</f>
        <v>0.1268896</v>
      </c>
      <c r="N39" s="34"/>
      <c r="O39" s="34"/>
      <c r="P39" s="34"/>
      <c r="Q39" s="34"/>
      <c r="R39" s="34"/>
      <c r="S39" s="34"/>
    </row>
    <row r="40" customFormat="false" ht="15" hidden="false" customHeight="false" outlineLevel="0" collapsed="false">
      <c r="B40" s="28" t="s">
        <v>35</v>
      </c>
      <c r="C40" s="33" t="n">
        <f aca="false">C20/C18</f>
        <v>0.312163678592865</v>
      </c>
      <c r="D40" s="33" t="n">
        <f aca="false">D20/D18</f>
        <v>0.33413746024431</v>
      </c>
      <c r="E40" s="33" t="n">
        <f aca="false">E20/E18</f>
        <v>0.3507149990794</v>
      </c>
      <c r="F40" s="33" t="n">
        <f aca="false">F157</f>
        <v>0.351</v>
      </c>
      <c r="G40" s="33" t="n">
        <f aca="false">G157</f>
        <v>0.36</v>
      </c>
      <c r="H40" s="33" t="n">
        <f aca="false">H157</f>
        <v>0.37</v>
      </c>
      <c r="I40" s="33" t="n">
        <f aca="false">I157</f>
        <v>0.37</v>
      </c>
      <c r="J40" s="33" t="n">
        <f aca="false">J157</f>
        <v>0.37</v>
      </c>
      <c r="N40" s="34"/>
      <c r="O40" s="34"/>
      <c r="P40" s="34"/>
      <c r="Q40" s="34"/>
      <c r="R40" s="34"/>
      <c r="S40" s="34"/>
    </row>
    <row r="41" customFormat="false" ht="15" hidden="false" customHeight="false" outlineLevel="0" collapsed="false">
      <c r="B41" s="28" t="s">
        <v>36</v>
      </c>
      <c r="C41" s="33" t="n">
        <f aca="false">C22/C18*-1</f>
        <v>0.148963525492141</v>
      </c>
      <c r="D41" s="33" t="n">
        <f aca="false">D22/D18*-1</f>
        <v>0.138792618334407</v>
      </c>
      <c r="E41" s="33" t="n">
        <f aca="false">E22/E18*-1</f>
        <v>0.151370298664852</v>
      </c>
      <c r="F41" s="33" t="n">
        <f aca="false">F171</f>
        <v>0.15</v>
      </c>
      <c r="G41" s="33" t="n">
        <f aca="false">G171</f>
        <v>0.155</v>
      </c>
      <c r="H41" s="33" t="n">
        <f aca="false">H171</f>
        <v>0.157</v>
      </c>
      <c r="I41" s="33" t="n">
        <f aca="false">I171</f>
        <v>0.157</v>
      </c>
      <c r="J41" s="33" t="n">
        <f aca="false">J171</f>
        <v>0.157</v>
      </c>
      <c r="N41" s="34"/>
      <c r="O41" s="34"/>
      <c r="P41" s="34"/>
      <c r="Q41" s="34"/>
      <c r="R41" s="34"/>
      <c r="S41" s="34"/>
    </row>
    <row r="42" customFormat="false" ht="15" hidden="false" customHeight="false" outlineLevel="0" collapsed="false">
      <c r="B42" s="35" t="s">
        <v>37</v>
      </c>
      <c r="C42" s="33" t="n">
        <f aca="false">C21/C18*-1</f>
        <v>0.0977513331071618</v>
      </c>
      <c r="D42" s="33" t="n">
        <f aca="false">D21/D18*-1</f>
        <v>0.0866293915439707</v>
      </c>
      <c r="E42" s="33" t="n">
        <f aca="false">E21/E18*-1</f>
        <v>0.0813210326338636</v>
      </c>
      <c r="F42" s="33" t="n">
        <f aca="false">F159</f>
        <v>0.0759462290115489</v>
      </c>
      <c r="G42" s="33" t="n">
        <f aca="false">G159</f>
        <v>0.07464978316579</v>
      </c>
      <c r="H42" s="33" t="n">
        <f aca="false">H159</f>
        <v>0.0662440961917428</v>
      </c>
      <c r="I42" s="33" t="n">
        <f aca="false">I159</f>
        <v>0.0662440961917428</v>
      </c>
      <c r="J42" s="33" t="n">
        <f aca="false">J159</f>
        <v>0.0662440961917428</v>
      </c>
      <c r="N42" s="34"/>
      <c r="O42" s="34"/>
      <c r="P42" s="34"/>
      <c r="Q42" s="34"/>
      <c r="R42" s="34"/>
      <c r="S42" s="34"/>
    </row>
    <row r="43" customFormat="false" ht="15" hidden="false" customHeight="false" outlineLevel="0" collapsed="false">
      <c r="B43" s="28" t="s">
        <v>38</v>
      </c>
      <c r="C43" s="33" t="n">
        <f aca="false">-C29/C28</f>
        <v>0.189578507335517</v>
      </c>
      <c r="D43" s="33" t="n">
        <f aca="false">-D29/D28</f>
        <v>0.135030751741627</v>
      </c>
      <c r="E43" s="33" t="n">
        <f aca="false">-E29/E28</f>
        <v>0.196144320785934</v>
      </c>
      <c r="F43" s="34" t="n">
        <v>0.1854</v>
      </c>
      <c r="G43" s="34" t="n">
        <v>0.1875</v>
      </c>
      <c r="H43" s="34" t="n">
        <v>0.186</v>
      </c>
      <c r="I43" s="33" t="n">
        <f aca="false">H43</f>
        <v>0.186</v>
      </c>
      <c r="J43" s="33" t="n">
        <f aca="false">I43</f>
        <v>0.186</v>
      </c>
      <c r="N43" s="34"/>
      <c r="O43" s="34"/>
      <c r="P43" s="34"/>
      <c r="Q43" s="34"/>
      <c r="R43" s="34"/>
      <c r="S43" s="34"/>
    </row>
    <row r="44" customFormat="false" ht="15" hidden="false" customHeight="false" outlineLevel="0" collapsed="false">
      <c r="B44" s="28"/>
      <c r="F44" s="31"/>
    </row>
    <row r="45" customFormat="false" ht="15" hidden="false" customHeight="false" outlineLevel="0" collapsed="false">
      <c r="B45" s="14" t="s">
        <v>39</v>
      </c>
      <c r="C45" s="19"/>
      <c r="D45" s="19"/>
      <c r="E45" s="19"/>
      <c r="F45" s="15"/>
      <c r="G45" s="15"/>
      <c r="H45" s="15"/>
      <c r="I45" s="15"/>
      <c r="J45" s="15"/>
    </row>
    <row r="46" customFormat="false" ht="15" hidden="false" customHeight="false" outlineLevel="0" collapsed="false">
      <c r="B46" s="36" t="str">
        <f aca="false">B15</f>
        <v>Fiscal year  </v>
      </c>
      <c r="C46" s="37"/>
      <c r="D46" s="37" t="n">
        <f aca="false">D15</f>
        <v>2024</v>
      </c>
      <c r="E46" s="37" t="n">
        <f aca="false">E15</f>
        <v>2025</v>
      </c>
      <c r="F46" s="38" t="n">
        <f aca="false">F15</f>
        <v>2026</v>
      </c>
      <c r="G46" s="38" t="n">
        <f aca="false">G15</f>
        <v>2027</v>
      </c>
      <c r="H46" s="38" t="n">
        <f aca="false">H15</f>
        <v>2028</v>
      </c>
      <c r="I46" s="38" t="n">
        <f aca="false">I15</f>
        <v>2029</v>
      </c>
      <c r="J46" s="38" t="n">
        <f aca="false">J15</f>
        <v>2030</v>
      </c>
    </row>
    <row r="47" customFormat="false" ht="15" hidden="false" customHeight="false" outlineLevel="0" collapsed="false">
      <c r="B47" s="15" t="str">
        <f aca="false">B16</f>
        <v>Fiscal year end date</v>
      </c>
      <c r="C47" s="39"/>
      <c r="D47" s="39" t="n">
        <f aca="false">D16</f>
        <v>45657</v>
      </c>
      <c r="E47" s="39" t="n">
        <f aca="false">E16</f>
        <v>46022</v>
      </c>
      <c r="F47" s="39" t="n">
        <f aca="false">F16</f>
        <v>46387</v>
      </c>
      <c r="G47" s="39" t="n">
        <f aca="false">G16</f>
        <v>46752</v>
      </c>
      <c r="H47" s="39" t="n">
        <f aca="false">H16</f>
        <v>47118</v>
      </c>
      <c r="I47" s="39" t="n">
        <f aca="false">I16</f>
        <v>47483</v>
      </c>
      <c r="J47" s="39" t="n">
        <f aca="false">J16</f>
        <v>47848</v>
      </c>
    </row>
    <row r="48" customFormat="false" ht="15" hidden="false" customHeight="false" outlineLevel="0" collapsed="false">
      <c r="B48" s="0" t="s">
        <v>40</v>
      </c>
      <c r="C48" s="7"/>
      <c r="D48" s="7" t="n">
        <f aca="false">78779+22423</f>
        <v>101202</v>
      </c>
      <c r="E48" s="7" t="n">
        <f aca="false">86810+36219</f>
        <v>123029</v>
      </c>
      <c r="F48" s="27" t="n">
        <f aca="false">F93+E48</f>
        <v>111137.522335539</v>
      </c>
      <c r="G48" s="27" t="n">
        <f aca="false">G93+F48</f>
        <v>115496.933154979</v>
      </c>
      <c r="H48" s="27" t="n">
        <f aca="false">H93+G48</f>
        <v>139414.93656701</v>
      </c>
      <c r="I48" s="27" t="n">
        <f aca="false">I93+H48</f>
        <v>171640.813442737</v>
      </c>
      <c r="J48" s="27" t="n">
        <f aca="false">J93+I48</f>
        <v>212090.26164576</v>
      </c>
    </row>
    <row r="49" customFormat="false" ht="15" hidden="false" customHeight="false" outlineLevel="0" collapsed="false">
      <c r="B49" s="0" t="s">
        <v>41</v>
      </c>
      <c r="C49" s="7"/>
      <c r="D49" s="7" t="n">
        <v>55451</v>
      </c>
      <c r="E49" s="7" t="n">
        <v>67729</v>
      </c>
      <c r="F49" s="27" t="n">
        <f aca="false">E49*(1+F39)</f>
        <v>76055.01672686</v>
      </c>
      <c r="G49" s="27" t="n">
        <f aca="false">F49*(1+G39)</f>
        <v>84604.5839983254</v>
      </c>
      <c r="H49" s="27" t="n">
        <f aca="false">G49*(1+H39)</f>
        <v>95340.0258200393</v>
      </c>
      <c r="I49" s="27" t="n">
        <f aca="false">H49*(1+I39)</f>
        <v>107437.683560334</v>
      </c>
      <c r="J49" s="27" t="n">
        <f aca="false">I49*(1+J39)</f>
        <v>121070.408252231</v>
      </c>
    </row>
    <row r="50" customFormat="false" ht="15" hidden="false" customHeight="false" outlineLevel="0" collapsed="false">
      <c r="B50" s="0" t="s">
        <v>42</v>
      </c>
      <c r="C50" s="7"/>
      <c r="D50" s="7" t="n">
        <v>34214</v>
      </c>
      <c r="E50" s="7" t="n">
        <v>38325</v>
      </c>
      <c r="F50" s="27" t="n">
        <f aca="false">E50*F19/E19</f>
        <v>43017.4529834628</v>
      </c>
      <c r="G50" s="27" t="n">
        <f aca="false">F50*G19/F19</f>
        <v>47189.5676198174</v>
      </c>
      <c r="H50" s="27" t="n">
        <f aca="false">G50*H19/G19</f>
        <v>52346.5355889679</v>
      </c>
      <c r="I50" s="27" t="n">
        <f aca="false">H50*I19/H19</f>
        <v>58988.7665512378</v>
      </c>
      <c r="J50" s="27" t="n">
        <f aca="false">I50*J19/I19</f>
        <v>66473.8275434178</v>
      </c>
    </row>
    <row r="51" customFormat="false" ht="15" hidden="false" customHeight="false" outlineLevel="0" collapsed="false">
      <c r="B51" s="0" t="s">
        <v>43</v>
      </c>
      <c r="C51" s="7"/>
      <c r="D51" s="7" t="n">
        <v>252665</v>
      </c>
      <c r="E51" s="7" t="n">
        <v>357025</v>
      </c>
      <c r="F51" s="27" t="n">
        <f aca="false">F102</f>
        <v>475008.412029771</v>
      </c>
      <c r="G51" s="27" t="n">
        <f aca="false">G102</f>
        <v>590223.805635937</v>
      </c>
      <c r="H51" s="27" t="n">
        <f aca="false">H102</f>
        <v>711783.404179178</v>
      </c>
      <c r="I51" s="27" t="n">
        <f aca="false">I102</f>
        <v>844364.003873124</v>
      </c>
      <c r="J51" s="27" t="n">
        <f aca="false">J102</f>
        <v>988805.278052149</v>
      </c>
    </row>
    <row r="52" customFormat="false" ht="15" hidden="false" customHeight="false" outlineLevel="0" collapsed="false">
      <c r="B52" s="0" t="s">
        <v>44</v>
      </c>
      <c r="C52" s="7"/>
      <c r="D52" s="7" t="n">
        <f aca="false">76141+23074+82147</f>
        <v>181362</v>
      </c>
      <c r="E52" s="7" t="n">
        <f aca="false">86054+23273+122607</f>
        <v>231934</v>
      </c>
      <c r="F52" s="27" t="n">
        <f aca="false">E52*(1+F39)</f>
        <v>260445.95741156</v>
      </c>
      <c r="G52" s="27" t="n">
        <f aca="false">F52*(1+G39)</f>
        <v>289723.450590849</v>
      </c>
      <c r="H52" s="27" t="n">
        <f aca="false">G52*(1+H39)</f>
        <v>326486.343346941</v>
      </c>
      <c r="I52" s="27" t="n">
        <f aca="false">H52*(1+I39)</f>
        <v>367914.064859697</v>
      </c>
      <c r="J52" s="27" t="n">
        <f aca="false">I52*(1+J39)</f>
        <v>414598.533384118</v>
      </c>
    </row>
    <row r="53" customFormat="false" ht="15" hidden="false" customHeight="false" outlineLevel="0" collapsed="false">
      <c r="B53" s="30" t="s">
        <v>45</v>
      </c>
      <c r="C53" s="26"/>
      <c r="D53" s="26" t="n">
        <f aca="false">SUM(D48:D52)</f>
        <v>624894</v>
      </c>
      <c r="E53" s="26" t="n">
        <f aca="false">SUM(E48:E52)</f>
        <v>818042</v>
      </c>
      <c r="F53" s="40" t="n">
        <f aca="false">SUM(F48:F52)</f>
        <v>965664.361487193</v>
      </c>
      <c r="G53" s="40" t="n">
        <f aca="false">SUM(G48:G52)</f>
        <v>1127238.34099991</v>
      </c>
      <c r="H53" s="40" t="n">
        <f aca="false">SUM(H48:H52)</f>
        <v>1325371.24550214</v>
      </c>
      <c r="I53" s="40" t="n">
        <f aca="false">SUM(I48:I52)</f>
        <v>1550345.33228713</v>
      </c>
      <c r="J53" s="40" t="n">
        <f aca="false">SUM(J48:J52)</f>
        <v>1803038.30887768</v>
      </c>
    </row>
    <row r="54" customFormat="false" ht="15" hidden="false" customHeight="false" outlineLevel="0" collapsed="false">
      <c r="B54" s="29"/>
      <c r="C54" s="27"/>
      <c r="D54" s="27"/>
      <c r="E54" s="27"/>
      <c r="F54" s="27"/>
      <c r="G54" s="27"/>
      <c r="H54" s="27"/>
      <c r="I54" s="27"/>
      <c r="J54" s="27"/>
    </row>
    <row r="55" customFormat="false" ht="15" hidden="false" customHeight="false" outlineLevel="0" collapsed="false">
      <c r="B55" s="29" t="s">
        <v>46</v>
      </c>
      <c r="C55" s="7"/>
      <c r="D55" s="7" t="n">
        <v>94363</v>
      </c>
      <c r="E55" s="7" t="n">
        <v>121909</v>
      </c>
      <c r="F55" s="27" t="n">
        <f aca="false">E55*F19/E19</f>
        <v>136835.347051819</v>
      </c>
      <c r="G55" s="27" t="n">
        <f aca="false">F55*G19/F19</f>
        <v>150106.536176499</v>
      </c>
      <c r="H55" s="27" t="n">
        <f aca="false">G55*H19/G19</f>
        <v>166510.471157612</v>
      </c>
      <c r="I55" s="27" t="n">
        <f aca="false">H55*I19/H19</f>
        <v>187638.918238613</v>
      </c>
      <c r="J55" s="27" t="n">
        <f aca="false">I55*J19/I19</f>
        <v>211448.345518344</v>
      </c>
    </row>
    <row r="56" customFormat="false" ht="15" hidden="false" customHeight="false" outlineLevel="0" collapsed="false">
      <c r="B56" s="29" t="s">
        <v>47</v>
      </c>
      <c r="C56" s="7"/>
      <c r="D56" s="7" t="n">
        <v>66965</v>
      </c>
      <c r="E56" s="7" t="n">
        <v>75520</v>
      </c>
      <c r="F56" s="27" t="n">
        <f aca="false">E56*(1+F39)</f>
        <v>84803.7747968</v>
      </c>
      <c r="G56" s="27" t="n">
        <f aca="false">F56*(1+G39)</f>
        <v>94336.8155967685</v>
      </c>
      <c r="H56" s="27" t="n">
        <f aca="false">G56*(1+H39)</f>
        <v>106307.176393116</v>
      </c>
      <c r="I56" s="27" t="n">
        <f aca="false">H56*(1+I39)</f>
        <v>119796.451482768</v>
      </c>
      <c r="J56" s="27" t="n">
        <f aca="false">I56*(1+J39)</f>
        <v>134997.375292836</v>
      </c>
    </row>
    <row r="57" customFormat="false" ht="15" hidden="false" customHeight="false" outlineLevel="0" collapsed="false">
      <c r="B57" s="29" t="s">
        <v>48</v>
      </c>
      <c r="C57" s="7"/>
      <c r="D57" s="7" t="n">
        <v>18103</v>
      </c>
      <c r="E57" s="7" t="n">
        <v>20576</v>
      </c>
      <c r="F57" s="27" t="n">
        <f aca="false">E57*(1+F39)</f>
        <v>23105.43525184</v>
      </c>
      <c r="G57" s="27" t="n">
        <f aca="false">F57*(1+G39)</f>
        <v>25702.7849274246</v>
      </c>
      <c r="H57" s="27" t="n">
        <f aca="false">G57*(1+H39)</f>
        <v>28964.2010257516</v>
      </c>
      <c r="I57" s="27" t="n">
        <f aca="false">H57*(1+I39)</f>
        <v>32639.4569082288</v>
      </c>
      <c r="J57" s="27" t="n">
        <f aca="false">I57*(1+J39)</f>
        <v>36781.0645395312</v>
      </c>
    </row>
    <row r="58" customFormat="false" ht="15" hidden="false" customHeight="false" outlineLevel="0" collapsed="false">
      <c r="B58" s="29" t="s">
        <v>49</v>
      </c>
      <c r="C58" s="7"/>
      <c r="D58" s="7" t="n">
        <v>78277</v>
      </c>
      <c r="E58" s="7" t="n">
        <v>87339</v>
      </c>
      <c r="F58" s="27" t="n">
        <f aca="false">E58</f>
        <v>87339</v>
      </c>
      <c r="G58" s="27" t="n">
        <f aca="false">F58</f>
        <v>87339</v>
      </c>
      <c r="H58" s="27" t="n">
        <f aca="false">G58</f>
        <v>87339</v>
      </c>
      <c r="I58" s="27" t="n">
        <f aca="false">H58</f>
        <v>87339</v>
      </c>
      <c r="J58" s="27" t="n">
        <f aca="false">I58</f>
        <v>87339</v>
      </c>
    </row>
    <row r="59" customFormat="false" ht="15" hidden="false" customHeight="false" outlineLevel="0" collapsed="false">
      <c r="B59" s="29" t="s">
        <v>50</v>
      </c>
      <c r="C59" s="7"/>
      <c r="D59" s="7" t="n">
        <v>52623</v>
      </c>
      <c r="E59" s="7" t="n">
        <v>65648</v>
      </c>
      <c r="F59" s="27" t="n">
        <f aca="false">E59</f>
        <v>65648</v>
      </c>
      <c r="G59" s="27" t="n">
        <f aca="false">F59</f>
        <v>65648</v>
      </c>
      <c r="H59" s="27" t="n">
        <f aca="false">G59</f>
        <v>65648</v>
      </c>
      <c r="I59" s="27" t="n">
        <f aca="false">H59</f>
        <v>65648</v>
      </c>
      <c r="J59" s="27" t="n">
        <f aca="false">I59</f>
        <v>65648</v>
      </c>
    </row>
    <row r="60" customFormat="false" ht="15.75" hidden="false" customHeight="true" outlineLevel="0" collapsed="false">
      <c r="B60" s="29" t="s">
        <v>51</v>
      </c>
      <c r="C60" s="7"/>
      <c r="D60" s="7" t="n">
        <v>28593</v>
      </c>
      <c r="E60" s="7" t="n">
        <v>35985</v>
      </c>
      <c r="F60" s="27" t="n">
        <f aca="false">E60*(1+F39)</f>
        <v>40408.6842699</v>
      </c>
      <c r="G60" s="27" t="n">
        <f aca="false">F60*(1+G39)</f>
        <v>44951.1428661244</v>
      </c>
      <c r="H60" s="27" t="n">
        <f aca="false">G60*(1+H39)</f>
        <v>50654.9754039498</v>
      </c>
      <c r="I60" s="27" t="n">
        <f aca="false">H60*(1+I39)</f>
        <v>57082.5649709668</v>
      </c>
      <c r="J60" s="27" t="n">
        <f aca="false">I60*(1+J39)</f>
        <v>64325.7488071068</v>
      </c>
    </row>
    <row r="61" customFormat="false" ht="15" hidden="false" customHeight="false" outlineLevel="0" collapsed="false">
      <c r="B61" s="30" t="s">
        <v>52</v>
      </c>
      <c r="C61" s="26"/>
      <c r="D61" s="26" t="n">
        <f aca="false">SUM(D55:D60)</f>
        <v>338924</v>
      </c>
      <c r="E61" s="26" t="n">
        <f aca="false">SUM(E55:E60)</f>
        <v>406977</v>
      </c>
      <c r="F61" s="40" t="n">
        <f aca="false">SUM(F55:F60)</f>
        <v>438140.241370359</v>
      </c>
      <c r="G61" s="40" t="n">
        <f aca="false">SUM(G55:G60)</f>
        <v>468084.279566816</v>
      </c>
      <c r="H61" s="40" t="n">
        <f aca="false">SUM(H55:H60)</f>
        <v>505423.82398043</v>
      </c>
      <c r="I61" s="40" t="n">
        <f aca="false">SUM(I55:I60)</f>
        <v>550144.391600577</v>
      </c>
      <c r="J61" s="40" t="n">
        <f aca="false">SUM(J55:J60)</f>
        <v>600539.534157817</v>
      </c>
    </row>
    <row r="62" customFormat="false" ht="15" hidden="false" customHeight="false" outlineLevel="0" collapsed="false">
      <c r="B62" s="30"/>
      <c r="C62" s="26"/>
      <c r="D62" s="26"/>
      <c r="E62" s="26"/>
      <c r="F62" s="27"/>
      <c r="G62" s="27"/>
      <c r="H62" s="27"/>
      <c r="I62" s="27"/>
      <c r="J62" s="27"/>
    </row>
    <row r="63" customFormat="false" ht="15" hidden="false" customHeight="false" outlineLevel="0" collapsed="false">
      <c r="B63" s="29" t="s">
        <v>53</v>
      </c>
      <c r="C63" s="7"/>
      <c r="D63" s="7" t="n">
        <v>111</v>
      </c>
      <c r="E63" s="7" t="n">
        <v>112</v>
      </c>
      <c r="F63" s="27" t="n">
        <f aca="false">E63</f>
        <v>112</v>
      </c>
      <c r="G63" s="27" t="n">
        <f aca="false">F63</f>
        <v>112</v>
      </c>
      <c r="H63" s="27" t="n">
        <f aca="false">G63</f>
        <v>112</v>
      </c>
      <c r="I63" s="27" t="n">
        <f aca="false">H63</f>
        <v>112</v>
      </c>
      <c r="J63" s="27" t="n">
        <f aca="false">I63</f>
        <v>112</v>
      </c>
    </row>
    <row r="64" customFormat="false" ht="15" hidden="false" customHeight="false" outlineLevel="0" collapsed="false">
      <c r="B64" s="29" t="s">
        <v>54</v>
      </c>
      <c r="C64" s="7"/>
      <c r="D64" s="7" t="n">
        <v>-7837</v>
      </c>
      <c r="E64" s="7" t="n">
        <v>-7837</v>
      </c>
      <c r="F64" s="27" t="n">
        <f aca="false">E64</f>
        <v>-7837</v>
      </c>
      <c r="G64" s="27" t="n">
        <f aca="false">F64</f>
        <v>-7837</v>
      </c>
      <c r="H64" s="27" t="n">
        <f aca="false">G64</f>
        <v>-7837</v>
      </c>
      <c r="I64" s="27" t="n">
        <f aca="false">H64</f>
        <v>-7837</v>
      </c>
      <c r="J64" s="27" t="n">
        <f aca="false">I64</f>
        <v>-7837</v>
      </c>
    </row>
    <row r="65" customFormat="false" ht="15" hidden="false" customHeight="false" outlineLevel="0" collapsed="false">
      <c r="B65" s="29" t="s">
        <v>55</v>
      </c>
      <c r="C65" s="7"/>
      <c r="D65" s="7" t="n">
        <v>120864</v>
      </c>
      <c r="E65" s="7" t="n">
        <v>140024</v>
      </c>
      <c r="F65" s="27" t="n">
        <f aca="false">E65++F35</f>
        <v>161884.10439578</v>
      </c>
      <c r="G65" s="27" t="n">
        <f aca="false">F65++G35</f>
        <v>186201.567176796</v>
      </c>
      <c r="H65" s="27" t="n">
        <f aca="false">G65++H35</f>
        <v>213604.663083109</v>
      </c>
      <c r="I65" s="27" t="n">
        <f aca="false">H65++I35</f>
        <v>244484.926867736</v>
      </c>
      <c r="J65" s="27" t="n">
        <f aca="false">I65++J35</f>
        <v>279283.574971889</v>
      </c>
    </row>
    <row r="66" customFormat="false" ht="15.75" hidden="false" customHeight="true" outlineLevel="0" collapsed="false">
      <c r="B66" s="29" t="s">
        <v>56</v>
      </c>
      <c r="C66" s="25"/>
      <c r="D66" s="7" t="n">
        <v>172866</v>
      </c>
      <c r="E66" s="7" t="n">
        <v>250536</v>
      </c>
      <c r="F66" s="27" t="n">
        <f aca="false">F122</f>
        <v>345135.015721054</v>
      </c>
      <c r="G66" s="27" t="n">
        <f aca="false">G122</f>
        <v>452447.494256296</v>
      </c>
      <c r="H66" s="27" t="n">
        <f aca="false">H122</f>
        <v>585837.758438597</v>
      </c>
      <c r="I66" s="27" t="n">
        <f aca="false">I122</f>
        <v>735211.013818817</v>
      </c>
      <c r="J66" s="27" t="n">
        <f aca="false">J122</f>
        <v>902710.199747969</v>
      </c>
    </row>
    <row r="67" customFormat="false" ht="15.75" hidden="false" customHeight="true" outlineLevel="0" collapsed="false">
      <c r="B67" s="29" t="s">
        <v>57</v>
      </c>
      <c r="C67" s="7"/>
      <c r="D67" s="7" t="n">
        <v>-34</v>
      </c>
      <c r="E67" s="7" t="n">
        <v>28230</v>
      </c>
      <c r="F67" s="27" t="n">
        <f aca="false">E67</f>
        <v>28230</v>
      </c>
      <c r="G67" s="27" t="n">
        <f aca="false">F67</f>
        <v>28230</v>
      </c>
      <c r="H67" s="27" t="n">
        <f aca="false">G67</f>
        <v>28230</v>
      </c>
      <c r="I67" s="27" t="n">
        <f aca="false">H67</f>
        <v>28230</v>
      </c>
      <c r="J67" s="27" t="n">
        <f aca="false">I67</f>
        <v>28230</v>
      </c>
    </row>
    <row r="68" customFormat="false" ht="15" hidden="false" customHeight="false" outlineLevel="0" collapsed="false">
      <c r="B68" s="30" t="s">
        <v>58</v>
      </c>
      <c r="C68" s="40"/>
      <c r="D68" s="40" t="n">
        <f aca="false">SUM(D63:D67)</f>
        <v>285970</v>
      </c>
      <c r="E68" s="40" t="n">
        <f aca="false">SUM(E63:E67)</f>
        <v>411065</v>
      </c>
      <c r="F68" s="40" t="n">
        <f aca="false">SUM(F63:F67)</f>
        <v>527524.120116834</v>
      </c>
      <c r="G68" s="40" t="n">
        <f aca="false">SUM(G63:G67)</f>
        <v>659154.061433092</v>
      </c>
      <c r="H68" s="40" t="n">
        <f aca="false">SUM(H63:H67)</f>
        <v>819947.421521706</v>
      </c>
      <c r="I68" s="40" t="n">
        <f aca="false">SUM(I63:I67)</f>
        <v>1000200.94068655</v>
      </c>
      <c r="J68" s="40" t="n">
        <f aca="false">SUM(J63:J67)</f>
        <v>1202498.77471986</v>
      </c>
    </row>
    <row r="69" customFormat="false" ht="15" hidden="false" customHeight="false" outlineLevel="0" collapsed="false">
      <c r="C69" s="27"/>
      <c r="D69" s="27"/>
      <c r="E69" s="27"/>
    </row>
    <row r="70" customFormat="false" ht="15" hidden="false" customHeight="false" outlineLevel="0" collapsed="false">
      <c r="B70" s="20" t="s">
        <v>59</v>
      </c>
      <c r="C70" s="41"/>
      <c r="D70" s="41" t="n">
        <f aca="false">ROUND(D53-D61-D68,3)</f>
        <v>0</v>
      </c>
      <c r="E70" s="41" t="n">
        <f aca="false">ROUND(E53-E61-E68,3)</f>
        <v>0</v>
      </c>
      <c r="F70" s="41" t="n">
        <f aca="false">ROUND(F53-F61-F68,3)</f>
        <v>0</v>
      </c>
      <c r="G70" s="41" t="n">
        <f aca="false">ROUND(G53-G61-G68,3)</f>
        <v>0</v>
      </c>
      <c r="H70" s="41" t="n">
        <f aca="false">ROUND(H53-H61-H68,3)</f>
        <v>0</v>
      </c>
      <c r="I70" s="41" t="n">
        <f aca="false">ROUND(I53-I61-I68,3)</f>
        <v>0</v>
      </c>
      <c r="J70" s="41" t="n">
        <f aca="false">ROUND(J53-J61-J68,3)</f>
        <v>0</v>
      </c>
    </row>
    <row r="71" customFormat="false" ht="15" hidden="false" customHeight="false" outlineLevel="0" collapsed="false">
      <c r="D71" s="27"/>
      <c r="E71" s="27"/>
      <c r="G71" s="27"/>
      <c r="H71" s="27"/>
      <c r="I71" s="27"/>
      <c r="J71" s="27"/>
    </row>
    <row r="72" customFormat="false" ht="15" hidden="false" customHeight="false" outlineLevel="0" collapsed="false">
      <c r="B72" s="14" t="s">
        <v>60</v>
      </c>
      <c r="C72" s="19"/>
      <c r="D72" s="19"/>
      <c r="E72" s="19"/>
      <c r="F72" s="19"/>
      <c r="G72" s="19"/>
      <c r="H72" s="19"/>
      <c r="I72" s="19"/>
      <c r="J72" s="19"/>
    </row>
    <row r="73" customFormat="false" ht="15" hidden="false" customHeight="false" outlineLevel="0" collapsed="false">
      <c r="B73" s="36" t="str">
        <f aca="false">B15</f>
        <v>Fiscal year  </v>
      </c>
      <c r="C73" s="37"/>
      <c r="D73" s="37"/>
      <c r="E73" s="37"/>
      <c r="F73" s="38" t="n">
        <f aca="false">F15</f>
        <v>2026</v>
      </c>
      <c r="G73" s="38" t="n">
        <f aca="false">G15</f>
        <v>2027</v>
      </c>
      <c r="H73" s="38" t="n">
        <f aca="false">H15</f>
        <v>2028</v>
      </c>
      <c r="I73" s="38" t="n">
        <f aca="false">I15</f>
        <v>2029</v>
      </c>
      <c r="J73" s="38" t="n">
        <f aca="false">J15</f>
        <v>2030</v>
      </c>
    </row>
    <row r="74" customFormat="false" ht="15" hidden="false" customHeight="false" outlineLevel="0" collapsed="false">
      <c r="B74" s="15" t="str">
        <f aca="false">B16</f>
        <v>Fiscal year end date</v>
      </c>
      <c r="C74" s="39"/>
      <c r="D74" s="39"/>
      <c r="E74" s="39"/>
      <c r="F74" s="39" t="n">
        <f aca="false">F16</f>
        <v>46387</v>
      </c>
      <c r="G74" s="39" t="n">
        <f aca="false">G16</f>
        <v>46752</v>
      </c>
      <c r="H74" s="39" t="n">
        <f aca="false">H16</f>
        <v>47118</v>
      </c>
      <c r="I74" s="39" t="n">
        <f aca="false">I16</f>
        <v>47483</v>
      </c>
      <c r="J74" s="39" t="n">
        <f aca="false">J16</f>
        <v>47848</v>
      </c>
    </row>
    <row r="76" customFormat="false" ht="15" hidden="false" customHeight="false" outlineLevel="0" collapsed="false">
      <c r="B76" s="0" t="s">
        <v>28</v>
      </c>
      <c r="C76" s="42"/>
      <c r="D76" s="42"/>
      <c r="E76" s="42"/>
      <c r="F76" s="27" t="n">
        <f aca="false">F31</f>
        <v>94599.0157210538</v>
      </c>
      <c r="G76" s="27" t="n">
        <f aca="false">G31</f>
        <v>107312.478535242</v>
      </c>
      <c r="H76" s="27" t="n">
        <f aca="false">H31</f>
        <v>133390.264182301</v>
      </c>
      <c r="I76" s="27" t="n">
        <f aca="false">I31</f>
        <v>149373.25538022</v>
      </c>
      <c r="J76" s="27" t="n">
        <f aca="false">J31</f>
        <v>167499.185929152</v>
      </c>
      <c r="L76" s="13"/>
    </row>
    <row r="77" customFormat="false" ht="15" hidden="false" customHeight="false" outlineLevel="0" collapsed="false">
      <c r="B77" s="0" t="s">
        <v>61</v>
      </c>
      <c r="C77" s="42"/>
      <c r="D77" s="42"/>
      <c r="E77" s="42"/>
      <c r="F77" s="27" t="n">
        <f aca="false">F33</f>
        <v>86990.2580172689</v>
      </c>
      <c r="G77" s="27" t="n">
        <f aca="false">G33</f>
        <v>94008.7770834064</v>
      </c>
      <c r="H77" s="27" t="n">
        <f aca="false">H33</f>
        <v>107411.247389416</v>
      </c>
      <c r="I77" s="27" t="n">
        <f aca="false">I33</f>
        <v>125444.265290766</v>
      </c>
      <c r="J77" s="27" t="n">
        <f aca="false">J33</f>
        <v>146324.262713652</v>
      </c>
    </row>
    <row r="78" customFormat="false" ht="15" hidden="false" customHeight="false" outlineLevel="0" collapsed="false">
      <c r="B78" s="0" t="s">
        <v>31</v>
      </c>
      <c r="C78" s="42"/>
      <c r="D78" s="42"/>
      <c r="E78" s="42"/>
      <c r="F78" s="27" t="n">
        <f aca="false">F35</f>
        <v>21860.10439578</v>
      </c>
      <c r="G78" s="27" t="n">
        <f aca="false">G35</f>
        <v>24317.4627810155</v>
      </c>
      <c r="H78" s="27" t="n">
        <f aca="false">H35</f>
        <v>27403.0959063135</v>
      </c>
      <c r="I78" s="27" t="n">
        <f aca="false">I35</f>
        <v>30880.2637846272</v>
      </c>
      <c r="J78" s="27" t="n">
        <f aca="false">J35</f>
        <v>34798.648104153</v>
      </c>
    </row>
    <row r="79" customFormat="false" ht="15" hidden="false" customHeight="false" outlineLevel="0" collapsed="false">
      <c r="B79" s="0" t="s">
        <v>62</v>
      </c>
      <c r="C79" s="27"/>
      <c r="D79" s="27"/>
      <c r="E79" s="27"/>
      <c r="F79" s="27" t="n">
        <f aca="false">-1*(SUM(F49:F50)-SUM(E49:E50))</f>
        <v>-13018.4697103228</v>
      </c>
      <c r="G79" s="27" t="n">
        <f aca="false">-1*(SUM(G49:G50)-SUM(F49:F50))</f>
        <v>-12721.68190782</v>
      </c>
      <c r="H79" s="27" t="n">
        <f aca="false">-1*(SUM(H49:H50)-SUM(G49:G50))</f>
        <v>-15892.4097908644</v>
      </c>
      <c r="I79" s="27" t="n">
        <f aca="false">-1*(SUM(I49:I50)-SUM(H49:H50))</f>
        <v>-18739.8887025644</v>
      </c>
      <c r="J79" s="27" t="n">
        <f aca="false">-1*(SUM(J49:J50)-SUM(I49:I50))</f>
        <v>-21117.7856840773</v>
      </c>
    </row>
    <row r="80" customFormat="false" ht="15" hidden="false" customHeight="false" outlineLevel="0" collapsed="false">
      <c r="B80" s="0" t="s">
        <v>63</v>
      </c>
      <c r="C80" s="27"/>
      <c r="D80" s="27"/>
      <c r="E80" s="27"/>
      <c r="F80" s="27" t="n">
        <f aca="false">SUM(F55:F57)-SUM(E55:E57)</f>
        <v>26739.5571004591</v>
      </c>
      <c r="G80" s="27" t="n">
        <f aca="false">SUM(G55:G57)-SUM(F55:F57)</f>
        <v>25401.5796002329</v>
      </c>
      <c r="H80" s="27" t="n">
        <f aca="false">SUM(H55:H57)-SUM(G55:G57)</f>
        <v>31635.711875788</v>
      </c>
      <c r="I80" s="27" t="n">
        <f aca="false">SUM(I55:I57)-SUM(H55:H57)</f>
        <v>38292.9780531301</v>
      </c>
      <c r="J80" s="27" t="n">
        <f aca="false">SUM(J55:J57)-SUM(I55:I57)</f>
        <v>43151.9587211005</v>
      </c>
    </row>
    <row r="81" customFormat="false" ht="15" hidden="false" customHeight="false" outlineLevel="0" collapsed="false">
      <c r="B81" s="0" t="s">
        <v>44</v>
      </c>
      <c r="F81" s="27" t="n">
        <f aca="false">-(F114)</f>
        <v>-55300.6074586</v>
      </c>
      <c r="G81" s="27" t="n">
        <f aca="false">-(G114)</f>
        <v>-59077.5338688611</v>
      </c>
      <c r="H81" s="27" t="n">
        <f aca="false">-(H114)</f>
        <v>-70344.2486887485</v>
      </c>
      <c r="I81" s="27" t="n">
        <f aca="false">-(I114)</f>
        <v>-79270.2022671644</v>
      </c>
      <c r="J81" s="27" t="n">
        <f aca="false">-(J114)</f>
        <v>-89328.7665247639</v>
      </c>
    </row>
    <row r="82" customFormat="false" ht="15" hidden="false" customHeight="false" outlineLevel="0" collapsed="false">
      <c r="B82" s="0" t="s">
        <v>51</v>
      </c>
      <c r="F82" s="27" t="n">
        <f aca="false">F60-E60</f>
        <v>4423.6842699</v>
      </c>
      <c r="G82" s="27" t="n">
        <f aca="false">G60-F60</f>
        <v>4542.45859622437</v>
      </c>
      <c r="H82" s="27" t="n">
        <f aca="false">H60-G60</f>
        <v>5703.83253782537</v>
      </c>
      <c r="I82" s="27" t="n">
        <f aca="false">I60-H60</f>
        <v>6427.58956701702</v>
      </c>
      <c r="J82" s="27" t="n">
        <f aca="false">J60-I60</f>
        <v>7243.18383613998</v>
      </c>
      <c r="L82" s="13"/>
    </row>
    <row r="83" customFormat="false" ht="15" hidden="false" customHeight="false" outlineLevel="0" collapsed="false">
      <c r="B83" s="13" t="s">
        <v>64</v>
      </c>
      <c r="F83" s="40" t="n">
        <f aca="false">SUM(F76:F82)</f>
        <v>166293.542335539</v>
      </c>
      <c r="G83" s="40" t="n">
        <f aca="false">SUM(G76:G82)</f>
        <v>183783.54081944</v>
      </c>
      <c r="H83" s="40" t="n">
        <f aca="false">SUM(H76:H82)</f>
        <v>219307.49341203</v>
      </c>
      <c r="I83" s="40" t="n">
        <f aca="false">SUM(I76:I82)</f>
        <v>252408.261106032</v>
      </c>
      <c r="J83" s="40" t="n">
        <f aca="false">SUM(J76:J82)</f>
        <v>288570.687095356</v>
      </c>
    </row>
    <row r="84" customFormat="false" ht="15" hidden="false" customHeight="false" outlineLevel="0" collapsed="false">
      <c r="F84" s="27"/>
      <c r="G84" s="27"/>
      <c r="H84" s="27"/>
      <c r="I84" s="27"/>
      <c r="J84" s="27"/>
    </row>
    <row r="85" customFormat="false" ht="15" hidden="false" customHeight="false" outlineLevel="0" collapsed="false">
      <c r="B85" s="0" t="s">
        <v>65</v>
      </c>
      <c r="F85" s="27" t="n">
        <f aca="false">-(F100)</f>
        <v>-178185.02</v>
      </c>
      <c r="G85" s="27" t="n">
        <f aca="false">-(G100)</f>
        <v>-179424.13</v>
      </c>
      <c r="H85" s="27" t="n">
        <f aca="false">-(H100)</f>
        <v>-195389.49</v>
      </c>
      <c r="I85" s="27" t="n">
        <f aca="false">-(I100)</f>
        <v>-220182.384230304</v>
      </c>
      <c r="J85" s="27" t="n">
        <f aca="false">-(J100)</f>
        <v>-248121.238892334</v>
      </c>
    </row>
    <row r="86" customFormat="false" ht="15" hidden="false" customHeight="false" outlineLevel="0" collapsed="false">
      <c r="B86" s="13" t="s">
        <v>66</v>
      </c>
      <c r="F86" s="40" t="n">
        <f aca="false">IFERROR(F85,"NA")</f>
        <v>-178185.02</v>
      </c>
      <c r="G86" s="40" t="n">
        <f aca="false">IFERROR(G85,"NA")</f>
        <v>-179424.13</v>
      </c>
      <c r="H86" s="40" t="n">
        <f aca="false">IFERROR(H85,"NA")</f>
        <v>-195389.49</v>
      </c>
      <c r="I86" s="40" t="n">
        <f aca="false">IFERROR(I85,"NA")</f>
        <v>-220182.384230304</v>
      </c>
      <c r="J86" s="40" t="n">
        <f aca="false">IFERROR(J85,"NA")</f>
        <v>-248121.238892334</v>
      </c>
    </row>
    <row r="87" customFormat="false" ht="15" hidden="false" customHeight="false" outlineLevel="0" collapsed="false">
      <c r="F87" s="27"/>
      <c r="G87" s="27"/>
      <c r="H87" s="27"/>
      <c r="I87" s="27"/>
      <c r="J87" s="27"/>
    </row>
    <row r="88" customFormat="false" ht="15" hidden="false" customHeight="false" outlineLevel="0" collapsed="false">
      <c r="B88" s="0" t="s">
        <v>67</v>
      </c>
      <c r="F88" s="27" t="n">
        <f aca="false">F59-E59</f>
        <v>0</v>
      </c>
      <c r="G88" s="27" t="n">
        <f aca="false">G59-F59</f>
        <v>0</v>
      </c>
      <c r="H88" s="27" t="n">
        <f aca="false">H59-G59</f>
        <v>0</v>
      </c>
      <c r="I88" s="27" t="n">
        <f aca="false">I59-H59</f>
        <v>0</v>
      </c>
      <c r="J88" s="27" t="n">
        <f aca="false">J59-I59</f>
        <v>0</v>
      </c>
    </row>
    <row r="89" customFormat="false" ht="15" hidden="false" customHeight="false" outlineLevel="0" collapsed="false">
      <c r="B89" s="0" t="s">
        <v>68</v>
      </c>
      <c r="F89" s="27" t="n">
        <f aca="false">F121</f>
        <v>0</v>
      </c>
      <c r="G89" s="27" t="n">
        <f aca="false">G121</f>
        <v>0</v>
      </c>
      <c r="H89" s="27" t="n">
        <f aca="false">H121</f>
        <v>0</v>
      </c>
      <c r="I89" s="27" t="n">
        <f aca="false">I121</f>
        <v>0</v>
      </c>
      <c r="J89" s="27" t="n">
        <f aca="false">J121</f>
        <v>0</v>
      </c>
    </row>
    <row r="90" customFormat="false" ht="15" hidden="false" customHeight="false" outlineLevel="0" collapsed="false">
      <c r="B90" s="0" t="s">
        <v>69</v>
      </c>
      <c r="F90" s="27" t="n">
        <f aca="false">F120</f>
        <v>0</v>
      </c>
      <c r="G90" s="27" t="n">
        <f aca="false">G120</f>
        <v>0</v>
      </c>
      <c r="H90" s="27" t="n">
        <f aca="false">H120</f>
        <v>0</v>
      </c>
      <c r="I90" s="27" t="n">
        <f aca="false">I120</f>
        <v>0</v>
      </c>
      <c r="J90" s="27" t="n">
        <f aca="false">J120</f>
        <v>0</v>
      </c>
    </row>
    <row r="91" customFormat="false" ht="15" hidden="false" customHeight="false" outlineLevel="0" collapsed="false">
      <c r="B91" s="13" t="s">
        <v>70</v>
      </c>
      <c r="F91" s="40" t="n">
        <f aca="false">SUM(F88:F90)</f>
        <v>0</v>
      </c>
      <c r="G91" s="40" t="n">
        <f aca="false">SUM(G88:G90)</f>
        <v>0</v>
      </c>
      <c r="H91" s="40" t="n">
        <f aca="false">SUM(H88:H90)</f>
        <v>0</v>
      </c>
      <c r="I91" s="40" t="n">
        <f aca="false">SUM(I88:I90)</f>
        <v>0</v>
      </c>
      <c r="J91" s="40" t="n">
        <f aca="false">SUM(J88:J90)</f>
        <v>0</v>
      </c>
    </row>
    <row r="92" customFormat="false" ht="15" hidden="false" customHeight="false" outlineLevel="0" collapsed="false">
      <c r="F92" s="27"/>
      <c r="G92" s="27"/>
      <c r="H92" s="27"/>
      <c r="I92" s="27"/>
      <c r="J92" s="27"/>
    </row>
    <row r="93" customFormat="false" ht="15" hidden="false" customHeight="false" outlineLevel="0" collapsed="false">
      <c r="B93" s="13" t="s">
        <v>71</v>
      </c>
      <c r="F93" s="40" t="n">
        <f aca="false">F83+F86+F91</f>
        <v>-11891.477664461</v>
      </c>
      <c r="G93" s="40" t="n">
        <f aca="false">G83+G86+G91</f>
        <v>4359.41081944041</v>
      </c>
      <c r="H93" s="40" t="n">
        <f aca="false">H83+H86+H91</f>
        <v>23918.0034120303</v>
      </c>
      <c r="I93" s="40" t="n">
        <f aca="false">I83+I86+I91</f>
        <v>32225.8768757277</v>
      </c>
      <c r="J93" s="40" t="n">
        <f aca="false">J83+J86+J91</f>
        <v>40449.4482030223</v>
      </c>
    </row>
    <row r="95" customFormat="false" ht="15" hidden="false" customHeight="false" outlineLevel="0" collapsed="false">
      <c r="B95" s="14" t="s">
        <v>72</v>
      </c>
      <c r="C95" s="15"/>
      <c r="D95" s="15"/>
      <c r="E95" s="15"/>
      <c r="F95" s="15"/>
      <c r="G95" s="15"/>
      <c r="H95" s="15"/>
      <c r="I95" s="15"/>
      <c r="J95" s="15"/>
    </row>
    <row r="96" customFormat="false" ht="15" hidden="false" customHeight="false" outlineLevel="0" collapsed="false">
      <c r="B96" s="36" t="str">
        <f aca="false">B15</f>
        <v>Fiscal year  </v>
      </c>
      <c r="C96" s="37" t="n">
        <f aca="false">C15</f>
        <v>2023</v>
      </c>
      <c r="D96" s="37" t="n">
        <f aca="false">D15</f>
        <v>2024</v>
      </c>
      <c r="E96" s="37" t="n">
        <f aca="false">E15</f>
        <v>2025</v>
      </c>
      <c r="F96" s="38" t="n">
        <f aca="false">F15</f>
        <v>2026</v>
      </c>
      <c r="G96" s="38" t="n">
        <f aca="false">G15</f>
        <v>2027</v>
      </c>
      <c r="H96" s="38" t="n">
        <f aca="false">H15</f>
        <v>2028</v>
      </c>
      <c r="I96" s="38" t="n">
        <f aca="false">I15</f>
        <v>2029</v>
      </c>
      <c r="J96" s="38" t="n">
        <f aca="false">J15</f>
        <v>2030</v>
      </c>
    </row>
    <row r="97" customFormat="false" ht="15" hidden="false" customHeight="false" outlineLevel="0" collapsed="false">
      <c r="B97" s="15" t="str">
        <f aca="false">B16</f>
        <v>Fiscal year end date</v>
      </c>
      <c r="C97" s="39" t="n">
        <f aca="false">C16</f>
        <v>45291</v>
      </c>
      <c r="D97" s="39" t="n">
        <f aca="false">D16</f>
        <v>45657</v>
      </c>
      <c r="E97" s="39" t="n">
        <f aca="false">E16</f>
        <v>46022</v>
      </c>
      <c r="F97" s="39" t="n">
        <f aca="false">F16</f>
        <v>46387</v>
      </c>
      <c r="G97" s="39" t="n">
        <f aca="false">G16</f>
        <v>46752</v>
      </c>
      <c r="H97" s="39" t="n">
        <f aca="false">H16</f>
        <v>47118</v>
      </c>
      <c r="I97" s="39" t="n">
        <f aca="false">I16</f>
        <v>47483</v>
      </c>
      <c r="J97" s="39" t="n">
        <f aca="false">J16</f>
        <v>47848</v>
      </c>
    </row>
    <row r="98" customFormat="false" ht="15" hidden="false" customHeight="false" outlineLevel="0" collapsed="false">
      <c r="B98" s="13"/>
      <c r="F98" s="43" t="s">
        <v>73</v>
      </c>
      <c r="G98" s="43"/>
      <c r="H98" s="43"/>
      <c r="I98" s="43"/>
      <c r="J98" s="43"/>
    </row>
    <row r="99" customFormat="false" ht="15" hidden="false" customHeight="false" outlineLevel="0" collapsed="false">
      <c r="B99" s="29" t="s">
        <v>74</v>
      </c>
      <c r="F99" s="27" t="n">
        <f aca="false">E102</f>
        <v>357025</v>
      </c>
      <c r="G99" s="27" t="n">
        <f aca="false">F102</f>
        <v>475008.412029771</v>
      </c>
      <c r="H99" s="27" t="n">
        <f aca="false">G102</f>
        <v>590223.805635937</v>
      </c>
      <c r="I99" s="27" t="n">
        <f aca="false">H102</f>
        <v>711783.404179178</v>
      </c>
      <c r="J99" s="27" t="n">
        <f aca="false">I102</f>
        <v>844364.003873124</v>
      </c>
    </row>
    <row r="100" customFormat="false" ht="15" hidden="false" customHeight="false" outlineLevel="0" collapsed="false">
      <c r="B100" s="28" t="s">
        <v>75</v>
      </c>
      <c r="C100" s="7" t="n">
        <v>52729</v>
      </c>
      <c r="D100" s="7" t="n">
        <v>82999</v>
      </c>
      <c r="E100" s="7" t="n">
        <v>131819</v>
      </c>
      <c r="F100" s="7" t="n">
        <v>178185.02</v>
      </c>
      <c r="G100" s="7" t="n">
        <v>179424.13</v>
      </c>
      <c r="H100" s="7" t="n">
        <v>195389.49</v>
      </c>
      <c r="I100" s="27" t="n">
        <f aca="false">H100*(1+I39)</f>
        <v>220182.384230304</v>
      </c>
      <c r="J100" s="27" t="n">
        <f aca="false">I100*(1+J39)</f>
        <v>248121.238892334</v>
      </c>
    </row>
    <row r="101" customFormat="false" ht="15" hidden="false" customHeight="false" outlineLevel="0" collapsed="false">
      <c r="B101" s="44" t="s">
        <v>76</v>
      </c>
      <c r="C101" s="45" t="n">
        <v>-30200</v>
      </c>
      <c r="D101" s="45" t="n">
        <v>-32100</v>
      </c>
      <c r="E101" s="45" t="n">
        <v>-41900</v>
      </c>
      <c r="F101" s="46" t="n">
        <f aca="false">-(F104*F100)</f>
        <v>-60201.6079702289</v>
      </c>
      <c r="G101" s="46" t="n">
        <f aca="false">-(G104*G100)</f>
        <v>-64208.736393834</v>
      </c>
      <c r="H101" s="46" t="n">
        <f aca="false">-(H104*H100)</f>
        <v>-73829.8914567597</v>
      </c>
      <c r="I101" s="46" t="n">
        <f aca="false">-(I104*I100)</f>
        <v>-87601.7845363574</v>
      </c>
      <c r="J101" s="46" t="n">
        <f aca="false">-(J104*J100)</f>
        <v>-103679.964713309</v>
      </c>
    </row>
    <row r="102" customFormat="false" ht="15" hidden="false" customHeight="false" outlineLevel="0" collapsed="false">
      <c r="B102" s="47" t="s">
        <v>77</v>
      </c>
      <c r="C102" s="40"/>
      <c r="D102" s="40" t="n">
        <f aca="false">D51</f>
        <v>252665</v>
      </c>
      <c r="E102" s="40" t="n">
        <f aca="false">E51</f>
        <v>357025</v>
      </c>
      <c r="F102" s="40" t="n">
        <f aca="false">SUM(F99:F101)</f>
        <v>475008.412029771</v>
      </c>
      <c r="G102" s="40" t="n">
        <f aca="false">SUM(G99:G101)</f>
        <v>590223.805635937</v>
      </c>
      <c r="H102" s="40" t="n">
        <f aca="false">SUM(H99:H101)</f>
        <v>711783.404179178</v>
      </c>
      <c r="I102" s="40" t="n">
        <f aca="false">SUM(I99:I101)</f>
        <v>844364.003873124</v>
      </c>
      <c r="J102" s="40" t="n">
        <f aca="false">SUM(J99:J101)</f>
        <v>988805.278052149</v>
      </c>
    </row>
    <row r="103" customFormat="false" ht="15" hidden="false" customHeight="false" outlineLevel="0" collapsed="false">
      <c r="B103" s="29"/>
      <c r="L103" s="32" t="s">
        <v>78</v>
      </c>
    </row>
    <row r="104" customFormat="false" ht="15" hidden="false" customHeight="false" outlineLevel="0" collapsed="false">
      <c r="B104" s="29" t="s">
        <v>79</v>
      </c>
      <c r="C104" s="48" t="n">
        <f aca="false">-(C101/C100)</f>
        <v>0.572739858521876</v>
      </c>
      <c r="D104" s="48" t="n">
        <f aca="false">-(D101/D100)</f>
        <v>0.386751647610212</v>
      </c>
      <c r="E104" s="48" t="n">
        <f aca="false">-(E101/E100)</f>
        <v>0.317860096040783</v>
      </c>
      <c r="F104" s="33" t="n">
        <f aca="false">E104+$L$104</f>
        <v>0.337860096040783</v>
      </c>
      <c r="G104" s="33" t="n">
        <f aca="false">F104+$L$104</f>
        <v>0.357860096040783</v>
      </c>
      <c r="H104" s="33" t="n">
        <f aca="false">G104+$L$104</f>
        <v>0.377860096040783</v>
      </c>
      <c r="I104" s="33" t="n">
        <f aca="false">H104+$L$104</f>
        <v>0.397860096040783</v>
      </c>
      <c r="J104" s="33" t="n">
        <f aca="false">I104+$L$104</f>
        <v>0.417860096040783</v>
      </c>
      <c r="L104" s="49" t="n">
        <v>0.02</v>
      </c>
      <c r="N104" s="50"/>
      <c r="O104" s="50"/>
      <c r="P104" s="50"/>
    </row>
    <row r="105" customFormat="false" ht="15" hidden="false" customHeight="false" outlineLevel="0" collapsed="false">
      <c r="B105" s="29"/>
      <c r="C105" s="48"/>
      <c r="D105" s="48"/>
      <c r="E105" s="48"/>
      <c r="F105" s="33"/>
      <c r="G105" s="33"/>
      <c r="H105" s="33"/>
      <c r="I105" s="33"/>
      <c r="J105" s="33"/>
      <c r="N105" s="50"/>
      <c r="O105" s="50"/>
      <c r="P105" s="50"/>
    </row>
    <row r="106" customFormat="false" ht="15" hidden="false" customHeight="false" outlineLevel="0" collapsed="false">
      <c r="B106" s="51" t="s">
        <v>80</v>
      </c>
      <c r="C106" s="52"/>
      <c r="D106" s="52"/>
      <c r="E106" s="52"/>
      <c r="F106" s="53"/>
      <c r="G106" s="53"/>
      <c r="H106" s="53"/>
      <c r="I106" s="53"/>
      <c r="J106" s="53"/>
      <c r="N106" s="50"/>
      <c r="O106" s="50"/>
      <c r="P106" s="50"/>
    </row>
    <row r="107" customFormat="false" ht="15" hidden="false" customHeight="false" outlineLevel="0" collapsed="false">
      <c r="B107" s="29" t="s">
        <v>81</v>
      </c>
      <c r="C107" s="27" t="n">
        <f aca="false">C109+C101</f>
        <v>18463</v>
      </c>
      <c r="D107" s="27" t="n">
        <f aca="false">D109+D101</f>
        <v>20695</v>
      </c>
      <c r="E107" s="27" t="n">
        <f aca="false">E109+E101</f>
        <v>23856</v>
      </c>
      <c r="F107" s="25" t="n">
        <f aca="false">F108*F18</f>
        <v>26788.65004704</v>
      </c>
      <c r="G107" s="25" t="n">
        <f aca="false">G108*G18</f>
        <v>29800.0406895724</v>
      </c>
      <c r="H107" s="25" t="n">
        <f aca="false">H108*H18</f>
        <v>33581.355932656</v>
      </c>
      <c r="I107" s="25" t="n">
        <f aca="false">I108*I18</f>
        <v>37842.4807544083</v>
      </c>
      <c r="J107" s="25" t="n">
        <f aca="false">J108*J18</f>
        <v>42644.2980003429</v>
      </c>
      <c r="N107" s="50"/>
      <c r="O107" s="50"/>
      <c r="P107" s="50"/>
    </row>
    <row r="108" customFormat="false" ht="15" hidden="false" customHeight="false" outlineLevel="0" collapsed="false">
      <c r="B108" s="28" t="s">
        <v>82</v>
      </c>
      <c r="C108" s="54" t="n">
        <f aca="false">C107/C18</f>
        <v>0.032121575893595</v>
      </c>
      <c r="D108" s="54" t="n">
        <f aca="false">D107/D18</f>
        <v>0.0324393887381478</v>
      </c>
      <c r="E108" s="54" t="n">
        <f aca="false">E107/E18</f>
        <v>0.0332754936367035</v>
      </c>
      <c r="F108" s="33" t="n">
        <f aca="false">E108</f>
        <v>0.0332754936367035</v>
      </c>
      <c r="G108" s="33" t="n">
        <f aca="false">F108</f>
        <v>0.0332754936367035</v>
      </c>
      <c r="H108" s="33" t="n">
        <f aca="false">G108</f>
        <v>0.0332754936367035</v>
      </c>
      <c r="I108" s="33" t="n">
        <f aca="false">H108</f>
        <v>0.0332754936367035</v>
      </c>
      <c r="J108" s="33" t="n">
        <f aca="false">I108</f>
        <v>0.0332754936367035</v>
      </c>
    </row>
    <row r="109" customFormat="false" ht="15" hidden="false" customHeight="false" outlineLevel="0" collapsed="false">
      <c r="B109" s="30" t="s">
        <v>83</v>
      </c>
      <c r="C109" s="40" t="n">
        <f aca="false">C33</f>
        <v>48663</v>
      </c>
      <c r="D109" s="40" t="n">
        <f aca="false">D33</f>
        <v>52795</v>
      </c>
      <c r="E109" s="40" t="n">
        <f aca="false">E33</f>
        <v>65756</v>
      </c>
      <c r="F109" s="26" t="n">
        <f aca="false">-F101+F107</f>
        <v>86990.2580172689</v>
      </c>
      <c r="G109" s="26" t="n">
        <f aca="false">-G101+G107</f>
        <v>94008.7770834064</v>
      </c>
      <c r="H109" s="26" t="n">
        <f aca="false">-H101+H107</f>
        <v>107411.247389416</v>
      </c>
      <c r="I109" s="26" t="n">
        <f aca="false">-I101+I107</f>
        <v>125444.265290766</v>
      </c>
      <c r="J109" s="26" t="n">
        <f aca="false">-J101+J107</f>
        <v>146324.262713652</v>
      </c>
    </row>
    <row r="110" customFormat="false" ht="15" hidden="false" customHeight="false" outlineLevel="0" collapsed="false">
      <c r="B110" s="29"/>
      <c r="C110" s="27"/>
      <c r="D110" s="27"/>
      <c r="E110" s="27"/>
      <c r="G110" s="27"/>
      <c r="H110" s="27"/>
      <c r="I110" s="27"/>
      <c r="J110" s="27"/>
    </row>
    <row r="111" customFormat="false" ht="15" hidden="false" customHeight="false" outlineLevel="0" collapsed="false">
      <c r="B111" s="55" t="s">
        <v>84</v>
      </c>
      <c r="C111" s="15"/>
      <c r="D111" s="15"/>
      <c r="E111" s="15"/>
      <c r="G111" s="27"/>
      <c r="H111" s="27"/>
      <c r="I111" s="27"/>
      <c r="J111" s="27"/>
    </row>
    <row r="112" customFormat="false" ht="15" hidden="false" customHeight="false" outlineLevel="0" collapsed="false">
      <c r="B112" s="29" t="s">
        <v>74</v>
      </c>
      <c r="C112" s="27"/>
      <c r="F112" s="56" t="n">
        <f aca="false">E115</f>
        <v>231934</v>
      </c>
      <c r="G112" s="56" t="n">
        <f aca="false">F115</f>
        <v>260445.95741156</v>
      </c>
      <c r="H112" s="56" t="n">
        <f aca="false">G115</f>
        <v>289723.450590849</v>
      </c>
      <c r="I112" s="56" t="n">
        <f aca="false">H115</f>
        <v>326486.343346941</v>
      </c>
      <c r="J112" s="56" t="n">
        <f aca="false">I115</f>
        <v>367914.064859697</v>
      </c>
    </row>
    <row r="113" customFormat="false" ht="15" hidden="false" customHeight="false" outlineLevel="0" collapsed="false">
      <c r="B113" s="28" t="s">
        <v>85</v>
      </c>
      <c r="F113" s="27" t="n">
        <f aca="false">-(F107)</f>
        <v>-26788.65004704</v>
      </c>
      <c r="G113" s="27" t="n">
        <f aca="false">-(G107)</f>
        <v>-29800.0406895724</v>
      </c>
      <c r="H113" s="27" t="n">
        <f aca="false">-(H107)</f>
        <v>-33581.355932656</v>
      </c>
      <c r="I113" s="27" t="n">
        <f aca="false">-(I107)</f>
        <v>-37842.4807544083</v>
      </c>
      <c r="J113" s="27" t="n">
        <f aca="false">-(J107)</f>
        <v>-42644.2980003429</v>
      </c>
    </row>
    <row r="114" customFormat="false" ht="15" hidden="false" customHeight="true" outlineLevel="0" collapsed="false">
      <c r="B114" s="44" t="s">
        <v>86</v>
      </c>
      <c r="C114" s="57"/>
      <c r="D114" s="57"/>
      <c r="E114" s="57"/>
      <c r="F114" s="58" t="n">
        <f aca="false">F115-F113-F112</f>
        <v>55300.6074586</v>
      </c>
      <c r="G114" s="58" t="n">
        <f aca="false">G115-G113-G112</f>
        <v>59077.5338688611</v>
      </c>
      <c r="H114" s="58" t="n">
        <f aca="false">H115-H113-H112</f>
        <v>70344.2486887485</v>
      </c>
      <c r="I114" s="58" t="n">
        <f aca="false">I115-I113-I112</f>
        <v>79270.2022671644</v>
      </c>
      <c r="J114" s="58" t="n">
        <f aca="false">J115-J113-J112</f>
        <v>89328.7665247639</v>
      </c>
    </row>
    <row r="115" customFormat="false" ht="15" hidden="false" customHeight="false" outlineLevel="0" collapsed="false">
      <c r="B115" s="47" t="s">
        <v>77</v>
      </c>
      <c r="D115" s="40" t="n">
        <f aca="false">D52</f>
        <v>181362</v>
      </c>
      <c r="E115" s="40" t="n">
        <f aca="false">E52</f>
        <v>231934</v>
      </c>
      <c r="F115" s="40" t="n">
        <f aca="false">F52</f>
        <v>260445.95741156</v>
      </c>
      <c r="G115" s="40" t="n">
        <f aca="false">G52</f>
        <v>289723.450590849</v>
      </c>
      <c r="H115" s="40" t="n">
        <f aca="false">H52</f>
        <v>326486.343346941</v>
      </c>
      <c r="I115" s="40" t="n">
        <f aca="false">I52</f>
        <v>367914.064859697</v>
      </c>
      <c r="J115" s="40" t="n">
        <f aca="false">J52</f>
        <v>414598.533384118</v>
      </c>
    </row>
    <row r="116" customFormat="false" ht="15" hidden="false" customHeight="false" outlineLevel="0" collapsed="false">
      <c r="B116" s="28"/>
      <c r="D116" s="27"/>
      <c r="E116" s="27"/>
      <c r="G116" s="27"/>
      <c r="H116" s="27"/>
      <c r="I116" s="27"/>
      <c r="J116" s="27"/>
    </row>
    <row r="117" customFormat="false" ht="15" hidden="false" customHeight="false" outlineLevel="0" collapsed="false">
      <c r="B117" s="59" t="s">
        <v>87</v>
      </c>
      <c r="C117" s="55"/>
      <c r="D117" s="55"/>
      <c r="E117" s="55"/>
      <c r="F117" s="15"/>
      <c r="G117" s="15"/>
      <c r="H117" s="15"/>
      <c r="I117" s="15"/>
      <c r="J117" s="15"/>
    </row>
    <row r="118" customFormat="false" ht="15" hidden="false" customHeight="false" outlineLevel="0" collapsed="false">
      <c r="B118" s="29" t="s">
        <v>74</v>
      </c>
      <c r="F118" s="27" t="n">
        <f aca="false">E122</f>
        <v>250536</v>
      </c>
      <c r="G118" s="27" t="n">
        <f aca="false">F122</f>
        <v>345135.015721054</v>
      </c>
      <c r="H118" s="27" t="n">
        <f aca="false">G122</f>
        <v>452447.494256296</v>
      </c>
      <c r="I118" s="27" t="n">
        <f aca="false">H122</f>
        <v>585837.758438597</v>
      </c>
      <c r="J118" s="27" t="n">
        <f aca="false">I122</f>
        <v>735211.013818817</v>
      </c>
    </row>
    <row r="119" customFormat="false" ht="15" hidden="false" customHeight="false" outlineLevel="0" collapsed="false">
      <c r="B119" s="28" t="s">
        <v>88</v>
      </c>
      <c r="C119" s="25" t="n">
        <f aca="false">C31</f>
        <v>30425</v>
      </c>
      <c r="D119" s="25" t="n">
        <f aca="false">D31</f>
        <v>59248</v>
      </c>
      <c r="E119" s="25" t="n">
        <f aca="false">E31</f>
        <v>77670</v>
      </c>
      <c r="F119" s="27" t="n">
        <f aca="false">F31</f>
        <v>94599.0157210538</v>
      </c>
      <c r="G119" s="27" t="n">
        <f aca="false">G31</f>
        <v>107312.478535242</v>
      </c>
      <c r="H119" s="27" t="n">
        <f aca="false">H31</f>
        <v>133390.264182301</v>
      </c>
      <c r="I119" s="27" t="n">
        <f aca="false">I31</f>
        <v>149373.25538022</v>
      </c>
      <c r="J119" s="27" t="n">
        <f aca="false">J31</f>
        <v>167499.185929152</v>
      </c>
    </row>
    <row r="120" customFormat="false" ht="15" hidden="false" customHeight="false" outlineLevel="0" collapsed="false">
      <c r="B120" s="28" t="s">
        <v>89</v>
      </c>
      <c r="C120" s="7" t="n">
        <v>0</v>
      </c>
      <c r="D120" s="7" t="n">
        <v>0</v>
      </c>
      <c r="E120" s="7" t="n">
        <v>0</v>
      </c>
      <c r="F120" s="27" t="n">
        <f aca="false">E120</f>
        <v>0</v>
      </c>
      <c r="G120" s="27" t="n">
        <f aca="false">F120</f>
        <v>0</v>
      </c>
      <c r="H120" s="27" t="n">
        <f aca="false">G120</f>
        <v>0</v>
      </c>
      <c r="I120" s="27" t="n">
        <f aca="false">H120</f>
        <v>0</v>
      </c>
      <c r="J120" s="27" t="n">
        <f aca="false">I120</f>
        <v>0</v>
      </c>
    </row>
    <row r="121" customFormat="false" ht="15" hidden="false" customHeight="false" outlineLevel="0" collapsed="false">
      <c r="B121" s="44" t="s">
        <v>90</v>
      </c>
      <c r="C121" s="45" t="n">
        <v>0</v>
      </c>
      <c r="D121" s="45" t="n">
        <v>0</v>
      </c>
      <c r="E121" s="45" t="n">
        <v>0</v>
      </c>
      <c r="F121" s="46" t="n">
        <f aca="false">E121</f>
        <v>0</v>
      </c>
      <c r="G121" s="46" t="n">
        <f aca="false">F121</f>
        <v>0</v>
      </c>
      <c r="H121" s="46" t="n">
        <f aca="false">G121</f>
        <v>0</v>
      </c>
      <c r="I121" s="46" t="n">
        <f aca="false">H121</f>
        <v>0</v>
      </c>
      <c r="J121" s="46" t="n">
        <f aca="false">I121</f>
        <v>0</v>
      </c>
    </row>
    <row r="122" customFormat="false" ht="15" hidden="false" customHeight="false" outlineLevel="0" collapsed="false">
      <c r="B122" s="47" t="s">
        <v>77</v>
      </c>
      <c r="C122" s="26" t="n">
        <f aca="false">C66</f>
        <v>0</v>
      </c>
      <c r="D122" s="26" t="n">
        <f aca="false">D66</f>
        <v>172866</v>
      </c>
      <c r="E122" s="26" t="n">
        <f aca="false">E66</f>
        <v>250536</v>
      </c>
      <c r="F122" s="40" t="n">
        <f aca="false">SUM(F118:F121)</f>
        <v>345135.015721054</v>
      </c>
      <c r="G122" s="40" t="n">
        <f aca="false">SUM(G118:G121)</f>
        <v>452447.494256296</v>
      </c>
      <c r="H122" s="40" t="n">
        <f aca="false">SUM(H118:H121)</f>
        <v>585837.758438597</v>
      </c>
      <c r="I122" s="40" t="n">
        <f aca="false">SUM(I118:I121)</f>
        <v>735211.013818817</v>
      </c>
      <c r="J122" s="40" t="n">
        <f aca="false">SUM(J118:J121)</f>
        <v>902710.199747969</v>
      </c>
    </row>
    <row r="123" customFormat="false" ht="15" hidden="false" customHeight="false" outlineLevel="0" collapsed="false">
      <c r="D123" s="42"/>
      <c r="E123" s="42"/>
    </row>
    <row r="124" customFormat="false" ht="15" hidden="false" customHeight="false" outlineLevel="0" collapsed="false">
      <c r="C124" s="27"/>
      <c r="D124" s="27"/>
      <c r="E124" s="60"/>
      <c r="F124" s="61"/>
      <c r="G124" s="61"/>
      <c r="H124" s="61"/>
      <c r="I124" s="61"/>
      <c r="J124" s="61"/>
      <c r="R124" s="42"/>
    </row>
    <row r="125" customFormat="false" ht="15" hidden="false" customHeight="false" outlineLevel="0" collapsed="false">
      <c r="B125" s="14" t="s">
        <v>91</v>
      </c>
      <c r="C125" s="52"/>
      <c r="D125" s="52"/>
      <c r="E125" s="52"/>
      <c r="F125" s="62"/>
      <c r="G125" s="62"/>
      <c r="H125" s="62"/>
      <c r="I125" s="62"/>
      <c r="J125" s="62"/>
      <c r="Q125" s="63"/>
    </row>
    <row r="126" customFormat="false" ht="15" hidden="false" customHeight="false" outlineLevel="0" collapsed="false">
      <c r="B126" s="36" t="str">
        <f aca="false">B15</f>
        <v>Fiscal year  </v>
      </c>
      <c r="C126" s="37" t="n">
        <f aca="false">C15</f>
        <v>2023</v>
      </c>
      <c r="D126" s="37" t="n">
        <f aca="false">D15</f>
        <v>2024</v>
      </c>
      <c r="E126" s="37" t="n">
        <f aca="false">E15</f>
        <v>2025</v>
      </c>
      <c r="F126" s="38" t="n">
        <f aca="false">F15</f>
        <v>2026</v>
      </c>
      <c r="G126" s="38" t="n">
        <f aca="false">G15</f>
        <v>2027</v>
      </c>
      <c r="H126" s="38" t="n">
        <f aca="false">H15</f>
        <v>2028</v>
      </c>
      <c r="I126" s="38" t="n">
        <f aca="false">I15</f>
        <v>2029</v>
      </c>
      <c r="J126" s="38" t="n">
        <f aca="false">J15</f>
        <v>2030</v>
      </c>
      <c r="Q126" s="63"/>
      <c r="R126" s="42"/>
    </row>
    <row r="127" customFormat="false" ht="15" hidden="false" customHeight="false" outlineLevel="0" collapsed="false">
      <c r="B127" s="15" t="str">
        <f aca="false">B16</f>
        <v>Fiscal year end date</v>
      </c>
      <c r="C127" s="39" t="n">
        <f aca="false">C16</f>
        <v>45291</v>
      </c>
      <c r="D127" s="39" t="n">
        <f aca="false">D16</f>
        <v>45657</v>
      </c>
      <c r="E127" s="39" t="n">
        <f aca="false">E16</f>
        <v>46022</v>
      </c>
      <c r="F127" s="39" t="n">
        <f aca="false">F16</f>
        <v>46387</v>
      </c>
      <c r="G127" s="39" t="n">
        <f aca="false">G16</f>
        <v>46752</v>
      </c>
      <c r="H127" s="39" t="n">
        <f aca="false">H16</f>
        <v>47118</v>
      </c>
      <c r="I127" s="39" t="n">
        <f aca="false">I16</f>
        <v>47483</v>
      </c>
      <c r="J127" s="39" t="n">
        <f aca="false">J16</f>
        <v>47848</v>
      </c>
      <c r="Q127" s="63"/>
    </row>
    <row r="128" customFormat="false" ht="15" hidden="false" customHeight="false" outlineLevel="0" collapsed="false">
      <c r="B128" s="28"/>
      <c r="C128" s="27"/>
      <c r="D128" s="27"/>
      <c r="E128" s="27"/>
      <c r="F128" s="64"/>
      <c r="G128" s="64"/>
      <c r="H128" s="64"/>
      <c r="I128" s="64"/>
      <c r="J128" s="64"/>
      <c r="Q128" s="63"/>
    </row>
    <row r="129" customFormat="false" ht="15" hidden="false" customHeight="false" outlineLevel="0" collapsed="false">
      <c r="B129" s="29" t="s">
        <v>92</v>
      </c>
      <c r="C129" s="27" t="n">
        <f aca="false">-(C26)</f>
        <v>3182</v>
      </c>
      <c r="D129" s="27" t="n">
        <f aca="false">-(D26)</f>
        <v>2406</v>
      </c>
      <c r="E129" s="27" t="n">
        <f aca="false">-(E26)</f>
        <v>2274</v>
      </c>
      <c r="F129" s="27" t="n">
        <f aca="false">F134</f>
        <v>-2524.43205857734</v>
      </c>
      <c r="G129" s="27" t="n">
        <f aca="false">G134</f>
        <v>-2524.43205857734</v>
      </c>
      <c r="H129" s="27" t="n">
        <f aca="false">H134</f>
        <v>-2524.43205857734</v>
      </c>
      <c r="I129" s="27" t="n">
        <f aca="false">I134</f>
        <v>-2524.43205857734</v>
      </c>
      <c r="J129" s="27" t="n">
        <f aca="false">J134</f>
        <v>-2524.43205857734</v>
      </c>
      <c r="Q129" s="42"/>
    </row>
    <row r="130" customFormat="false" ht="15" hidden="false" customHeight="false" outlineLevel="0" collapsed="false">
      <c r="B130" s="65"/>
      <c r="C130" s="27"/>
      <c r="D130" s="27"/>
      <c r="E130" s="27"/>
    </row>
    <row r="131" customFormat="false" ht="15" hidden="false" customHeight="false" outlineLevel="0" collapsed="false">
      <c r="B131" s="66" t="s">
        <v>67</v>
      </c>
      <c r="C131" s="27"/>
      <c r="D131" s="27"/>
      <c r="E131" s="27"/>
    </row>
    <row r="132" customFormat="false" ht="15" hidden="false" customHeight="false" outlineLevel="0" collapsed="false">
      <c r="B132" s="28" t="s">
        <v>93</v>
      </c>
      <c r="C132" s="27"/>
      <c r="D132" s="27" t="n">
        <f aca="false">D59</f>
        <v>52623</v>
      </c>
      <c r="E132" s="27" t="n">
        <f aca="false">E59</f>
        <v>65648</v>
      </c>
      <c r="F132" s="27" t="n">
        <f aca="false">F59</f>
        <v>65648</v>
      </c>
      <c r="G132" s="27" t="n">
        <f aca="false">G59</f>
        <v>65648</v>
      </c>
      <c r="H132" s="27" t="n">
        <f aca="false">H59</f>
        <v>65648</v>
      </c>
      <c r="I132" s="27" t="n">
        <f aca="false">I59</f>
        <v>65648</v>
      </c>
      <c r="J132" s="27" t="n">
        <f aca="false">J59</f>
        <v>65648</v>
      </c>
    </row>
    <row r="133" customFormat="false" ht="15" hidden="false" customHeight="false" outlineLevel="0" collapsed="false">
      <c r="B133" s="28" t="s">
        <v>94</v>
      </c>
      <c r="D133" s="54" t="n">
        <f aca="false">D134/AVERAGE(C132:D132)*-1</f>
        <v>0.0457214525967733</v>
      </c>
      <c r="E133" s="54" t="n">
        <f aca="false">E134/AVERAGE(D132:E132)*-1</f>
        <v>0.0384540588986311</v>
      </c>
      <c r="F133" s="67" t="n">
        <f aca="false">E133</f>
        <v>0.0384540588986311</v>
      </c>
      <c r="G133" s="67" t="n">
        <f aca="false">F133</f>
        <v>0.0384540588986311</v>
      </c>
      <c r="H133" s="67" t="n">
        <f aca="false">G133</f>
        <v>0.0384540588986311</v>
      </c>
      <c r="I133" s="67" t="n">
        <f aca="false">H133</f>
        <v>0.0384540588986311</v>
      </c>
      <c r="J133" s="67" t="n">
        <f aca="false">I133</f>
        <v>0.0384540588986311</v>
      </c>
      <c r="Q133" s="63"/>
    </row>
    <row r="134" customFormat="false" ht="15" hidden="false" customHeight="false" outlineLevel="0" collapsed="false">
      <c r="B134" s="47" t="s">
        <v>23</v>
      </c>
      <c r="C134" s="40"/>
      <c r="D134" s="40" t="n">
        <f aca="false">D129*-1</f>
        <v>-2406</v>
      </c>
      <c r="E134" s="40" t="n">
        <f aca="false">E129*-1</f>
        <v>-2274</v>
      </c>
      <c r="F134" s="26" t="n">
        <f aca="false">IF($C$7=1,F133*AVERAGE(E132:F132)*-1,0)</f>
        <v>-2524.43205857734</v>
      </c>
      <c r="G134" s="26" t="n">
        <f aca="false">IF($C$7=1,G133*AVERAGE(F132:G132)*-1,0)</f>
        <v>-2524.43205857734</v>
      </c>
      <c r="H134" s="26" t="n">
        <f aca="false">IF($C$7=1,H133*AVERAGE(G132:H132)*-1,0)</f>
        <v>-2524.43205857734</v>
      </c>
      <c r="I134" s="26" t="n">
        <f aca="false">IF($C$7=1,I133*AVERAGE(H132:I132)*-1,0)</f>
        <v>-2524.43205857734</v>
      </c>
      <c r="J134" s="26" t="n">
        <f aca="false">IF($C$7=1,J133*AVERAGE(I132:J132)*-1,0)</f>
        <v>-2524.43205857734</v>
      </c>
    </row>
    <row r="135" customFormat="false" ht="15" hidden="false" customHeight="false" outlineLevel="0" collapsed="false">
      <c r="D135" s="27"/>
    </row>
    <row r="136" customFormat="false" ht="15" hidden="false" customHeight="false" outlineLevel="0" collapsed="false">
      <c r="B136" s="68" t="s">
        <v>95</v>
      </c>
      <c r="D136" s="27"/>
      <c r="E136" s="27"/>
    </row>
    <row r="137" customFormat="false" ht="15" hidden="false" customHeight="true" outlineLevel="0" collapsed="false">
      <c r="B137" s="28" t="s">
        <v>96</v>
      </c>
      <c r="C137" s="69" t="n">
        <v>0.03</v>
      </c>
      <c r="D137" s="70" t="n">
        <v>0.03</v>
      </c>
      <c r="E137" s="70" t="n">
        <v>0.03</v>
      </c>
      <c r="F137" s="71" t="n">
        <f aca="false">E137</f>
        <v>0.03</v>
      </c>
      <c r="G137" s="71" t="n">
        <f aca="false">F137</f>
        <v>0.03</v>
      </c>
      <c r="H137" s="71" t="n">
        <f aca="false">G137</f>
        <v>0.03</v>
      </c>
      <c r="I137" s="71" t="n">
        <f aca="false">H137</f>
        <v>0.03</v>
      </c>
      <c r="J137" s="71" t="n">
        <f aca="false">I137</f>
        <v>0.03</v>
      </c>
    </row>
    <row r="138" customFormat="false" ht="15" hidden="false" customHeight="true" outlineLevel="0" collapsed="false">
      <c r="B138" s="28" t="s">
        <v>22</v>
      </c>
      <c r="C138" s="27" t="n">
        <f aca="false">C25</f>
        <v>2949</v>
      </c>
      <c r="D138" s="27" t="n">
        <f aca="false">D25</f>
        <v>4677</v>
      </c>
      <c r="E138" s="27" t="n">
        <f aca="false">E25</f>
        <v>4381</v>
      </c>
      <c r="F138" s="25" t="n">
        <f aca="false">IF($C$7=1,AVERAGE(E48,F48)*F137,0)</f>
        <v>3512.49783503308</v>
      </c>
      <c r="G138" s="25" t="n">
        <f aca="false">IF($C$7=1,AVERAGE(F48,G48)*G137,0)</f>
        <v>3399.51683235778</v>
      </c>
      <c r="H138" s="25" t="n">
        <f aca="false">IF($C$7=1,AVERAGE(G48,H48)*H137,0)</f>
        <v>3823.67804582984</v>
      </c>
      <c r="I138" s="25" t="n">
        <f aca="false">IF($C$7=1,AVERAGE(H48,I48)*I137,0)</f>
        <v>4665.83625014621</v>
      </c>
      <c r="J138" s="25" t="n">
        <f aca="false">IF($C$7=1,AVERAGE(I48,J48)*J137,0)</f>
        <v>5755.96612632746</v>
      </c>
    </row>
    <row r="139" customFormat="false" ht="15" hidden="false" customHeight="false" outlineLevel="0" collapsed="false">
      <c r="B139" s="72"/>
      <c r="C139" s="54"/>
      <c r="D139" s="54"/>
      <c r="E139" s="54"/>
      <c r="F139" s="54"/>
      <c r="G139" s="54"/>
    </row>
    <row r="140" customFormat="false" ht="15" hidden="false" customHeight="false" outlineLevel="0" collapsed="false">
      <c r="B140" s="14" t="s">
        <v>97</v>
      </c>
      <c r="C140" s="14"/>
      <c r="D140" s="14"/>
      <c r="E140" s="14"/>
      <c r="F140" s="14"/>
      <c r="G140" s="14"/>
      <c r="H140" s="14"/>
      <c r="I140" s="14"/>
      <c r="J140" s="14"/>
    </row>
    <row r="141" customFormat="false" ht="15" hidden="false" customHeight="false" outlineLevel="0" collapsed="false">
      <c r="B141" s="13"/>
    </row>
    <row r="142" customFormat="false" ht="15" hidden="false" customHeight="false" outlineLevel="0" collapsed="false">
      <c r="B142" s="73" t="s">
        <v>98</v>
      </c>
      <c r="C142" s="74"/>
      <c r="D142" s="74"/>
      <c r="E142" s="74"/>
      <c r="F142" s="74"/>
      <c r="G142" s="74"/>
      <c r="H142" s="74"/>
    </row>
    <row r="143" customFormat="false" ht="15" hidden="false" customHeight="false" outlineLevel="0" collapsed="false">
      <c r="C143" s="13"/>
      <c r="D143" s="75" t="s">
        <v>99</v>
      </c>
      <c r="E143" s="75"/>
      <c r="F143" s="75"/>
      <c r="G143" s="75"/>
      <c r="H143" s="75"/>
    </row>
    <row r="144" customFormat="false" ht="15.75" hidden="false" customHeight="true" outlineLevel="0" collapsed="false">
      <c r="C144" s="76" t="n">
        <f aca="false">F31</f>
        <v>94599.0157210538</v>
      </c>
      <c r="D144" s="77" t="n">
        <v>-0.05</v>
      </c>
      <c r="E144" s="77" t="n">
        <v>-0.025</v>
      </c>
      <c r="F144" s="77" t="n">
        <v>0</v>
      </c>
      <c r="G144" s="77" t="n">
        <v>0.025</v>
      </c>
      <c r="H144" s="77" t="n">
        <v>0.05</v>
      </c>
    </row>
    <row r="145" customFormat="false" ht="15" hidden="false" customHeight="false" outlineLevel="0" collapsed="false">
      <c r="B145" s="78"/>
      <c r="C145" s="79" t="n">
        <v>0.39</v>
      </c>
      <c r="D145" s="80" t="n">
        <v>103797.445795381</v>
      </c>
      <c r="E145" s="80" t="n">
        <v>106200.765341326</v>
      </c>
      <c r="F145" s="80" t="n">
        <v>108604.084887271</v>
      </c>
      <c r="G145" s="80" t="n">
        <v>111007.404433217</v>
      </c>
      <c r="H145" s="80" t="n">
        <v>113410.723979162</v>
      </c>
    </row>
    <row r="146" customFormat="false" ht="15" hidden="false" customHeight="false" outlineLevel="0" collapsed="false">
      <c r="B146" s="81" t="s">
        <v>100</v>
      </c>
      <c r="C146" s="79" t="n">
        <v>0.385</v>
      </c>
      <c r="D146" s="80" t="n">
        <v>100996.664832605</v>
      </c>
      <c r="E146" s="80" t="n">
        <v>103326.279616372</v>
      </c>
      <c r="F146" s="80" t="n">
        <v>105655.894400139</v>
      </c>
      <c r="G146" s="80" t="n">
        <v>107985.509183906</v>
      </c>
      <c r="H146" s="80" t="n">
        <v>110315.123967673</v>
      </c>
    </row>
    <row r="147" customFormat="false" ht="15" hidden="false" customHeight="false" outlineLevel="0" collapsed="false">
      <c r="B147" s="81" t="s">
        <v>101</v>
      </c>
      <c r="C147" s="79" t="n">
        <v>0.38</v>
      </c>
      <c r="D147" s="80" t="n">
        <v>98195.8838698292</v>
      </c>
      <c r="E147" s="80" t="n">
        <v>100451.793891418</v>
      </c>
      <c r="F147" s="80" t="n">
        <v>102707.703913007</v>
      </c>
      <c r="G147" s="80" t="n">
        <v>104963.613934596</v>
      </c>
      <c r="H147" s="80" t="n">
        <v>107219.523956184</v>
      </c>
    </row>
    <row r="148" customFormat="false" ht="15" hidden="false" customHeight="false" outlineLevel="0" collapsed="false">
      <c r="B148" s="81" t="s">
        <v>102</v>
      </c>
      <c r="C148" s="79" t="n">
        <v>0.375</v>
      </c>
      <c r="D148" s="80" t="n">
        <v>95395.1029070534</v>
      </c>
      <c r="E148" s="80" t="n">
        <v>97577.3081664637</v>
      </c>
      <c r="F148" s="80" t="n">
        <v>99759.5134258743</v>
      </c>
      <c r="G148" s="80" t="n">
        <v>101941.718685285</v>
      </c>
      <c r="H148" s="80" t="n">
        <v>104123.923944695</v>
      </c>
    </row>
    <row r="149" customFormat="false" ht="15" hidden="false" customHeight="false" outlineLevel="0" collapsed="false">
      <c r="C149" s="79" t="n">
        <v>0.37</v>
      </c>
      <c r="D149" s="80" t="n">
        <v>92594.3219442776</v>
      </c>
      <c r="E149" s="80" t="n">
        <v>94702.8224415097</v>
      </c>
      <c r="F149" s="80" t="n">
        <v>96811.3229387419</v>
      </c>
      <c r="G149" s="80" t="n">
        <v>98919.8234359741</v>
      </c>
      <c r="H149" s="80" t="n">
        <v>101028.323933206</v>
      </c>
    </row>
    <row r="150" customFormat="false" ht="15" hidden="false" customHeight="false" outlineLevel="0" collapsed="false">
      <c r="C150" s="79" t="n">
        <v>0.365</v>
      </c>
      <c r="D150" s="80" t="n">
        <v>89793.5409815018</v>
      </c>
      <c r="E150" s="80" t="n">
        <v>91828.3367165556</v>
      </c>
      <c r="F150" s="80" t="n">
        <v>93863.1324516095</v>
      </c>
      <c r="G150" s="80" t="n">
        <v>95897.9281866634</v>
      </c>
      <c r="H150" s="80" t="n">
        <v>97932.7239217174</v>
      </c>
    </row>
    <row r="152" customFormat="false" ht="15" hidden="false" customHeight="false" outlineLevel="0" collapsed="false">
      <c r="B152" s="14" t="s">
        <v>103</v>
      </c>
      <c r="C152" s="14"/>
      <c r="D152" s="14"/>
      <c r="E152" s="14"/>
      <c r="F152" s="14"/>
      <c r="G152" s="14"/>
      <c r="H152" s="14"/>
      <c r="I152" s="14"/>
      <c r="J152" s="14"/>
    </row>
    <row r="154" customFormat="false" ht="15" hidden="false" customHeight="false" outlineLevel="0" collapsed="false">
      <c r="B154" s="0" t="s">
        <v>104</v>
      </c>
      <c r="C154" s="82" t="str">
        <f aca="false">C12</f>
        <v>Base case</v>
      </c>
      <c r="E154" s="83" t="s">
        <v>105</v>
      </c>
      <c r="F154" s="38" t="n">
        <f aca="false">F15</f>
        <v>2026</v>
      </c>
      <c r="G154" s="38" t="n">
        <f aca="false">G15</f>
        <v>2027</v>
      </c>
      <c r="H154" s="38" t="n">
        <f aca="false">H15</f>
        <v>2028</v>
      </c>
      <c r="I154" s="38" t="n">
        <f aca="false">I15</f>
        <v>2029</v>
      </c>
      <c r="J154" s="38" t="n">
        <f aca="false">J15</f>
        <v>2030</v>
      </c>
    </row>
    <row r="155" customFormat="false" ht="15" hidden="false" customHeight="false" outlineLevel="0" collapsed="false">
      <c r="D155" s="84"/>
      <c r="E155" s="85" t="s">
        <v>106</v>
      </c>
      <c r="F155" s="39" t="n">
        <f aca="false">F16</f>
        <v>46387</v>
      </c>
      <c r="G155" s="39" t="n">
        <f aca="false">G16</f>
        <v>46752</v>
      </c>
      <c r="H155" s="39" t="n">
        <f aca="false">H16</f>
        <v>47118</v>
      </c>
      <c r="I155" s="39" t="n">
        <f aca="false">I16</f>
        <v>47483</v>
      </c>
      <c r="J155" s="39" t="n">
        <f aca="false">J16</f>
        <v>47848</v>
      </c>
    </row>
    <row r="156" customFormat="false" ht="15" hidden="false" customHeight="false" outlineLevel="0" collapsed="false">
      <c r="B156" s="28" t="s">
        <v>34</v>
      </c>
      <c r="E156" s="86" t="str">
        <f aca="true">OFFSET(E$161,MATCH($C$12,$B$162:$B$164,0)+MATCH($B156,$B$161:$B$176,0)-1,0)</f>
        <v>NM</v>
      </c>
      <c r="F156" s="87" t="n">
        <f aca="true">OFFSET(F$161,MATCH($C$12,$B$162:$B$164,0)+MATCH($B156,$B$161:$B$176,0)-1,0)</f>
        <v>0.12293134</v>
      </c>
      <c r="G156" s="87" t="n">
        <f aca="true">OFFSET(G$161,MATCH($C$12,$B$162:$B$164,0)+MATCH($B156,$B$161:$B$176,0)-1,0)</f>
        <v>0.11241293</v>
      </c>
      <c r="H156" s="87" t="n">
        <f aca="true">OFFSET(H$161,MATCH($C$12,$B$162:$B$164,0)+MATCH($B156,$B$161:$B$176,0)-1,0)</f>
        <v>0.1268896</v>
      </c>
      <c r="I156" s="87" t="n">
        <f aca="true">OFFSET(I$161,MATCH($C$12,$B$162:$B$164,0)+MATCH($B156,$B$161:$B$176,0)-1,0)</f>
        <v>0.1268896</v>
      </c>
      <c r="J156" s="87" t="n">
        <f aca="true">OFFSET(J$161,MATCH($C$12,$B$162:$B$164,0)+MATCH($B156,$B$161:$B$176,0)-1,0)</f>
        <v>0.1268896</v>
      </c>
      <c r="L156" s="88"/>
      <c r="M156" s="88"/>
      <c r="N156" s="88"/>
      <c r="O156" s="88"/>
    </row>
    <row r="157" customFormat="false" ht="15" hidden="false" customHeight="false" outlineLevel="0" collapsed="false">
      <c r="B157" s="28" t="s">
        <v>35</v>
      </c>
      <c r="E157" s="86" t="str">
        <f aca="true">OFFSET(E$161,MATCH($C$12,$B$162:$B$164,0)+MATCH($B157,$B$161:$B$176,0)-1,0)</f>
        <v>NM</v>
      </c>
      <c r="F157" s="87" t="n">
        <f aca="true">OFFSET(F$161,MATCH($C$12,$B$162:$B$164,0)+MATCH($B157,$B$161:$B$176,0)-1,0)</f>
        <v>0.351</v>
      </c>
      <c r="G157" s="87" t="n">
        <f aca="true">OFFSET(G$161,MATCH($C$12,$B$162:$B$164,0)+MATCH($B157,$B$161:$B$176,0)-1,0)</f>
        <v>0.36</v>
      </c>
      <c r="H157" s="87" t="n">
        <f aca="true">OFFSET(H$161,MATCH($C$12,$B$162:$B$164,0)+MATCH($B157,$B$161:$B$176,0)-1,0)</f>
        <v>0.37</v>
      </c>
      <c r="I157" s="87" t="n">
        <f aca="true">OFFSET(I$161,MATCH($C$12,$B$162:$B$164,0)+MATCH($B157,$B$161:$B$176,0)-1,0)</f>
        <v>0.37</v>
      </c>
      <c r="J157" s="87" t="n">
        <f aca="true">OFFSET(J$161,MATCH($C$12,$B$162:$B$164,0)+MATCH($B157,$B$161:$B$176,0)-1,0)</f>
        <v>0.37</v>
      </c>
      <c r="L157" s="88"/>
      <c r="M157" s="88"/>
      <c r="N157" s="88"/>
      <c r="O157" s="88"/>
    </row>
    <row r="158" customFormat="false" ht="15" hidden="false" customHeight="false" outlineLevel="0" collapsed="false">
      <c r="B158" s="28" t="s">
        <v>107</v>
      </c>
      <c r="E158" s="86" t="str">
        <f aca="true">OFFSET(E$161,MATCH($C$12,$B$162:$B$164,0)+MATCH($B158,$B$161:$B$176,0)-1,0)</f>
        <v>NM</v>
      </c>
      <c r="F158" s="87" t="n">
        <f aca="true">OFFSET(F$161,MATCH($C$12,$B$162:$B$164,0)+MATCH($B158,$B$161:$B$176,0)-1,0)</f>
        <v>0.15</v>
      </c>
      <c r="G158" s="87" t="n">
        <f aca="true">OFFSET(G$161,MATCH($C$12,$B$162:$B$164,0)+MATCH($B158,$B$161:$B$176,0)-1,0)</f>
        <v>0.155</v>
      </c>
      <c r="H158" s="87" t="n">
        <f aca="true">OFFSET(H$161,MATCH($C$12,$B$162:$B$164,0)+MATCH($B158,$B$161:$B$176,0)-1,0)</f>
        <v>0.157</v>
      </c>
      <c r="I158" s="87" t="n">
        <f aca="true">OFFSET(I$161,MATCH($C$12,$B$162:$B$164,0)+MATCH($B158,$B$161:$B$176,0)-1,0)</f>
        <v>0.157</v>
      </c>
      <c r="J158" s="87" t="n">
        <f aca="true">OFFSET(J$161,MATCH($C$12,$B$162:$B$164,0)+MATCH($B158,$B$161:$B$176,0)-1,0)</f>
        <v>0.157</v>
      </c>
      <c r="L158" s="88"/>
      <c r="M158" s="88"/>
      <c r="N158" s="88"/>
      <c r="O158" s="88"/>
    </row>
    <row r="159" customFormat="false" ht="15" hidden="false" customHeight="false" outlineLevel="0" collapsed="false">
      <c r="B159" s="35" t="s">
        <v>37</v>
      </c>
      <c r="E159" s="86" t="str">
        <f aca="true">OFFSET(E$161,MATCH($C$12,$B$162:$B$164,0)+MATCH($B159,$B$161:$B$176,0)-1,0)</f>
        <v>NM</v>
      </c>
      <c r="F159" s="87" t="n">
        <f aca="true">OFFSET(F$161,MATCH($C$12,$B$162:$B$164,0)+MATCH($B159,$B$161:$B$176,0)-1,0)</f>
        <v>0.0759462290115489</v>
      </c>
      <c r="G159" s="87" t="n">
        <f aca="true">OFFSET(G$161,MATCH($C$12,$B$162:$B$164,0)+MATCH($B159,$B$161:$B$176,0)-1,0)</f>
        <v>0.07464978316579</v>
      </c>
      <c r="H159" s="87" t="n">
        <f aca="true">OFFSET(H$161,MATCH($C$12,$B$162:$B$164,0)+MATCH($B159,$B$161:$B$176,0)-1,0)</f>
        <v>0.0662440961917428</v>
      </c>
      <c r="I159" s="87" t="n">
        <f aca="true">OFFSET(I$161,MATCH($C$12,$B$162:$B$164,0)+MATCH($B159,$B$161:$B$176,0)-1,0)</f>
        <v>0.0662440961917428</v>
      </c>
      <c r="J159" s="87" t="n">
        <f aca="true">OFFSET(J$161,MATCH($C$12,$B$162:$B$164,0)+MATCH($B159,$B$161:$B$176,0)-1,0)</f>
        <v>0.0662440961917428</v>
      </c>
      <c r="L159" s="88"/>
      <c r="M159" s="88"/>
      <c r="N159" s="88"/>
      <c r="O159" s="88"/>
    </row>
    <row r="160" customFormat="false" ht="15" hidden="false" customHeight="false" outlineLevel="0" collapsed="false">
      <c r="E160" s="89"/>
    </row>
    <row r="161" customFormat="false" ht="15" hidden="false" customHeight="false" outlineLevel="0" collapsed="false">
      <c r="B161" s="47" t="s">
        <v>34</v>
      </c>
      <c r="E161" s="89"/>
    </row>
    <row r="162" customFormat="false" ht="15" hidden="false" customHeight="false" outlineLevel="0" collapsed="false">
      <c r="B162" s="65" t="s">
        <v>108</v>
      </c>
      <c r="E162" s="90" t="n">
        <v>0.025</v>
      </c>
      <c r="F162" s="33" t="n">
        <f aca="false">F163+$E$162</f>
        <v>0.14793134</v>
      </c>
      <c r="G162" s="33" t="n">
        <f aca="false">G163+$E$162</f>
        <v>0.13741293</v>
      </c>
      <c r="H162" s="33" t="n">
        <f aca="false">H163+$E$162</f>
        <v>0.1518896</v>
      </c>
      <c r="I162" s="33" t="n">
        <f aca="false">I163+$E$162</f>
        <v>0.1518896</v>
      </c>
      <c r="J162" s="33" t="n">
        <f aca="false">J163+$E$162</f>
        <v>0.1518896</v>
      </c>
    </row>
    <row r="163" customFormat="false" ht="15" hidden="false" customHeight="false" outlineLevel="0" collapsed="false">
      <c r="B163" s="65" t="s">
        <v>11</v>
      </c>
      <c r="E163" s="91" t="s">
        <v>109</v>
      </c>
      <c r="F163" s="34" t="n">
        <f aca="false">0.12293134</f>
        <v>0.12293134</v>
      </c>
      <c r="G163" s="34" t="n">
        <f aca="false">0.11241293</f>
        <v>0.11241293</v>
      </c>
      <c r="H163" s="34" t="n">
        <f aca="false">0.1268896</f>
        <v>0.1268896</v>
      </c>
      <c r="I163" s="33" t="n">
        <f aca="false">H163</f>
        <v>0.1268896</v>
      </c>
      <c r="J163" s="33" t="n">
        <f aca="false">I163</f>
        <v>0.1268896</v>
      </c>
      <c r="N163" s="34"/>
      <c r="O163" s="34"/>
      <c r="P163" s="34"/>
      <c r="Q163" s="34"/>
      <c r="R163" s="34"/>
    </row>
    <row r="164" customFormat="false" ht="15" hidden="false" customHeight="false" outlineLevel="0" collapsed="false">
      <c r="B164" s="65" t="s">
        <v>110</v>
      </c>
      <c r="E164" s="90" t="n">
        <v>-0.025</v>
      </c>
      <c r="F164" s="33" t="n">
        <f aca="false">F163+$E$164</f>
        <v>0.09793134</v>
      </c>
      <c r="G164" s="33" t="n">
        <f aca="false">G163+$E$164</f>
        <v>0.08741293</v>
      </c>
      <c r="H164" s="33" t="n">
        <f aca="false">H163+$E$164</f>
        <v>0.1018896</v>
      </c>
      <c r="I164" s="33" t="n">
        <f aca="false">I163+$E$164</f>
        <v>0.1018896</v>
      </c>
      <c r="J164" s="33" t="n">
        <f aca="false">J163+$E$164</f>
        <v>0.1018896</v>
      </c>
      <c r="N164" s="34"/>
      <c r="O164" s="34"/>
      <c r="P164" s="34"/>
      <c r="Q164" s="34"/>
      <c r="R164" s="34"/>
    </row>
    <row r="165" customFormat="false" ht="15" hidden="false" customHeight="false" outlineLevel="0" collapsed="false">
      <c r="B165" s="47" t="s">
        <v>35</v>
      </c>
      <c r="E165" s="91"/>
      <c r="F165" s="34"/>
      <c r="G165" s="34"/>
      <c r="H165" s="34"/>
      <c r="I165" s="34"/>
      <c r="J165" s="34"/>
      <c r="N165" s="34"/>
      <c r="O165" s="34"/>
      <c r="P165" s="34"/>
      <c r="Q165" s="34"/>
      <c r="R165" s="34"/>
    </row>
    <row r="166" customFormat="false" ht="15" hidden="false" customHeight="false" outlineLevel="0" collapsed="false">
      <c r="B166" s="65" t="s">
        <v>108</v>
      </c>
      <c r="E166" s="90" t="n">
        <v>0.01</v>
      </c>
      <c r="F166" s="33" t="n">
        <f aca="false">F167+$E$166</f>
        <v>0.361</v>
      </c>
      <c r="G166" s="33" t="n">
        <f aca="false">G167+$E$166</f>
        <v>0.37</v>
      </c>
      <c r="H166" s="33" t="n">
        <f aca="false">H167+$E$166</f>
        <v>0.38</v>
      </c>
      <c r="I166" s="33" t="n">
        <f aca="false">I167+$E$166</f>
        <v>0.38</v>
      </c>
      <c r="J166" s="33" t="n">
        <f aca="false">J167+$E$166</f>
        <v>0.38</v>
      </c>
    </row>
    <row r="167" customFormat="false" ht="15" hidden="false" customHeight="false" outlineLevel="0" collapsed="false">
      <c r="B167" s="65" t="s">
        <v>11</v>
      </c>
      <c r="E167" s="91" t="s">
        <v>109</v>
      </c>
      <c r="F167" s="34" t="n">
        <v>0.351</v>
      </c>
      <c r="G167" s="34" t="n">
        <v>0.36</v>
      </c>
      <c r="H167" s="34" t="n">
        <v>0.37</v>
      </c>
      <c r="I167" s="33" t="n">
        <f aca="false">H167</f>
        <v>0.37</v>
      </c>
      <c r="J167" s="33" t="n">
        <f aca="false">I167</f>
        <v>0.37</v>
      </c>
    </row>
    <row r="168" customFormat="false" ht="15" hidden="false" customHeight="false" outlineLevel="0" collapsed="false">
      <c r="B168" s="65" t="s">
        <v>110</v>
      </c>
      <c r="E168" s="90" t="n">
        <v>-0.01</v>
      </c>
      <c r="F168" s="33" t="n">
        <f aca="false">F167+$E$168</f>
        <v>0.341</v>
      </c>
      <c r="G168" s="33" t="n">
        <f aca="false">G167+$E$168</f>
        <v>0.35</v>
      </c>
      <c r="H168" s="33" t="n">
        <f aca="false">H167+$E$168</f>
        <v>0.36</v>
      </c>
      <c r="I168" s="33" t="n">
        <f aca="false">I167+$E$168</f>
        <v>0.36</v>
      </c>
      <c r="J168" s="33" t="n">
        <f aca="false">J167+$E$168</f>
        <v>0.36</v>
      </c>
    </row>
    <row r="169" customFormat="false" ht="15" hidden="false" customHeight="false" outlineLevel="0" collapsed="false">
      <c r="B169" s="47" t="s">
        <v>107</v>
      </c>
      <c r="E169" s="90"/>
      <c r="F169" s="33"/>
      <c r="G169" s="33"/>
      <c r="H169" s="33"/>
      <c r="I169" s="33"/>
      <c r="J169" s="33"/>
    </row>
    <row r="170" customFormat="false" ht="15" hidden="false" customHeight="false" outlineLevel="0" collapsed="false">
      <c r="B170" s="65" t="s">
        <v>108</v>
      </c>
      <c r="E170" s="90" t="n">
        <v>-0.01</v>
      </c>
      <c r="F170" s="33" t="n">
        <f aca="false">F171+$E$166</f>
        <v>0.16</v>
      </c>
      <c r="G170" s="33" t="n">
        <f aca="false">G171+$E$166</f>
        <v>0.165</v>
      </c>
      <c r="H170" s="33" t="n">
        <f aca="false">H171+$E$166</f>
        <v>0.167</v>
      </c>
      <c r="I170" s="33" t="n">
        <f aca="false">I171+$E$166</f>
        <v>0.167</v>
      </c>
      <c r="J170" s="33" t="n">
        <f aca="false">J171+$E$166</f>
        <v>0.167</v>
      </c>
    </row>
    <row r="171" customFormat="false" ht="15" hidden="false" customHeight="false" outlineLevel="0" collapsed="false">
      <c r="B171" s="65" t="s">
        <v>11</v>
      </c>
      <c r="E171" s="91" t="s">
        <v>109</v>
      </c>
      <c r="F171" s="34" t="n">
        <v>0.15</v>
      </c>
      <c r="G171" s="34" t="n">
        <v>0.155</v>
      </c>
      <c r="H171" s="34" t="n">
        <v>0.157</v>
      </c>
      <c r="I171" s="33" t="n">
        <f aca="false">H171</f>
        <v>0.157</v>
      </c>
      <c r="J171" s="33" t="n">
        <f aca="false">I171</f>
        <v>0.157</v>
      </c>
    </row>
    <row r="172" customFormat="false" ht="15" hidden="false" customHeight="false" outlineLevel="0" collapsed="false">
      <c r="B172" s="65" t="s">
        <v>110</v>
      </c>
      <c r="E172" s="90" t="n">
        <v>0.01</v>
      </c>
      <c r="F172" s="33" t="n">
        <f aca="false">F171+$E$168</f>
        <v>0.14</v>
      </c>
      <c r="G172" s="33" t="n">
        <f aca="false">G171+$E$168</f>
        <v>0.145</v>
      </c>
      <c r="H172" s="33" t="n">
        <f aca="false">H171+$E$168</f>
        <v>0.147</v>
      </c>
      <c r="I172" s="33" t="n">
        <f aca="false">I171+$E$168</f>
        <v>0.147</v>
      </c>
      <c r="J172" s="33" t="n">
        <f aca="false">J171+$E$168</f>
        <v>0.147</v>
      </c>
    </row>
    <row r="173" customFormat="false" ht="15" hidden="false" customHeight="false" outlineLevel="0" collapsed="false">
      <c r="B173" s="47" t="s">
        <v>37</v>
      </c>
      <c r="E173" s="91"/>
      <c r="F173" s="92"/>
      <c r="G173" s="92"/>
      <c r="H173" s="92"/>
      <c r="I173" s="92"/>
      <c r="J173" s="92"/>
    </row>
    <row r="174" customFormat="false" ht="15" hidden="false" customHeight="false" outlineLevel="0" collapsed="false">
      <c r="B174" s="65" t="s">
        <v>108</v>
      </c>
      <c r="E174" s="90" t="n">
        <v>-0.01</v>
      </c>
      <c r="F174" s="33" t="n">
        <f aca="false">F175+$E$174</f>
        <v>0.0659462290115489</v>
      </c>
      <c r="G174" s="33" t="n">
        <f aca="false">G175+$E$174</f>
        <v>0.06464978316579</v>
      </c>
      <c r="H174" s="33" t="n">
        <f aca="false">H175+$E$174</f>
        <v>0.0562440961917428</v>
      </c>
      <c r="I174" s="33" t="n">
        <f aca="false">I175+$E$174</f>
        <v>0.0562440961917428</v>
      </c>
      <c r="J174" s="33" t="n">
        <f aca="false">J175+$E$174</f>
        <v>0.0562440961917428</v>
      </c>
    </row>
    <row r="175" customFormat="false" ht="15" hidden="false" customHeight="false" outlineLevel="0" collapsed="false">
      <c r="B175" s="65" t="s">
        <v>11</v>
      </c>
      <c r="E175" s="91" t="s">
        <v>109</v>
      </c>
      <c r="F175" s="34" t="n">
        <v>0.0759462290115489</v>
      </c>
      <c r="G175" s="34" t="n">
        <v>0.07464978316579</v>
      </c>
      <c r="H175" s="34" t="n">
        <v>0.0662440961917428</v>
      </c>
      <c r="I175" s="33" t="n">
        <f aca="false">H175</f>
        <v>0.0662440961917428</v>
      </c>
      <c r="J175" s="33" t="n">
        <f aca="false">I175</f>
        <v>0.0662440961917428</v>
      </c>
    </row>
    <row r="176" customFormat="false" ht="15" hidden="false" customHeight="false" outlineLevel="0" collapsed="false">
      <c r="B176" s="65" t="s">
        <v>110</v>
      </c>
      <c r="E176" s="93" t="n">
        <v>0.01</v>
      </c>
      <c r="F176" s="33" t="n">
        <f aca="false">F175+$E$176</f>
        <v>0.0859462290115489</v>
      </c>
      <c r="G176" s="33" t="n">
        <f aca="false">G175+$E$176</f>
        <v>0.08464978316579</v>
      </c>
      <c r="H176" s="33" t="n">
        <f aca="false">H175+$E$176</f>
        <v>0.0762440961917428</v>
      </c>
      <c r="I176" s="33" t="n">
        <f aca="false">I175+$E$176</f>
        <v>0.0762440961917428</v>
      </c>
      <c r="J176" s="33" t="n">
        <f aca="false">J175+$E$176</f>
        <v>0.0762440961917428</v>
      </c>
    </row>
    <row r="178" customFormat="false" ht="15" hidden="false" customHeight="false" outlineLevel="0" collapsed="false">
      <c r="B178" s="14" t="s">
        <v>111</v>
      </c>
      <c r="C178" s="14"/>
      <c r="D178" s="14"/>
      <c r="E178" s="14"/>
      <c r="F178" s="14"/>
      <c r="G178" s="14"/>
      <c r="H178" s="14"/>
      <c r="I178" s="14"/>
      <c r="J178" s="14"/>
    </row>
    <row r="179" customFormat="false" ht="15" hidden="false" customHeight="false" outlineLevel="0" collapsed="false">
      <c r="B179" s="36" t="str">
        <f aca="false">B15</f>
        <v>Fiscal year  </v>
      </c>
      <c r="C179" s="37" t="n">
        <f aca="false">C15</f>
        <v>2023</v>
      </c>
      <c r="D179" s="37" t="n">
        <f aca="false">D15</f>
        <v>2024</v>
      </c>
      <c r="E179" s="37" t="n">
        <f aca="false">E15</f>
        <v>2025</v>
      </c>
      <c r="F179" s="38" t="n">
        <f aca="false">F15</f>
        <v>2026</v>
      </c>
      <c r="G179" s="38" t="n">
        <f aca="false">G15</f>
        <v>2027</v>
      </c>
      <c r="H179" s="38" t="n">
        <f aca="false">H15</f>
        <v>2028</v>
      </c>
      <c r="I179" s="38" t="n">
        <f aca="false">I15</f>
        <v>2029</v>
      </c>
      <c r="J179" s="38" t="n">
        <f aca="false">J15</f>
        <v>2030</v>
      </c>
    </row>
    <row r="180" customFormat="false" ht="15" hidden="false" customHeight="false" outlineLevel="0" collapsed="false">
      <c r="B180" s="15" t="str">
        <f aca="false">B16</f>
        <v>Fiscal year end date</v>
      </c>
      <c r="C180" s="39" t="n">
        <f aca="false">C16</f>
        <v>45291</v>
      </c>
      <c r="D180" s="39" t="n">
        <f aca="false">D16</f>
        <v>45657</v>
      </c>
      <c r="E180" s="39" t="n">
        <f aca="false">E16</f>
        <v>46022</v>
      </c>
      <c r="F180" s="39" t="n">
        <f aca="false">F16</f>
        <v>46387</v>
      </c>
      <c r="G180" s="39" t="n">
        <f aca="false">G16</f>
        <v>46752</v>
      </c>
      <c r="H180" s="39" t="n">
        <f aca="false">H16</f>
        <v>47118</v>
      </c>
      <c r="I180" s="39" t="n">
        <f aca="false">I16</f>
        <v>47483</v>
      </c>
      <c r="J180" s="39" t="n">
        <f aca="false">J16</f>
        <v>47848</v>
      </c>
    </row>
    <row r="181" customFormat="false" ht="15" hidden="false" customHeight="false" outlineLevel="0" collapsed="false">
      <c r="F181" s="34"/>
      <c r="G181" s="34"/>
      <c r="H181" s="34"/>
      <c r="I181" s="33"/>
      <c r="J181" s="33"/>
    </row>
    <row r="182" customFormat="false" ht="15" hidden="false" customHeight="false" outlineLevel="0" collapsed="false">
      <c r="B182" s="0" t="s">
        <v>28</v>
      </c>
      <c r="C182" s="94" t="n">
        <f aca="false">C31</f>
        <v>30425</v>
      </c>
      <c r="D182" s="94" t="n">
        <f aca="false">D31</f>
        <v>59248</v>
      </c>
      <c r="E182" s="94" t="n">
        <f aca="false">E31</f>
        <v>77670</v>
      </c>
      <c r="F182" s="94" t="n">
        <f aca="false">F31</f>
        <v>94599.0157210538</v>
      </c>
      <c r="G182" s="94" t="n">
        <f aca="false">G31</f>
        <v>107312.478535242</v>
      </c>
      <c r="H182" s="94" t="n">
        <f aca="false">H31</f>
        <v>133390.264182301</v>
      </c>
      <c r="I182" s="94" t="n">
        <f aca="false">I31</f>
        <v>149373.25538022</v>
      </c>
      <c r="J182" s="94" t="n">
        <f aca="false">J31</f>
        <v>167499.185929152</v>
      </c>
    </row>
    <row r="183" customFormat="false" ht="15" hidden="false" customHeight="false" outlineLevel="0" collapsed="false">
      <c r="B183" s="0" t="s">
        <v>112</v>
      </c>
      <c r="C183" s="95" t="n">
        <v>10304</v>
      </c>
      <c r="D183" s="95" t="n">
        <v>10473</v>
      </c>
      <c r="E183" s="95" t="n">
        <v>10656</v>
      </c>
      <c r="F183" s="94" t="n">
        <f aca="false">E183+(-F189+F190)/F191</f>
        <v>10760.095735218</v>
      </c>
      <c r="G183" s="94" t="n">
        <f aca="false">F183+(-G189+G190)/G191</f>
        <v>10860.7891628827</v>
      </c>
      <c r="H183" s="94" t="n">
        <f aca="false">G183+(-H189+H190)/H191</f>
        <v>10959.459055425</v>
      </c>
      <c r="I183" s="94" t="n">
        <f aca="false">H183+(-I189+I190)/I191</f>
        <v>11056.1460778068</v>
      </c>
      <c r="J183" s="94" t="n">
        <f aca="false">I183+(-J189+J190)/J191</f>
        <v>11150.8900777868</v>
      </c>
    </row>
    <row r="184" customFormat="false" ht="15" hidden="false" customHeight="false" outlineLevel="0" collapsed="false">
      <c r="B184" s="13" t="s">
        <v>113</v>
      </c>
      <c r="C184" s="96" t="n">
        <f aca="false">C182/C183</f>
        <v>2.95273680124224</v>
      </c>
      <c r="D184" s="96" t="n">
        <f aca="false">D182/D183</f>
        <v>5.65721378783539</v>
      </c>
      <c r="E184" s="96" t="n">
        <f aca="false">E182/E183</f>
        <v>7.28885135135135</v>
      </c>
      <c r="F184" s="96" t="n">
        <f aca="false">F182/F183</f>
        <v>8.79165186341507</v>
      </c>
      <c r="G184" s="96" t="n">
        <f aca="false">G182/G183</f>
        <v>9.88072569367138</v>
      </c>
      <c r="H184" s="96" t="n">
        <f aca="false">H182/H183</f>
        <v>12.1712452692884</v>
      </c>
      <c r="I184" s="96" t="n">
        <f aca="false">I182/I183</f>
        <v>13.5104270809211</v>
      </c>
      <c r="J184" s="96" t="n">
        <f aca="false">J182/J183</f>
        <v>15.0211494114556</v>
      </c>
    </row>
    <row r="185" customFormat="false" ht="15" hidden="false" customHeight="false" outlineLevel="0" collapsed="false">
      <c r="C185" s="7"/>
      <c r="D185" s="7"/>
      <c r="E185" s="7"/>
      <c r="F185" s="97"/>
      <c r="G185" s="97"/>
      <c r="H185" s="97"/>
      <c r="I185" s="97"/>
      <c r="J185" s="97"/>
      <c r="L185" s="98"/>
    </row>
    <row r="186" customFormat="false" ht="15" hidden="false" customHeight="false" outlineLevel="0" collapsed="false">
      <c r="B186" s="0" t="s">
        <v>114</v>
      </c>
      <c r="C186" s="95" t="n">
        <v>10492</v>
      </c>
      <c r="D186" s="95" t="n">
        <v>10721</v>
      </c>
      <c r="E186" s="95" t="n">
        <v>10827</v>
      </c>
      <c r="F186" s="94" t="n">
        <f aca="false">F183+E186-E183</f>
        <v>10931.095735218</v>
      </c>
      <c r="G186" s="94" t="n">
        <f aca="false">G183+F186-F183</f>
        <v>11031.7891628827</v>
      </c>
      <c r="H186" s="94" t="n">
        <f aca="false">H183+G186-G183</f>
        <v>11130.459055425</v>
      </c>
      <c r="I186" s="94" t="n">
        <f aca="false">I183+H186-H183</f>
        <v>11227.1460778068</v>
      </c>
      <c r="J186" s="94" t="n">
        <f aca="false">J183+I186-I183</f>
        <v>11321.8900777868</v>
      </c>
    </row>
    <row r="187" customFormat="false" ht="15" hidden="false" customHeight="false" outlineLevel="0" collapsed="false">
      <c r="B187" s="13" t="s">
        <v>115</v>
      </c>
      <c r="C187" s="96" t="n">
        <f aca="false">C182/C186</f>
        <v>2.89982844071674</v>
      </c>
      <c r="D187" s="96" t="n">
        <f aca="false">D182/D186</f>
        <v>5.52635015390355</v>
      </c>
      <c r="E187" s="96" t="n">
        <f aca="false">E182/E186</f>
        <v>7.1737323358271</v>
      </c>
      <c r="F187" s="96" t="n">
        <f aca="false">F182/F186</f>
        <v>8.65412013694776</v>
      </c>
      <c r="G187" s="96" t="n">
        <f aca="false">G182/G186</f>
        <v>9.72756793578904</v>
      </c>
      <c r="H187" s="96" t="n">
        <f aca="false">H182/H186</f>
        <v>11.9842554128337</v>
      </c>
      <c r="I187" s="96" t="n">
        <f aca="false">I182/I186</f>
        <v>13.3046505625765</v>
      </c>
      <c r="J187" s="96" t="n">
        <f aca="false">J182/J186</f>
        <v>14.7942777026056</v>
      </c>
    </row>
    <row r="188" customFormat="false" ht="15" hidden="false" customHeight="false" outlineLevel="0" collapsed="false">
      <c r="F188" s="99"/>
    </row>
    <row r="189" customFormat="false" ht="15" hidden="false" customHeight="false" outlineLevel="0" collapsed="false">
      <c r="B189" s="0" t="s">
        <v>116</v>
      </c>
      <c r="F189" s="94" t="n">
        <f aca="false">-(F121)</f>
        <v>-0</v>
      </c>
      <c r="G189" s="94" t="n">
        <f aca="false">-(G121)</f>
        <v>-0</v>
      </c>
      <c r="H189" s="94" t="n">
        <f aca="false">-(H121)</f>
        <v>-0</v>
      </c>
      <c r="I189" s="94" t="n">
        <f aca="false">-(I121)</f>
        <v>-0</v>
      </c>
      <c r="J189" s="94" t="n">
        <f aca="false">-(J121)</f>
        <v>-0</v>
      </c>
    </row>
    <row r="190" customFormat="false" ht="15" hidden="false" customHeight="false" outlineLevel="0" collapsed="false">
      <c r="B190" s="0" t="s">
        <v>117</v>
      </c>
      <c r="F190" s="100" t="n">
        <f aca="false">F35</f>
        <v>21860.10439578</v>
      </c>
      <c r="G190" s="100" t="n">
        <f aca="false">G35</f>
        <v>24317.4627810155</v>
      </c>
      <c r="H190" s="100" t="n">
        <f aca="false">H35</f>
        <v>27403.0959063135</v>
      </c>
      <c r="I190" s="100" t="n">
        <f aca="false">I35</f>
        <v>30880.2637846272</v>
      </c>
      <c r="J190" s="100" t="n">
        <f aca="false">J35</f>
        <v>34798.648104153</v>
      </c>
    </row>
    <row r="191" customFormat="false" ht="15" hidden="false" customHeight="false" outlineLevel="0" collapsed="false">
      <c r="B191" s="0" t="s">
        <v>118</v>
      </c>
      <c r="F191" s="101" t="n">
        <v>210</v>
      </c>
      <c r="G191" s="102" t="n">
        <f aca="false">F191*(1+G192)</f>
        <v>241.5</v>
      </c>
      <c r="H191" s="102" t="n">
        <f aca="false">G191*(1+H192)</f>
        <v>277.725</v>
      </c>
      <c r="I191" s="102" t="n">
        <f aca="false">H191*(1+I192)</f>
        <v>319.38375</v>
      </c>
      <c r="J191" s="102" t="n">
        <f aca="false">I191*(1+J192)</f>
        <v>367.2913125</v>
      </c>
    </row>
    <row r="192" customFormat="false" ht="15" hidden="false" customHeight="false" outlineLevel="0" collapsed="false">
      <c r="B192" s="0" t="s">
        <v>119</v>
      </c>
      <c r="G192" s="103" t="n">
        <v>0.15</v>
      </c>
      <c r="H192" s="103" t="n">
        <v>0.15</v>
      </c>
      <c r="I192" s="103" t="n">
        <v>0.15</v>
      </c>
      <c r="J192" s="103" t="n">
        <v>0.15</v>
      </c>
    </row>
    <row r="193" customFormat="false" ht="15" hidden="false" customHeight="false" outlineLevel="0" collapsed="false">
      <c r="B193" s="104" t="s">
        <v>120</v>
      </c>
      <c r="C193" s="74"/>
      <c r="D193" s="74"/>
      <c r="E193" s="74"/>
      <c r="F193" s="74"/>
      <c r="G193" s="74"/>
      <c r="H193" s="74"/>
      <c r="I193" s="74"/>
      <c r="J193" s="74"/>
    </row>
    <row r="194" customFormat="false" ht="15" hidden="false" customHeight="true" outlineLevel="0" collapsed="false">
      <c r="B194" s="13" t="s">
        <v>121</v>
      </c>
      <c r="C194" s="13"/>
      <c r="D194" s="13"/>
      <c r="E194" s="78" t="s">
        <v>122</v>
      </c>
      <c r="F194" s="105" t="n">
        <f aca="false">C11</f>
        <v>10734.92087</v>
      </c>
      <c r="G194" s="106" t="n">
        <f aca="false">F196</f>
        <v>10839.016605218</v>
      </c>
      <c r="H194" s="106" t="n">
        <f aca="false">G196</f>
        <v>10939.7100328827</v>
      </c>
      <c r="I194" s="106" t="n">
        <f aca="false">H196</f>
        <v>11038.379925425</v>
      </c>
      <c r="J194" s="106" t="n">
        <f aca="false">I196</f>
        <v>11135.0669478068</v>
      </c>
    </row>
    <row r="195" customFormat="false" ht="15" hidden="false" customHeight="false" outlineLevel="0" collapsed="false">
      <c r="B195" s="0" t="s">
        <v>123</v>
      </c>
      <c r="F195" s="94" t="n">
        <f aca="false">(-F189+F190)/F191</f>
        <v>104.095735218</v>
      </c>
      <c r="G195" s="94" t="n">
        <f aca="false">(-G189+G190)/G191</f>
        <v>100.693427664661</v>
      </c>
      <c r="H195" s="94" t="n">
        <f aca="false">(-H189+H190)/H191</f>
        <v>98.6698925423115</v>
      </c>
      <c r="I195" s="94" t="n">
        <f aca="false">(-I189+I190)/I191</f>
        <v>96.6870223817812</v>
      </c>
      <c r="J195" s="94" t="n">
        <f aca="false">(-J189+J190)/J191</f>
        <v>94.7439999799969</v>
      </c>
    </row>
    <row r="196" customFormat="false" ht="15" hidden="false" customHeight="false" outlineLevel="0" collapsed="false">
      <c r="B196" s="0" t="s">
        <v>124</v>
      </c>
      <c r="F196" s="94" t="n">
        <f aca="false">SUM(F194:F195)</f>
        <v>10839.016605218</v>
      </c>
      <c r="G196" s="94" t="n">
        <f aca="false">SUM(G194:G195)</f>
        <v>10939.7100328827</v>
      </c>
      <c r="H196" s="94" t="n">
        <f aca="false">SUM(H194:H195)</f>
        <v>11038.379925425</v>
      </c>
      <c r="I196" s="94" t="n">
        <f aca="false">SUM(I194:I195)</f>
        <v>11135.0669478068</v>
      </c>
      <c r="J196" s="94" t="n">
        <f aca="false">SUM(J194:J195)</f>
        <v>11229.8109477868</v>
      </c>
    </row>
    <row r="197" customFormat="false" ht="15" hidden="false" customHeight="false" outlineLevel="0" collapsed="false">
      <c r="B197" s="13" t="s">
        <v>125</v>
      </c>
      <c r="C197" s="13"/>
      <c r="D197" s="13"/>
      <c r="E197" s="13"/>
      <c r="F197" s="106" t="n">
        <f aca="false">AVERAGE(F196,F194)</f>
        <v>10786.968737609</v>
      </c>
      <c r="G197" s="106" t="n">
        <f aca="false">AVERAGE(G196,G194)</f>
        <v>10889.3633190503</v>
      </c>
      <c r="H197" s="106" t="n">
        <f aca="false">AVERAGE(H196,H194)</f>
        <v>10989.0449791538</v>
      </c>
      <c r="I197" s="106" t="n">
        <f aca="false">AVERAGE(I196,I194)</f>
        <v>11086.7234366159</v>
      </c>
      <c r="J197" s="106" t="n">
        <f aca="false">AVERAGE(J196,J194)</f>
        <v>11182.4389477968</v>
      </c>
    </row>
    <row r="198" customFormat="false" ht="15" hidden="false" customHeight="false" outlineLevel="0" collapsed="false">
      <c r="B198" s="104" t="s">
        <v>126</v>
      </c>
      <c r="C198" s="74"/>
      <c r="D198" s="74"/>
      <c r="E198" s="74"/>
      <c r="F198" s="74"/>
      <c r="G198" s="74"/>
      <c r="H198" s="74"/>
      <c r="I198" s="74"/>
      <c r="J198" s="74"/>
    </row>
    <row r="199" customFormat="false" ht="15" hidden="false" customHeight="false" outlineLevel="0" collapsed="false">
      <c r="B199" s="13" t="s">
        <v>28</v>
      </c>
      <c r="C199" s="106" t="n">
        <f aca="false">C31</f>
        <v>30425</v>
      </c>
      <c r="D199" s="106" t="n">
        <f aca="false">D31</f>
        <v>59248</v>
      </c>
      <c r="E199" s="106" t="n">
        <f aca="false">E31</f>
        <v>77670</v>
      </c>
      <c r="F199" s="106" t="n">
        <f aca="false">F31</f>
        <v>94599.0157210538</v>
      </c>
      <c r="G199" s="106" t="n">
        <f aca="false">G31</f>
        <v>107312.478535242</v>
      </c>
      <c r="H199" s="106" t="n">
        <f aca="false">H31</f>
        <v>133390.264182301</v>
      </c>
      <c r="I199" s="106" t="n">
        <f aca="false">I31</f>
        <v>149373.25538022</v>
      </c>
      <c r="J199" s="106" t="n">
        <f aca="false">J31</f>
        <v>167499.185929152</v>
      </c>
    </row>
    <row r="200" customFormat="false" ht="15" hidden="false" customHeight="false" outlineLevel="0" collapsed="false">
      <c r="B200" s="28" t="s">
        <v>127</v>
      </c>
      <c r="D200" s="107" t="n">
        <f aca="false">D199/C199-1</f>
        <v>0.9473459326212</v>
      </c>
      <c r="E200" s="108" t="n">
        <f aca="false">E199/D199-1</f>
        <v>0.310930326762085</v>
      </c>
      <c r="F200" s="108" t="n">
        <f aca="false">F199/E199-1</f>
        <v>0.217960804957562</v>
      </c>
      <c r="G200" s="108" t="n">
        <f aca="false">G199/F199-1</f>
        <v>0.134393182817853</v>
      </c>
      <c r="H200" s="108" t="n">
        <f aca="false">H199/G199-1</f>
        <v>0.243007952132</v>
      </c>
      <c r="I200" s="108" t="n">
        <f aca="false">I199/H199-1</f>
        <v>0.119821272533624</v>
      </c>
      <c r="J200" s="108" t="n">
        <f aca="false">J199/I199-1</f>
        <v>0.121346559012811</v>
      </c>
    </row>
    <row r="202" customFormat="false" ht="15" hidden="false" customHeight="false" outlineLevel="0" collapsed="false">
      <c r="L202" s="32"/>
    </row>
    <row r="203" customFormat="false" ht="15" hidden="false" customHeight="false" outlineLevel="0" collapsed="false">
      <c r="F203" s="99"/>
    </row>
  </sheetData>
  <mergeCells count="2">
    <mergeCell ref="F98:J98"/>
    <mergeCell ref="D143:H143"/>
  </mergeCells>
  <conditionalFormatting sqref="B159">
    <cfRule type="expression" priority="2" aboveAverage="0" equalAverage="0" bottom="0" percent="0" rank="0" text="" dxfId="0">
      <formula>#REF!=$B159</formula>
    </cfRule>
  </conditionalFormatting>
  <conditionalFormatting sqref="B173">
    <cfRule type="expression" priority="3" aboveAverage="0" equalAverage="0" bottom="0" percent="0" rank="0" text="" dxfId="1">
      <formula>#REF!=$B173</formula>
    </cfRule>
  </conditionalFormatting>
  <conditionalFormatting sqref="B42">
    <cfRule type="expression" priority="4" aboveAverage="0" equalAverage="0" bottom="0" percent="0" rank="0" text="" dxfId="2">
      <formula>#REF!=$B42</formula>
    </cfRule>
  </conditionalFormatting>
  <dataValidations count="2">
    <dataValidation allowBlank="true" errorStyle="stop" operator="between" showDropDown="false" showErrorMessage="true" showInputMessage="true" sqref="C7" type="list">
      <formula1>"0,1"</formula1>
      <formula2>0</formula2>
    </dataValidation>
    <dataValidation allowBlank="true" errorStyle="stop" operator="between" showDropDown="false" showErrorMessage="true" showInputMessage="true" sqref="C12" type="list">
      <formula1>$B$162:$B$164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2026-02-08T20:27:52Z</dcterms:created>
  <dc:creator>Amgad Bashir</dc:creator>
  <dc:description/>
  <dc:language>en-US</dc:language>
  <cp:lastModifiedBy>Amgad Bashir</cp:lastModifiedBy>
  <dcterms:modified xsi:type="dcterms:W3CDTF">2026-02-16T18:57:02Z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